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F:\Belajar Data Analisis\data analisis project menggunakan excel\20. Coffe Shop Sales in 2025\"/>
    </mc:Choice>
  </mc:AlternateContent>
  <xr:revisionPtr revIDLastSave="0" documentId="13_ncr:1_{0DA53202-FFC2-4F9F-A8F4-9A772DCF8472}" xr6:coauthVersionLast="47" xr6:coauthVersionMax="47" xr10:uidLastSave="{00000000-0000-0000-0000-000000000000}"/>
  <bookViews>
    <workbookView xWindow="-120" yWindow="-120" windowWidth="20730" windowHeight="11310" activeTab="3" xr2:uid="{00000000-000D-0000-FFFF-FFFF00000000}"/>
  </bookViews>
  <sheets>
    <sheet name="Raw Data" sheetId="2" r:id="rId1"/>
    <sheet name="Worksheet" sheetId="1" r:id="rId2"/>
    <sheet name="Pivot" sheetId="3" r:id="rId3"/>
    <sheet name="Dashboard" sheetId="4" r:id="rId4"/>
  </sheets>
  <externalReferences>
    <externalReference r:id="rId5"/>
  </externalReferences>
  <definedNames>
    <definedName name="Slicer_coffee_name">#N/A</definedName>
    <definedName name="Slicer_Time_of_Day">#N/A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2" i="3" l="1"/>
  <c r="E73" i="3"/>
  <c r="E71" i="3"/>
  <c r="E90"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K2" i="1"/>
  <c r="E91" i="3"/>
  <c r="E92" i="3"/>
  <c r="E93" i="3"/>
  <c r="E94" i="3"/>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F92" i="3"/>
  <c r="F90" i="3"/>
  <c r="F91" i="3"/>
  <c r="F93" i="3"/>
  <c r="F72" i="3"/>
  <c r="F94" i="3"/>
  <c r="F73" i="3"/>
  <c r="F71" i="3"/>
  <c r="I6" i="3" l="1"/>
  <c r="F3" i="3"/>
  <c r="F6" i="3"/>
  <c r="E6" i="3"/>
  <c r="H6" i="3"/>
  <c r="M2" i="1" l="1"/>
  <c r="G6" i="3"/>
</calcChain>
</file>

<file path=xl/sharedStrings.xml><?xml version="1.0" encoding="utf-8"?>
<sst xmlns="http://schemas.openxmlformats.org/spreadsheetml/2006/main" count="17827" uniqueCount="3623">
  <si>
    <t>hour_of_day</t>
  </si>
  <si>
    <t>cash_type</t>
  </si>
  <si>
    <t>money</t>
  </si>
  <si>
    <t>coffee_name</t>
  </si>
  <si>
    <t>Time_of_Day</t>
  </si>
  <si>
    <t>Month_name</t>
  </si>
  <si>
    <t>Weekdaysort</t>
  </si>
  <si>
    <t>Monthsort</t>
  </si>
  <si>
    <t>Date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</si>
  <si>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</si>
  <si>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</si>
  <si>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</si>
  <si>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</si>
  <si>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</si>
  <si>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</si>
  <si>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</si>
  <si>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</si>
  <si>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</si>
  <si>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</si>
  <si>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</si>
  <si>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</si>
  <si>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</si>
  <si>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</si>
  <si>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</si>
  <si>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</si>
  <si>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</si>
  <si>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</si>
  <si>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</si>
  <si>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</si>
  <si>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</si>
  <si>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</si>
  <si>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</si>
  <si>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</si>
  <si>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</si>
  <si>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</si>
  <si>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</si>
  <si>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</si>
  <si>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</si>
  <si>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</si>
  <si>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</si>
  <si>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hour_of_day,cash_type,money,coffee_name,Time_of_Day,Weekday,Month_name,Weekdaysort,Monthsort,Date,Time</t>
  </si>
  <si>
    <t>10,card,38.7,Latte,Morning,Fri,Mar,5,3,2024-03-01,10:15:50.520000</t>
  </si>
  <si>
    <t>12,card,38.7,Hot Chocolate,Afternoon,Fri,Mar,5,3,2024-03-01,12:19:22.539000</t>
  </si>
  <si>
    <t>12,card,38.7,Hot Chocolate,Afternoon,Fri,Mar,5,3,2024-03-01,12:20:18.089000</t>
  </si>
  <si>
    <t>13,card,28.9,Americano,Afternoon,Fri,Mar,5,3,2024-03-01,13:46:33.006000</t>
  </si>
  <si>
    <t>13,card,38.7,Latte,Afternoon,Fri,Mar,5,3,2024-03-01,13:48:14.626000</t>
  </si>
  <si>
    <t>15,card,33.8,Americano with Milk,Afternoon,Fri,Mar,5,3,2024-03-01,15:39:47.726000</t>
  </si>
  <si>
    <t>16,card,38.7,Hot Chocolate,Afternoon,Fri,Mar,5,3,2024-03-01,16:19:02.756000</t>
  </si>
  <si>
    <t>18,card,33.8,Americano with Milk,Night,Fri,Mar,5,3,2024-03-01,18:39:03.580000</t>
  </si>
  <si>
    <t>19,card,38.7,Cocoa,Night,Fri,Mar,5,3,2024-03-01,19:22:01.762000</t>
  </si>
  <si>
    <t>19,card,33.8,Americano with Milk,Night,Fri,Mar,5,3,2024-03-01,19:23:15.887000</t>
  </si>
  <si>
    <t>19,card,33.8,Americano with Milk,Night,Fri,Mar,5,3,2024-03-01,19:29:17.391000</t>
  </si>
  <si>
    <t>10,card,28.9,Americano,Morning,Sat,Mar,6,3,2024-03-02,10:22:06.957000</t>
  </si>
  <si>
    <t>10,card,33.8,Americano with Milk,Morning,Sat,Mar,6,3,2024-03-02,10:41:41.249000</t>
  </si>
  <si>
    <t>11,card,33.8,Americano with Milk,Morning,Sat,Mar,6,3,2024-03-02,11:59:45.484000</t>
  </si>
  <si>
    <t>14,card,28.9,Americano,Afternoon,Sat,Mar,6,3,2024-03-02,14:38:35.535000</t>
  </si>
  <si>
    <t>16,card,33.8,Americano with Milk,Afternoon,Sat,Mar,6,3,2024-03-02,16:37:24.475000</t>
  </si>
  <si>
    <t>17,card,28.9,Americano,Night,Sat,Mar,6,3,2024-03-02,17:34:54.969000</t>
  </si>
  <si>
    <t>10,card,38.7,Latte,Morning,Sun,Mar,7,3,2024-03-03,10:27:18.561000</t>
  </si>
  <si>
    <t>11,card,28.9,Cortado,Morning,Sun,Mar,7,3,2024-03-03,11:33:56.118000</t>
  </si>
  <si>
    <t>12,card,28.9,Americano,Afternoon,Sun,Mar,7,3,2024-03-03,12:26:56.098000</t>
  </si>
  <si>
    <t>13,card,38.7,Hot Chocolate,Afternoon,Sun,Mar,7,3,2024-03-03,13:09:36.321000</t>
  </si>
  <si>
    <t>17,card,38.7,Cocoa,Night,Sun,Mar,7,3,2024-03-03,17:06:40.271000</t>
  </si>
  <si>
    <t>17,card,28.9,Cortado,Night,Sun,Mar,7,3,2024-03-03,17:08:45.895000</t>
  </si>
  <si>
    <t>18,card,33.8,Americano with Milk,Night,Sun,Mar,7,3,2024-03-03,18:03:23.369000</t>
  </si>
  <si>
    <t>18,card,33.8,Americano with Milk,Night,Sun,Mar,7,3,2024-03-03,18:04:27.946000</t>
  </si>
  <si>
    <t>18,card,38.7,Hot Chocolate,Night,Sun,Mar,7,3,2024-03-03,18:08:04.959000</t>
  </si>
  <si>
    <t>10,card,38.7,Latte,Morning,Mon,Mar,1,3,2024-03-04,10:03:51.994000</t>
  </si>
  <si>
    <t>10,card,38.7,Latte,Morning,Mon,Mar,1,3,2024-03-04,10:54:50.958000</t>
  </si>
  <si>
    <t>11,card,33.8,Americano with Milk,Morning,Mon,Mar,1,3,2024-03-04,11:05:16.184000</t>
  </si>
  <si>
    <t>14,card,24.0,Espresso,Afternoon,Mon,Mar,1,3,2024-03-04,14:04:37.734000</t>
  </si>
  <si>
    <t>9,card,38.7,Latte,Morning,Tue,Mar,2,3,2024-03-05,09:59:52.651000</t>
  </si>
  <si>
    <t>14,card,38.7,Latte,Afternoon,Tue,Mar,2,3,2024-03-05,14:34:55.963000</t>
  </si>
  <si>
    <t>17,card,38.7,Latte,Night,Tue,Mar,2,3,2024-03-05,17:34:06.043000</t>
  </si>
  <si>
    <t>17,card,38.7,Hot Chocolate,Night,Tue,Mar,2,3,2024-03-05,17:35:25.021000</t>
  </si>
  <si>
    <t>17,card,38.7,Cocoa,Night,Tue,Mar,2,3,2024-03-05,17:36:28.571000</t>
  </si>
  <si>
    <t>17,card,38.7,Hot Chocolate,Night,Tue,Mar,2,3,2024-03-05,17:37:13.659000</t>
  </si>
  <si>
    <t>17,card,38.7,Hot Chocolate,Night,Tue,Mar,2,3,2024-03-05,17:38:09.354000</t>
  </si>
  <si>
    <t>17,card,28.9,Cortado,Night,Tue,Mar,2,3,2024-03-05,17:56:15.776000</t>
  </si>
  <si>
    <t>18,card,38.7,Hot Chocolate,Night,Tue,Mar,2,3,2024-03-05,18:01:31.242000</t>
  </si>
  <si>
    <t>13,card,28.9,Americano,Afternoon,Wed,Mar,3,3,2024-03-06,13:24:07.667000</t>
  </si>
  <si>
    <t>13,card,28.9,Cortado,Afternoon,Wed,Mar,3,3,2024-03-06,13:25:14.351000</t>
  </si>
  <si>
    <t>14,card,38.7,Cappuccino,Afternoon,Wed,Mar,3,3,2024-03-06,14:52:01.761000</t>
  </si>
  <si>
    <t>14,card,38.7,Cappuccino,Afternoon,Wed,Mar,3,3,2024-03-06,14:53:18.344000</t>
  </si>
  <si>
    <t>10,card,38.7,Hot Chocolate,Morning,Thu,Mar,4,3,2024-03-07,10:18:40.543000</t>
  </si>
  <si>
    <t>11,card,38.7,Latte,Morning,Thu,Mar,4,3,2024-03-07,11:03:58.976000</t>
  </si>
  <si>
    <t>15,card,28.9,Americano,Afternoon,Thu,Mar,4,3,2024-03-07,15:40:22.606000</t>
  </si>
  <si>
    <t>15,card,33.8,Americano with Milk,Afternoon,Thu,Mar,4,3,2024-03-07,15:41:28.784000</t>
  </si>
  <si>
    <t>10,card,28.9,Cortado,Morning,Fri,Mar,5,3,2024-03-08,10:34:41.283000</t>
  </si>
  <si>
    <t>12,card,38.7,Cappuccino,Afternoon,Fri,Mar,5,3,2024-03-08,12:22:28.653000</t>
  </si>
  <si>
    <t>13,card,28.9,Americano,Afternoon,Fri,Mar,5,3,2024-03-08,13:53:02.042000</t>
  </si>
  <si>
    <t>14,card,28.9,Americano,Afternoon,Fri,Mar,5,3,2024-03-08,14:44:12.686000</t>
  </si>
  <si>
    <t>14,card,28.9,Americano,Afternoon,Fri,Mar,5,3,2024-03-08,14:45:11.048000</t>
  </si>
  <si>
    <t>14,card,33.8,Americano with Milk,Afternoon,Fri,Mar,5,3,2024-03-08,14:46:11.155000</t>
  </si>
  <si>
    <t>18,card,38.7,Latte,Night,Fri,Mar,5,3,2024-03-08,18:57:51.451000</t>
  </si>
  <si>
    <t>18,card,38.7,Latte,Night,Fri,Mar,5,3,2024-03-08,18:59:24.941000</t>
  </si>
  <si>
    <t>12,card,24.0,Espresso,Afternoon,Sat,Mar,6,3,2024-03-09,12:05:15.559000</t>
  </si>
  <si>
    <t>12,card,28.9,Americano,Afternoon,Sat,Mar,6,3,2024-03-09,12:07:38.275000</t>
  </si>
  <si>
    <t>12,card,38.7,Cappuccino,Afternoon,Sat,Mar,6,3,2024-03-09,12:09:47.714000</t>
  </si>
  <si>
    <t>12,card,28.9,Americano,Afternoon,Sat,Mar,6,3,2024-03-09,12:13:03.521000</t>
  </si>
  <si>
    <t>12,card,28.9,Americano,Afternoon,Sat,Mar,6,3,2024-03-09,12:14:26.458000</t>
  </si>
  <si>
    <t>13,card,38.7,Latte,Afternoon,Sat,Mar,6,3,2024-03-09,13:09:22.229000</t>
  </si>
  <si>
    <t>13,card,33.8,Americano with Milk,Afternoon,Sat,Mar,6,3,2024-03-09,13:41:06.167000</t>
  </si>
  <si>
    <t>13,card,28.9,Cortado,Afternoon,Sat,Mar,6,3,2024-03-09,13:53:10.408000</t>
  </si>
  <si>
    <t>13,card,38.7,Cappuccino,Afternoon,Sat,Mar,6,3,2024-03-09,13:54:36.828000</t>
  </si>
  <si>
    <t>14,card,33.8,Americano with Milk,Afternoon,Sat,Mar,6,3,2024-03-09,14:08:01.829000</t>
  </si>
  <si>
    <t>14,card,38.7,Hot Chocolate,Afternoon,Sat,Mar,6,3,2024-03-09,14:26:52.873000</t>
  </si>
  <si>
    <t>19,card,38.7,Cappuccino,Night,Sat,Mar,6,3,2024-03-09,19:17:57.572000</t>
  </si>
  <si>
    <t>19,card,38.7,Hot Chocolate,Night,Sat,Mar,6,3,2024-03-09,19:19:10.084000</t>
  </si>
  <si>
    <t>11,card,24.0,Espresso,Morning,Sun,Mar,7,3,2024-03-10,11:19:20.764000</t>
  </si>
  <si>
    <t>19,card,38.7,Latte,Night,Sun,Mar,7,3,2024-03-10,19:34:00.478000</t>
  </si>
  <si>
    <t>19,card,28.9,Cortado,Night,Sun,Mar,7,3,2024-03-10,19:35:54.712000</t>
  </si>
  <si>
    <t>11,card,38.7,Cappuccino,Morning,Mon,Mar,1,3,2024-03-11,11:32:58.781000</t>
  </si>
  <si>
    <t>16,card,28.9,Americano,Afternoon,Mon,Mar,1,3,2024-03-11,16:24:26.401000</t>
  </si>
  <si>
    <t>16,card,38.7,Latte,Afternoon,Mon,Mar,1,3,2024-03-11,16:25:45.664000</t>
  </si>
  <si>
    <t>16,card,28.9,Cortado,Afternoon,Mon,Mar,1,3,2024-03-11,16:50:49.608000</t>
  </si>
  <si>
    <t>10,card,28.9,Americano,Morning,Tue,Mar,2,3,2024-03-12,10:15:34.543000</t>
  </si>
  <si>
    <t>10,card,28.9,Cortado,Morning,Tue,Mar,2,3,2024-03-12,10:16:24.886000</t>
  </si>
  <si>
    <t>11,card,38.7,Hot Chocolate,Morning,Tue,Mar,2,3,2024-03-12,11:20:45.632000</t>
  </si>
  <si>
    <t>12,card,33.8,Americano with Milk,Afternoon,Tue,Mar,2,3,2024-03-12,12:46:23.275000</t>
  </si>
  <si>
    <t>12,card,28.9,Americano,Afternoon,Tue,Mar,2,3,2024-03-12,12:47:26.027000</t>
  </si>
  <si>
    <t>16,card,28.9,Americano,Afternoon,Tue,Mar,2,3,2024-03-12,16:15:43.325000</t>
  </si>
  <si>
    <t>11,card,38.7,Hot Chocolate,Morning,Wed,Mar,3,3,2024-03-13,11:06:43.038000</t>
  </si>
  <si>
    <t>11,card,28.9,Americano,Morning,Wed,Mar,3,3,2024-03-13,11:48:16.753000</t>
  </si>
  <si>
    <t>12,card,28.9,Americano,Afternoon,Wed,Mar,3,3,2024-03-13,12:18:06.336000</t>
  </si>
  <si>
    <t>12,card,28.9,Americano,Afternoon,Wed,Mar,3,3,2024-03-13,12:19:05.128000</t>
  </si>
  <si>
    <t>14,card,33.8,Americano with Milk,Afternoon,Wed,Mar,3,3,2024-03-13,14:26:40.875000</t>
  </si>
  <si>
    <t>15,card,24.0,Espresso,Afternoon,Wed,Mar,3,3,2024-03-13,15:40:22.261000</t>
  </si>
  <si>
    <t>15,card,24.0,Espresso,Afternoon,Wed,Mar,3,3,2024-03-13,15:41:20.424000</t>
  </si>
  <si>
    <t>16,card,24.0,Espresso,Afternoon,Wed,Mar,3,3,2024-03-13,16:47:09.373000</t>
  </si>
  <si>
    <t>10,card,38.7,Latte,Morning,Thu,Mar,4,3,2024-03-14,10:28:33.017000</t>
  </si>
  <si>
    <t>10,card,38.7,Hot Chocolate,Morning,Thu,Mar,4,3,2024-03-14,10:29:34.283000</t>
  </si>
  <si>
    <t>13,card,28.9,Cortado,Afternoon,Thu,Mar,4,3,2024-03-14,13:27:29.536000</t>
  </si>
  <si>
    <t>13,card,28.9,Americano,Afternoon,Thu,Mar,4,3,2024-03-14,13:28:24.527000</t>
  </si>
  <si>
    <t>13,card,33.8,Americano with Milk,Afternoon,Thu,Mar,4,3,2024-03-14,13:51:59.905000</t>
  </si>
  <si>
    <t>13,card,24.0,Espresso,Afternoon,Thu,Mar,4,3,2024-03-14,13:52:56.248000</t>
  </si>
  <si>
    <t>15,card,38.7,Latte,Afternoon,Thu,Mar,4,3,2024-03-14,15:20:38.367000</t>
  </si>
  <si>
    <t>16,card,33.8,Americano with Milk,Afternoon,Thu,Mar,4,3,2024-03-14,16:04:09.506000</t>
  </si>
  <si>
    <t>16,card,24.0,Espresso,Afternoon,Thu,Mar,4,3,2024-03-14,16:54:38.202000</t>
  </si>
  <si>
    <t>18,card,38.7,Hot Chocolate,Night,Thu,Mar,4,3,2024-03-14,18:58:55.854000</t>
  </si>
  <si>
    <t>19,card,28.9,Cortado,Night,Thu,Mar,4,3,2024-03-14,19:00:08.663000</t>
  </si>
  <si>
    <t>10,card,38.7,Hot Chocolate,Morning,Fri,Mar,5,3,2024-03-15,10:53:02.180000</t>
  </si>
  <si>
    <t>18,card,28.9,Americano,Night,Fri,Mar,5,3,2024-03-15,18:19:27.922000</t>
  </si>
  <si>
    <t>12,card,33.8,Americano with Milk,Afternoon,Sat,Mar,6,3,2024-03-16,12:06:55.209000</t>
  </si>
  <si>
    <t>12,card,28.9,Americano,Afternoon,Sat,Mar,6,3,2024-03-16,12:07:53.915000</t>
  </si>
  <si>
    <t>15,card,28.9,Cortado,Afternoon,Sat,Mar,6,3,2024-03-16,15:58:18.458000</t>
  </si>
  <si>
    <t>16,card,28.9,Cortado,Afternoon,Sat,Mar,6,3,2024-03-16,16:03:21.738000</t>
  </si>
  <si>
    <t>16,card,28.9,Cortado,Afternoon,Sat,Mar,6,3,2024-03-16,16:04:11.444000</t>
  </si>
  <si>
    <t>17,card,33.8,Americano with Milk,Night,Sat,Mar,6,3,2024-03-16,17:58:07.241000</t>
  </si>
  <si>
    <t>12,card,28.9,Cortado,Afternoon,Sun,Mar,7,3,2024-03-17,12:55:26.065000</t>
  </si>
  <si>
    <t>11,card,28.9,Cortado,Morning,Mon,Mar,1,3,2024-03-18,11:17:59.671000</t>
  </si>
  <si>
    <t>15,card,28.9,Americano,Afternoon,Mon,Mar,1,3,2024-03-18,15:31:39.725000</t>
  </si>
  <si>
    <t>15,card,28.9,Americano,Afternoon,Mon,Mar,1,3,2024-03-18,15:32:38.239000</t>
  </si>
  <si>
    <t>15,card,28.9,Americano,Afternoon,Mon,Mar,1,3,2024-03-18,15:33:36.708000</t>
  </si>
  <si>
    <t>14,card,38.7,Latte,Afternoon,Tue,Mar,2,3,2024-03-19,14:02:21.536000</t>
  </si>
  <si>
    <t>14,card,38.7,Latte,Afternoon,Tue,Mar,2,3,2024-03-19,14:03:19.765000</t>
  </si>
  <si>
    <t>15,card,38.7,Hot Chocolate,Afternoon,Tue,Mar,2,3,2024-03-19,15:04:36.309000</t>
  </si>
  <si>
    <t>16,card,33.8,Americano with Milk,Afternoon,Tue,Mar,2,3,2024-03-19,16:53:48.706000</t>
  </si>
  <si>
    <t>11,card,28.9,Cortado,Morning,Wed,Mar,3,3,2024-03-20,11:41:16.403000</t>
  </si>
  <si>
    <t>12,card,28.9,Cortado,Afternoon,Wed,Mar,3,3,2024-03-20,12:30:48.968000</t>
  </si>
  <si>
    <t>13,card,38.7,Cappuccino,Afternoon,Wed,Mar,3,3,2024-03-20,13:16:47.394000</t>
  </si>
  <si>
    <t>16,card,38.7,Cocoa,Afternoon,Wed,Mar,3,3,2024-03-20,16:42:38.117000</t>
  </si>
  <si>
    <t>17,card,38.7,Latte,Night,Wed,Mar,3,3,2024-03-20,17:50:28.781000</t>
  </si>
  <si>
    <t>12,card,28.9,Cortado,Afternoon,Thu,Mar,4,3,2024-03-21,12:25:09.194000</t>
  </si>
  <si>
    <t>12,card,38.7,Cappuccino,Afternoon,Thu,Mar,4,3,2024-03-21,12:26:17.428000</t>
  </si>
  <si>
    <t>17,card,28.9,Cortado,Night,Thu,Mar,4,3,2024-03-21,17:22:01.353000</t>
  </si>
  <si>
    <t>19,card,38.7,Latte,Night,Thu,Mar,4,3,2024-03-21,19:20:36.508000</t>
  </si>
  <si>
    <t>10,card,33.8,Americano with Milk,Morning,Fri,Mar,5,3,2024-03-22,10:35:53.619000</t>
  </si>
  <si>
    <t>13,card,33.8,Americano with Milk,Afternoon,Fri,Mar,5,3,2024-03-22,13:29:20.343000</t>
  </si>
  <si>
    <t>17,card,28.9,Americano,Night,Fri,Mar,5,3,2024-03-22,17:17:03.724000</t>
  </si>
  <si>
    <t>17,card,24.0,Espresso,Night,Fri,Mar,5,3,2024-03-22,17:17:58.991000</t>
  </si>
  <si>
    <t>17,card,28.9,Americano,Night,Fri,Mar,5,3,2024-03-22,17:20:49.490000</t>
  </si>
  <si>
    <t>10,card,38.7,Latte,Morning,Sat,Mar,6,3,2024-03-23,10:43:59.559000</t>
  </si>
  <si>
    <t>10,card,33.8,Americano with Milk,Morning,Sat,Mar,6,3,2024-03-23,10:45:07.157000</t>
  </si>
  <si>
    <t>13,card,38.7,Cappuccino,Afternoon,Sat,Mar,6,3,2024-03-23,13:10:07.661000</t>
  </si>
  <si>
    <t>13,card,38.7,Cocoa,Afternoon,Sat,Mar,6,3,2024-03-23,13:11:12.230000</t>
  </si>
  <si>
    <t>14,card,33.8,Americano with Milk,Afternoon,Sat,Mar,6,3,2024-03-23,14:44:41.276000</t>
  </si>
  <si>
    <t>15,card,38.7,Latte,Afternoon,Sat,Mar,6,3,2024-03-23,15:47:19.062000</t>
  </si>
  <si>
    <t>15,card,33.8,Americano with Milk,Afternoon,Sat,Mar,6,3,2024-03-23,15:49:33.813000</t>
  </si>
  <si>
    <t>16,card,28.9,Cortado,Afternoon,Sat,Mar,6,3,2024-03-23,16:00:58.386000</t>
  </si>
  <si>
    <t>18,card,38.7,Latte,Night,Sun,Mar,7,3,2024-03-24,18:45:08.397000</t>
  </si>
  <si>
    <t>10,card,38.7,Latte,Morning,Mon,Mar,1,3,2024-03-25,10:31:47.250000</t>
  </si>
  <si>
    <t>14,card,38.7,Latte,Afternoon,Mon,Mar,1,3,2024-03-25,14:27:09.163000</t>
  </si>
  <si>
    <t>14,card,38.7,Latte,Afternoon,Mon,Mar,1,3,2024-03-25,14:29:25.343000</t>
  </si>
  <si>
    <t>18,card,33.8,Americano with Milk,Night,Mon,Mar,1,3,2024-03-25,18:37:30.650000</t>
  </si>
  <si>
    <t>19,card,38.7,Cappuccino,Night,Mon,Mar,1,3,2024-03-25,19:34:24.542000</t>
  </si>
  <si>
    <t>10,card,38.7,Cocoa,Morning,Tue,Mar,2,3,2024-03-26,10:35:49.679000</t>
  </si>
  <si>
    <t>10,card,38.7,Latte,Morning,Tue,Mar,2,3,2024-03-26,10:36:36.151000</t>
  </si>
  <si>
    <t>10,card,38.7,Latte,Morning,Tue,Mar,2,3,2024-03-26,10:42:30.170000</t>
  </si>
  <si>
    <t>11,card,28.9,Cortado,Morning,Tue,Mar,2,3,2024-03-26,11:11:47.335000</t>
  </si>
  <si>
    <t>13,card,28.9,Americano,Afternoon,Tue,Mar,2,3,2024-03-26,13:35:52.773000</t>
  </si>
  <si>
    <t>13,card,28.9,Cortado,Afternoon,Tue,Mar,2,3,2024-03-26,13:36:49.644000</t>
  </si>
  <si>
    <t>13,card,28.9,Cortado,Afternoon,Tue,Mar,2,3,2024-03-26,13:37:59.723000</t>
  </si>
  <si>
    <t>13,card,28.9,Americano,Afternoon,Tue,Mar,2,3,2024-03-26,13:57:53.677000</t>
  </si>
  <si>
    <t>15,card,38.7,Latte,Afternoon,Tue,Mar,2,3,2024-03-26,15:48:02.270000</t>
  </si>
  <si>
    <t>18,card,38.7,Latte,Night,Tue,Mar,2,3,2024-03-26,18:33:38.568000</t>
  </si>
  <si>
    <t>18,card,38.7,Hot Chocolate,Night,Tue,Mar,2,3,2024-03-26,18:34:54.648000</t>
  </si>
  <si>
    <t>11,card,28.9,Cortado,Morning,Wed,Mar,3,3,2024-03-27,11:04:51.174000</t>
  </si>
  <si>
    <t>11,card,33.8,Americano with Milk,Morning,Wed,Mar,3,3,2024-03-27,11:05:58.236000</t>
  </si>
  <si>
    <t>12,card,33.8,Americano with Milk,Afternoon,Wed,Mar,3,3,2024-03-27,12:57:00.462000</t>
  </si>
  <si>
    <t>13,card,38.7,Hot Chocolate,Afternoon,Wed,Mar,3,3,2024-03-27,13:35:20.039000</t>
  </si>
  <si>
    <t>14,card,38.7,Cappuccino,Afternoon,Wed,Mar,3,3,2024-03-27,14:22:31.662000</t>
  </si>
  <si>
    <t>14,card,28.9,Americano,Afternoon,Wed,Mar,3,3,2024-03-27,14:23:35.380000</t>
  </si>
  <si>
    <t>18,card,28.9,Cortado,Night,Wed,Mar,3,3,2024-03-27,18:30:11.833000</t>
  </si>
  <si>
    <t>14,card,28.9,Cortado,Afternoon,Thu,Mar,4,3,2024-03-28,14:24:47.092000</t>
  </si>
  <si>
    <t>17,card,28.9,Cortado,Night,Thu,Mar,4,3,2024-03-28,17:24:46.244000</t>
  </si>
  <si>
    <t>17,card,28.9,Americano,Night,Thu,Mar,4,3,2024-03-28,17:27:05.304000</t>
  </si>
  <si>
    <t>17,card,38.7,Latte,Night,Thu,Mar,4,3,2024-03-28,17:32:44.652000</t>
  </si>
  <si>
    <t>10,card,38.7,Latte,Morning,Fri,Mar,5,3,2024-03-29,10:56:19.495000</t>
  </si>
  <si>
    <t>12,card,38.7,Cappuccino,Afternoon,Fri,Mar,5,3,2024-03-29,12:34:17.383000</t>
  </si>
  <si>
    <t>12,card,38.7,Cappuccino,Afternoon,Fri,Mar,5,3,2024-03-29,12:41:32.125000</t>
  </si>
  <si>
    <t>11,card,38.7,Latte,Morning,Sat,Mar,6,3,2024-03-30,11:59:19.854000</t>
  </si>
  <si>
    <t>16,card,38.7,Latte,Afternoon,Sat,Mar,6,3,2024-03-30,16:12:31.786000</t>
  </si>
  <si>
    <t>16,card,38.7,Latte,Afternoon,Sat,Mar,6,3,2024-03-30,16:36:40.513000</t>
  </si>
  <si>
    <t>16,card,33.8,Americano with Milk,Afternoon,Sat,Mar,6,3,2024-03-30,16:37:57.553000</t>
  </si>
  <si>
    <t>10,card,38.7,Cappuccino,Morning,Sun,Mar,7,3,2024-03-31,10:40:04.523000</t>
  </si>
  <si>
    <t>10,card,28.9,Americano,Morning,Mon,Apr,1,4,2024-04-01,10:28:47.601000</t>
  </si>
  <si>
    <t>10,card,33.8,Americano with Milk,Morning,Mon,Apr,1,4,2024-04-01,10:29:42.318000</t>
  </si>
  <si>
    <t>10,card,33.8,Americano with Milk,Morning,Mon,Apr,1,4,2024-04-01,10:30:43.735000</t>
  </si>
  <si>
    <t>11,card,33.8,Americano with Milk,Morning,Mon,Apr,1,4,2024-04-01,11:15:43.836000</t>
  </si>
  <si>
    <t>18,card,33.8,Americano with Milk,Night,Mon,Apr,1,4,2024-04-01,18:18:42.372000</t>
  </si>
  <si>
    <t>18,card,38.7,Hot Chocolate,Night,Mon,Apr,1,4,2024-04-01,18:45:27.436000</t>
  </si>
  <si>
    <t>10,card,38.7,Latte,Morning,Tue,Apr,2,4,2024-04-02,10:01:14.022000</t>
  </si>
  <si>
    <t>16,card,28.9,Americano,Afternoon,Tue,Apr,2,4,2024-04-02,16:18:34.169000</t>
  </si>
  <si>
    <t>16,card,28.9,Cortado,Afternoon,Tue,Apr,2,4,2024-04-02,16:19:28.460000</t>
  </si>
  <si>
    <t>10,card,28.9,Cortado,Morning,Wed,Apr,3,4,2024-04-03,10:19:13.644000</t>
  </si>
  <si>
    <t>10,card,28.9,Americano,Morning,Wed,Apr,3,4,2024-04-03,10:20:07.655000</t>
  </si>
  <si>
    <t>13,card,38.7,Cappuccino,Afternoon,Wed,Apr,3,4,2024-04-03,13:12:05.367000</t>
  </si>
  <si>
    <t>10,card,38.7,Latte,Morning,Thu,Apr,4,4,2024-04-04,10:44:55.988000</t>
  </si>
  <si>
    <t>11,card,38.7,Latte,Morning,Thu,Apr,4,4,2024-04-04,11:26:38.085000</t>
  </si>
  <si>
    <t>11,card,38.7,Cappuccino,Morning,Thu,Apr,4,4,2024-04-04,11:27:48.411000</t>
  </si>
  <si>
    <t>12,card,28.9,Cortado,Afternoon,Thu,Apr,4,4,2024-04-04,12:23:02.216000</t>
  </si>
  <si>
    <t>10,card,28.9,Americano,Morning,Fri,Apr,5,4,2024-04-05,10:40:42.728000</t>
  </si>
  <si>
    <t>10,card,28.9,Americano,Morning,Fri,Apr,5,4,2024-04-05,10:42:06.204000</t>
  </si>
  <si>
    <t>11,card,28.9,Cortado,Morning,Fri,Apr,5,4,2024-04-05,11:06:14.643000</t>
  </si>
  <si>
    <t>12,card,33.8,Americano with Milk,Afternoon,Fri,Apr,5,4,2024-04-05,12:14:27.975000</t>
  </si>
  <si>
    <t>14,card,38.7,Latte,Afternoon,Fri,Apr,5,4,2024-04-05,14:23:40.387000</t>
  </si>
  <si>
    <t>14,card,28.9,Cortado,Afternoon,Fri,Apr,5,4,2024-04-05,14:24:50.417000</t>
  </si>
  <si>
    <t>16,card,24.0,Espresso,Afternoon,Fri,Apr,5,4,2024-04-05,16:18:23.558000</t>
  </si>
  <si>
    <t>12,card,33.8,Americano with Milk,Afternoon,Sat,Apr,6,4,2024-04-06,12:32:31.398000</t>
  </si>
  <si>
    <t>14,card,38.7,Cappuccino,Afternoon,Sat,Apr,6,4,2024-04-06,14:13:18.733000</t>
  </si>
  <si>
    <t>14,card,28.9,Americano,Afternoon,Sat,Apr,6,4,2024-04-06,14:14:27.029000</t>
  </si>
  <si>
    <t>14,card,38.7,Latte,Afternoon,Sat,Apr,6,4,2024-04-06,14:49:50.183000</t>
  </si>
  <si>
    <t>10,card,38.7,Latte,Morning,Sun,Apr,7,4,2024-04-07,10:12:53.204000</t>
  </si>
  <si>
    <t>12,card,38.7,Cappuccino,Afternoon,Sun,Apr,7,4,2024-04-07,12:44:31.936000</t>
  </si>
  <si>
    <t>12,card,38.7,Cappuccino,Afternoon,Sun,Apr,7,4,2024-04-07,12:46:05.118000</t>
  </si>
  <si>
    <t>14,card,28.9,Cortado,Afternoon,Sun,Apr,7,4,2024-04-07,14:16:24.949000</t>
  </si>
  <si>
    <t>14,card,24.0,Espresso,Afternoon,Sun,Apr,7,4,2024-04-07,14:17:30.628000</t>
  </si>
  <si>
    <t>18,card,38.7,Hot Chocolate,Night,Sun,Apr,7,4,2024-04-07,18:01:16.608000</t>
  </si>
  <si>
    <t>18,card,33.8,Americano with Milk,Night,Sun,Apr,7,4,2024-04-07,18:02:03.878000</t>
  </si>
  <si>
    <t>10,card,33.8,Americano with Milk,Morning,Mon,Apr,1,4,2024-04-08,10:58:21.106000</t>
  </si>
  <si>
    <t>10,card,38.7,Cappuccino,Morning,Mon,Apr,1,4,2024-04-08,10:59:27.558000</t>
  </si>
  <si>
    <t>11,card,28.9,Americano,Morning,Mon,Apr,1,4,2024-04-08,11:01:20.464000</t>
  </si>
  <si>
    <t>11,card,38.7,Cappuccino,Morning,Mon,Apr,1,4,2024-04-08,11:04:47.030000</t>
  </si>
  <si>
    <t>16,card,38.7,Latte,Afternoon,Mon,Apr,1,4,2024-04-08,16:41:37.806000</t>
  </si>
  <si>
    <t>18,card,28.9,Americano,Night,Mon,Apr,1,4,2024-04-08,18:18:09.713000</t>
  </si>
  <si>
    <t>19,card,33.8,Americano with Milk,Night,Mon,Apr,1,4,2024-04-08,19:22:27.477000</t>
  </si>
  <si>
    <t>19,card,38.7,Cappuccino,Night,Mon,Apr,1,4,2024-04-08,19:23:59.268000</t>
  </si>
  <si>
    <t>11,card,38.7,Latte,Morning,Tue,Apr,2,4,2024-04-09,11:42:28.468000</t>
  </si>
  <si>
    <t>15,card,38.7,Hot Chocolate,Afternoon,Tue,Apr,2,4,2024-04-09,15:11:48.720000</t>
  </si>
  <si>
    <t>17,card,38.7,Hot Chocolate,Night,Tue,Apr,2,4,2024-04-09,17:25:23.936000</t>
  </si>
  <si>
    <t>17,card,24.0,Espresso,Night,Wed,Apr,3,4,2024-04-10,17:55:31.244000</t>
  </si>
  <si>
    <t>18,card,38.7,Cappuccino,Night,Wed,Apr,3,4,2024-04-10,18:24:59.290000</t>
  </si>
  <si>
    <t>20,card,38.7,Latte,Night,Wed,Apr,3,4,2024-04-10,20:04:05.386000</t>
  </si>
  <si>
    <t>10,card,28.9,Americano,Morning,Thu,Apr,4,4,2024-04-11,10:41:23.155000</t>
  </si>
  <si>
    <t>10,card,28.9,Americano,Morning,Thu,Apr,4,4,2024-04-11,10:42:59.365000</t>
  </si>
  <si>
    <t>16,card,38.7,Latte,Afternoon,Thu,Apr,4,4,2024-04-11,16:35:23.069000</t>
  </si>
  <si>
    <t>19,card,38.7,Cappuccino,Night,Thu,Apr,4,4,2024-04-11,19:16:56.588000</t>
  </si>
  <si>
    <t>19,card,33.8,Americano with Milk,Night,Thu,Apr,4,4,2024-04-11,19:18:36.619000</t>
  </si>
  <si>
    <t>19,card,38.7,Hot Chocolate,Night,Fri,Apr,5,4,2024-04-12,19:03:43.403000</t>
  </si>
  <si>
    <t>19,card,28.9,Cortado,Night,Fri,Apr,5,4,2024-04-12,19:38:23.189000</t>
  </si>
  <si>
    <t>12,card,38.7,Latte,Afternoon,Sat,Apr,6,4,2024-04-13,12:29:19.823000</t>
  </si>
  <si>
    <t>12,card,28.9,Americano,Afternoon,Sat,Apr,6,4,2024-04-13,12:43:02.389000</t>
  </si>
  <si>
    <t>16,card,38.7,Cappuccino,Afternoon,Sat,Apr,6,4,2024-04-13,16:18:03.938000</t>
  </si>
  <si>
    <t>16,card,38.7,Latte,Afternoon,Sat,Apr,6,4,2024-04-13,16:19:39.799000</t>
  </si>
  <si>
    <t>17,card,38.7,Cappuccino,Night,Sat,Apr,6,4,2024-04-13,17:51:26.026000</t>
  </si>
  <si>
    <t>17,card,38.7,Cappuccino,Night,Sat,Apr,6,4,2024-04-13,17:53:19.237000</t>
  </si>
  <si>
    <t>12,card,38.7,Cappuccino,Afternoon,Sun,Apr,7,4,2024-04-14,12:24:39.028000</t>
  </si>
  <si>
    <t>13,card,28.9,Cortado,Afternoon,Sun,Apr,7,4,2024-04-14,13:21:49.808000</t>
  </si>
  <si>
    <t>14,card,28.9,Americano,Afternoon,Sun,Apr,7,4,2024-04-14,14:23:31.631000</t>
  </si>
  <si>
    <t>14,card,28.9,Americano,Afternoon,Sun,Apr,7,4,2024-04-14,14:24:26.930000</t>
  </si>
  <si>
    <t>14,card,28.9,Americano,Afternoon,Sun,Apr,7,4,2024-04-14,14:25:18.122000</t>
  </si>
  <si>
    <t>15,card,38.7,Cappuccino,Afternoon,Sun,Apr,7,4,2024-04-14,15:46:27.733000</t>
  </si>
  <si>
    <t>16,card,28.9,Cortado,Afternoon,Sun,Apr,7,4,2024-04-14,16:59:54.823000</t>
  </si>
  <si>
    <t>17,card,38.7,Latte,Night,Sun,Apr,7,4,2024-04-14,17:00:45.387000</t>
  </si>
  <si>
    <t>18,card,38.7,Cappuccino,Night,Sun,Apr,7,4,2024-04-14,18:38:19.649000</t>
  </si>
  <si>
    <t>11,card,28.9,Americano,Morning,Mon,Apr,1,4,2024-04-15,11:45:24.619000</t>
  </si>
  <si>
    <t>17,card,28.9,Americano,Night,Mon,Apr,1,4,2024-04-15,17:01:46.359000</t>
  </si>
  <si>
    <t>17,card,33.8,Americano with Milk,Night,Mon,Apr,1,4,2024-04-15,17:02:49.748000</t>
  </si>
  <si>
    <t>19,card,33.8,Americano with Milk,Night,Mon,Apr,1,4,2024-04-15,19:33:03.036000</t>
  </si>
  <si>
    <t>10,card,33.8,Americano with Milk,Morning,Tue,Apr,2,4,2024-04-16,10:46:25.706000</t>
  </si>
  <si>
    <t>12,card,38.7,Cocoa,Afternoon,Tue,Apr,2,4,2024-04-16,12:40:47.675000</t>
  </si>
  <si>
    <t>12,card,28.9,Cortado,Afternoon,Tue,Apr,2,4,2024-04-16,12:52:07.750000</t>
  </si>
  <si>
    <t>15,card,28.9,Americano,Afternoon,Tue,Apr,2,4,2024-04-16,15:03:16.889000</t>
  </si>
  <si>
    <t>17,card,33.8,Americano with Milk,Night,Tue,Apr,2,4,2024-04-16,17:42:04.208000</t>
  </si>
  <si>
    <t>17,card,38.7,Cappuccino,Night,Tue,Apr,2,4,2024-04-16,17:43:22.960000</t>
  </si>
  <si>
    <t>18,card,38.7,Cocoa,Night,Tue,Apr,2,4,2024-04-16,18:09:05.273000</t>
  </si>
  <si>
    <t>13,card,28.9,Americano,Afternoon,Wed,Apr,3,4,2024-04-17,13:32:59.792000</t>
  </si>
  <si>
    <t>13,card,24.0,Espresso,Afternoon,Wed,Apr,3,4,2024-04-17,13:44:00.181000</t>
  </si>
  <si>
    <t>17,card,38.7,Cappuccino,Night,Wed,Apr,3,4,2024-04-17,17:01:35.149000</t>
  </si>
  <si>
    <t>17,card,38.7,Cappuccino,Night,Wed,Apr,3,4,2024-04-17,17:02:40.687000</t>
  </si>
  <si>
    <t>18,card,28.9,Cortado,Night,Wed,Apr,3,4,2024-04-17,18:14:03.229000</t>
  </si>
  <si>
    <t>11,card,28.9,Americano,Morning,Thu,Apr,4,4,2024-04-18,11:19:01.693000</t>
  </si>
  <si>
    <t>11,card,28.9,Americano,Morning,Thu,Apr,4,4,2024-04-18,11:20:05.696000</t>
  </si>
  <si>
    <t>13,card,33.8,Americano with Milk,Afternoon,Thu,Apr,4,4,2024-04-18,13:49:12.720000</t>
  </si>
  <si>
    <t>13,card,28.9,Cortado,Afternoon,Thu,Apr,4,4,2024-04-18,13:50:17.285000</t>
  </si>
  <si>
    <t>14,card,38.7,Cappuccino,Afternoon,Thu,Apr,4,4,2024-04-18,14:34:19.818000</t>
  </si>
  <si>
    <t>14,card,38.7,Latte,Afternoon,Thu,Apr,4,4,2024-04-18,14:35:49.354000</t>
  </si>
  <si>
    <t>17,card,38.7,Latte,Night,Thu,Apr,4,4,2024-04-18,17:44:15.791000</t>
  </si>
  <si>
    <t>18,card,38.7,Cappuccino,Night,Thu,Apr,4,4,2024-04-18,18:21:05.945000</t>
  </si>
  <si>
    <t>19,card,38.7,Hot Chocolate,Night,Thu,Apr,4,4,2024-04-18,19:39:51.193000</t>
  </si>
  <si>
    <t>19,card,38.7,Hot Chocolate,Night,Thu,Apr,4,4,2024-04-18,19:40:48.954000</t>
  </si>
  <si>
    <t>10,card,38.7,Latte,Morning,Fri,Apr,5,4,2024-04-19,10:10:36.254000</t>
  </si>
  <si>
    <t>13,card,33.8,Americano with Milk,Afternoon,Fri,Apr,5,4,2024-04-19,13:11:47.848000</t>
  </si>
  <si>
    <t>13,card,38.7,Cappuccino,Afternoon,Fri,Apr,5,4,2024-04-19,13:13:20.876000</t>
  </si>
  <si>
    <t>13,card,38.7,Hot Chocolate,Afternoon,Fri,Apr,5,4,2024-04-19,13:58:54.064000</t>
  </si>
  <si>
    <t>13,card,38.7,Cappuccino,Afternoon,Fri,Apr,5,4,2024-04-19,13:59:49.690000</t>
  </si>
  <si>
    <t>18,card,38.7,Cocoa,Night,Fri,Apr,5,4,2024-04-19,18:23:19.311000</t>
  </si>
  <si>
    <t>18,card,33.8,Americano with Milk,Night,Fri,Apr,5,4,2024-04-19,18:25:33.440000</t>
  </si>
  <si>
    <t>12,card,33.8,Americano with Milk,Afternoon,Sat,Apr,6,4,2024-04-20,12:08:35.701000</t>
  </si>
  <si>
    <t>12,card,33.8,Americano with Milk,Afternoon,Sat,Apr,6,4,2024-04-20,12:09:42.664000</t>
  </si>
  <si>
    <t>13,card,28.9,Americano,Afternoon,Sat,Apr,6,4,2024-04-20,13:08:37.378000</t>
  </si>
  <si>
    <t>13,card,33.8,Americano with Milk,Afternoon,Sat,Apr,6,4,2024-04-20,13:09:47.905000</t>
  </si>
  <si>
    <t>13,card,38.7,Hot Chocolate,Afternoon,Sat,Apr,6,4,2024-04-20,13:10:55.151000</t>
  </si>
  <si>
    <t>14,card,38.7,Cappuccino,Afternoon,Sat,Apr,6,4,2024-04-20,14:44:18.118000</t>
  </si>
  <si>
    <t>15,card,33.8,Americano with Milk,Afternoon,Sat,Apr,6,4,2024-04-20,15:11:00.330000</t>
  </si>
  <si>
    <t>15,card,32.82,Americano with Milk,Afternoon,Sat,Apr,6,4,2024-04-20,15:22:40.717000</t>
  </si>
  <si>
    <t>15,card,32.82,Americano with Milk,Afternoon,Sat,Apr,6,4,2024-04-20,15:49:25.148000</t>
  </si>
  <si>
    <t>18,card,37.72,Cappuccino,Night,Sat,Apr,6,4,2024-04-20,18:27:41.496000</t>
  </si>
  <si>
    <t>18,card,37.72,Cappuccino,Night,Sat,Apr,6,4,2024-04-20,18:28:46.900000</t>
  </si>
  <si>
    <t>19,card,37.72,Latte,Night,Sat,Apr,6,4,2024-04-20,19:30:55.317000</t>
  </si>
  <si>
    <t>11,card,37.72,Latte,Morning,Sun,Apr,7,4,2024-04-21,11:16:45.707000</t>
  </si>
  <si>
    <t>14,card,27.92,Americano,Afternoon,Sun,Apr,7,4,2024-04-21,14:15:37.541000</t>
  </si>
  <si>
    <t>11,card,27.92,Americano,Morning,Mon,Apr,1,4,2024-04-22,11:09:16.412000</t>
  </si>
  <si>
    <t>11,card,32.82,Americano with Milk,Morning,Mon,Apr,1,4,2024-04-22,11:29:27.099000</t>
  </si>
  <si>
    <t>19,card,37.72,Latte,Night,Mon,Apr,1,4,2024-04-22,19:39:04.759000</t>
  </si>
  <si>
    <t>14,card,37.72,Cappuccino,Afternoon,Tue,Apr,2,4,2024-04-23,14:22:35.995000</t>
  </si>
  <si>
    <t>14,card,32.82,Americano with Milk,Afternoon,Tue,Apr,2,4,2024-04-23,14:23:53.144000</t>
  </si>
  <si>
    <t>14,card,37.72,Cappuccino,Afternoon,Tue,Apr,2,4,2024-04-23,14:24:57.515000</t>
  </si>
  <si>
    <t>19,card,32.82,Americano with Milk,Night,Tue,Apr,2,4,2024-04-23,19:42:27.765000</t>
  </si>
  <si>
    <t>19,card,32.82,Americano with Milk,Night,Tue,Apr,2,4,2024-04-23,19:43:26.234000</t>
  </si>
  <si>
    <t>10,card,37.72,Latte,Morning,Wed,Apr,3,4,2024-04-24,10:19:38.346000</t>
  </si>
  <si>
    <t>10,card,32.82,Americano with Milk,Morning,Wed,Apr,3,4,2024-04-24,10:21:27.287000</t>
  </si>
  <si>
    <t>11,card,32.82,Americano with Milk,Morning,Wed,Apr,3,4,2024-04-24,11:23:46.102000</t>
  </si>
  <si>
    <t>11,card,32.82,Americano with Milk,Morning,Wed,Apr,3,4,2024-04-24,11:33:26.347000</t>
  </si>
  <si>
    <t>12,card,32.82,Americano with Milk,Afternoon,Wed,Apr,3,4,2024-04-24,12:39:09.298000</t>
  </si>
  <si>
    <t>16,card,32.82,Americano with Milk,Afternoon,Wed,Apr,3,4,2024-04-24,16:39:07.423000</t>
  </si>
  <si>
    <t>19,card,32.82,Americano with Milk,Night,Wed,Apr,3,4,2024-04-24,19:39:49.983000</t>
  </si>
  <si>
    <t>19,card,37.72,Cappuccino,Night,Wed,Apr,3,4,2024-04-24,19:40:54.031000</t>
  </si>
  <si>
    <t>10,card,27.92,Americano,Morning,Thu,Apr,4,4,2024-04-25,10:46:08.057000</t>
  </si>
  <si>
    <t>15,card,37.72,Latte,Afternoon,Thu,Apr,4,4,2024-04-25,15:18:26.971000</t>
  </si>
  <si>
    <t>17,card,27.92,Americano,Night,Thu,Apr,4,4,2024-04-25,17:09:43.534000</t>
  </si>
  <si>
    <t>17,card,27.92,Americano,Night,Thu,Apr,4,4,2024-04-25,17:10:49.153000</t>
  </si>
  <si>
    <t>10,card,37.72,Latte,Morning,Fri,Apr,5,4,2024-04-26,10:12:50.618000</t>
  </si>
  <si>
    <t>12,card,37.72,Latte,Afternoon,Fri,Apr,5,4,2024-04-26,12:01:30.580000</t>
  </si>
  <si>
    <t>13,card,37.72,Cappuccino,Afternoon,Fri,Apr,5,4,2024-04-26,13:31:28.297000</t>
  </si>
  <si>
    <t>15,card,27.92,Americano,Afternoon,Fri,Apr,5,4,2024-04-26,15:32:35.390000</t>
  </si>
  <si>
    <t>15,card,27.92,Americano,Afternoon,Fri,Apr,5,4,2024-04-26,15:33:33.132000</t>
  </si>
  <si>
    <t>16,card,27.92,Cortado,Afternoon,Fri,Apr,5,4,2024-04-26,16:23:26.514000</t>
  </si>
  <si>
    <t>16,card,27.92,Americano,Afternoon,Fri,Apr,5,4,2024-04-26,16:24:33.800000</t>
  </si>
  <si>
    <t>19,card,37.72,Hot Chocolate,Night,Fri,Apr,5,4,2024-04-26,19:32:07.112000</t>
  </si>
  <si>
    <t>19,card,37.72,Cocoa,Night,Fri,Apr,5,4,2024-04-26,19:33:30.220000</t>
  </si>
  <si>
    <t>15,card,37.72,Cappuccino,Afternoon,Sat,Apr,6,4,2024-04-27,15:27:00.680000</t>
  </si>
  <si>
    <t>10,card,37.72,Latte,Morning,Sun,Apr,7,4,2024-04-28,10:32:52.479000</t>
  </si>
  <si>
    <t>12,card,37.72,Cappuccino,Afternoon,Sun,Apr,7,4,2024-04-28,12:30:09.749000</t>
  </si>
  <si>
    <t>18,card,27.92,Americano,Night,Sun,Apr,7,4,2024-04-28,18:27:08.230000</t>
  </si>
  <si>
    <t>18,card,27.92,Americano,Night,Sun,Apr,7,4,2024-04-28,18:28:11.411000</t>
  </si>
  <si>
    <t>18,card,37.72,Latte,Night,Sun,Apr,7,4,2024-04-28,18:29:02.374000</t>
  </si>
  <si>
    <t>11,card,27.92,Cortado,Morning,Mon,Apr,1,4,2024-04-29,11:26:31.871000</t>
  </si>
  <si>
    <t>13,card,27.92,Americano,Afternoon,Mon,Apr,1,4,2024-04-29,13:27:56.949000</t>
  </si>
  <si>
    <t>13,card,27.92,Cortado,Afternoon,Mon,Apr,1,4,2024-04-29,13:28:53.899000</t>
  </si>
  <si>
    <t>13,card,27.92,Cortado,Afternoon,Mon,Apr,1,4,2024-04-29,13:53:35.730000</t>
  </si>
  <si>
    <t>13,card,32.82,Americano with Milk,Afternoon,Mon,Apr,1,4,2024-04-29,13:54:24.357000</t>
  </si>
  <si>
    <t>18,card,37.72,Cappuccino,Night,Mon,Apr,1,4,2024-04-29,18:37:48.406000</t>
  </si>
  <si>
    <t>19,card,37.72,Cappuccino,Night,Mon,Apr,1,4,2024-04-29,19:12:33.194000</t>
  </si>
  <si>
    <t>19,card,37.72,Cappuccino,Night,Mon,Apr,1,4,2024-04-29,19:13:37.878000</t>
  </si>
  <si>
    <t>10,card,37.72,Latte,Morning,Tue,Apr,2,4,2024-04-30,10:16:41.493000</t>
  </si>
  <si>
    <t>10,card,32.82,Americano with Milk,Morning,Tue,Apr,2,4,2024-04-30,10:34:52.250000</t>
  </si>
  <si>
    <t>10,card,32.82,Americano with Milk,Morning,Tue,Apr,2,4,2024-04-30,10:35:47.617000</t>
  </si>
  <si>
    <t>13,card,27.92,Americano,Afternoon,Tue,Apr,2,4,2024-04-30,13:41:52.325000</t>
  </si>
  <si>
    <t>13,card,32.82,Americano with Milk,Afternoon,Tue,Apr,2,4,2024-04-30,13:42:59.977000</t>
  </si>
  <si>
    <t>19,card,37.72,Cappuccino,Night,Tue,Apr,2,4,2024-04-30,19:19:18.139000</t>
  </si>
  <si>
    <t>19,card,32.82,Americano with Milk,Night,Tue,Apr,2,4,2024-04-30,19:30:04.003000</t>
  </si>
  <si>
    <t>19,card,37.72,Latte,Night,Tue,Apr,2,4,2024-04-30,19:31:20.952000</t>
  </si>
  <si>
    <t>10,card,27.92,Americano,Morning,Thu,May,4,5,2024-05-02,10:33:55.746000</t>
  </si>
  <si>
    <t>13,card,32.82,Americano with Milk,Afternoon,Thu,May,4,5,2024-05-02,13:49:39.898000</t>
  </si>
  <si>
    <t>18,card,37.72,Cappuccino,Night,Thu,May,4,5,2024-05-02,18:36:22.138000</t>
  </si>
  <si>
    <t>18,card,32.82,Americano with Milk,Night,Thu,May,4,5,2024-05-02,18:41:11.220000</t>
  </si>
  <si>
    <t>19,card,37.72,Latte,Night,Thu,May,4,5,2024-05-02,19:18:33.084000</t>
  </si>
  <si>
    <t>19,card,37.72,Cappuccino,Night,Thu,May,4,5,2024-05-02,19:19:56.359000</t>
  </si>
  <si>
    <t>14,card,37.72,Latte,Afternoon,Fri,May,5,5,2024-05-03,14:30:00.923000</t>
  </si>
  <si>
    <t>17,card,37.72,Latte,Night,Fri,May,5,5,2024-05-03,17:03:24.905000</t>
  </si>
  <si>
    <t>10,card,27.92,Americano,Morning,Mon,May,1,5,2024-05-06,10:05:17.920000</t>
  </si>
  <si>
    <t>10,card,37.72,Cappuccino,Morning,Mon,May,1,5,2024-05-06,10:06:51.625000</t>
  </si>
  <si>
    <t>10,card,32.82,Americano with Milk,Morning,Mon,May,1,5,2024-05-06,10:08:05.863000</t>
  </si>
  <si>
    <t>10,card,27.92,Americano,Morning,Mon,May,1,5,2024-05-06,10:09:07.977000</t>
  </si>
  <si>
    <t>10,card,27.92,Cortado,Morning,Mon,May,1,5,2024-05-06,10:39:12.641000</t>
  </si>
  <si>
    <t>13,card,27.92,Cortado,Afternoon,Mon,May,1,5,2024-05-06,13:18:10.990000</t>
  </si>
  <si>
    <t>13,card,27.92,Americano,Afternoon,Mon,May,1,5,2024-05-06,13:19:00.811000</t>
  </si>
  <si>
    <t>19,card,37.72,Cappuccino,Night,Mon,May,1,5,2024-05-06,19:18:12.989000</t>
  </si>
  <si>
    <t>19,card,37.72,Cappuccino,Night,Mon,May,1,5,2024-05-06,19:19:49.548000</t>
  </si>
  <si>
    <t>10,card,37.72,Cocoa,Morning,Tue,May,2,5,2024-05-07,10:44:55.582000</t>
  </si>
  <si>
    <t>11,card,27.92,Cortado,Morning,Tue,May,2,5,2024-05-07,11:21:58.493000</t>
  </si>
  <si>
    <t>13,card,27.92,Cortado,Afternoon,Tue,May,2,5,2024-05-07,13:23:34.943000</t>
  </si>
  <si>
    <t>16,card,37.72,Cocoa,Afternoon,Tue,May,2,5,2024-05-07,16:42:07.900000</t>
  </si>
  <si>
    <t>16,card,27.92,Americano,Afternoon,Tue,May,2,5,2024-05-07,16:55:38.805000</t>
  </si>
  <si>
    <t>17,card,37.72,Cappuccino,Night,Tue,May,2,5,2024-05-07,17:37:46.412000</t>
  </si>
  <si>
    <t>17,card,37.72,Latte,Night,Tue,May,2,5,2024-05-07,17:38:48.195000</t>
  </si>
  <si>
    <t>19,card,37.72,Cappuccino,Night,Tue,May,2,5,2024-05-07,19:12:12.524000</t>
  </si>
  <si>
    <t>19,card,37.72,Cappuccino,Night,Tue,May,2,5,2024-05-07,19:13:12.195000</t>
  </si>
  <si>
    <t>10,card,37.72,Latte,Morning,Wed,May,3,5,2024-05-08,10:07:28.863000</t>
  </si>
  <si>
    <t>12,card,37.72,Cappuccino,Afternoon,Thu,May,4,5,2024-05-09,12:54:21.812000</t>
  </si>
  <si>
    <t>13,card,27.92,Americano,Afternoon,Thu,May,4,5,2024-05-09,13:03:58.556000</t>
  </si>
  <si>
    <t>13,card,37.72,Latte,Afternoon,Thu,May,4,5,2024-05-09,13:04:57.647000</t>
  </si>
  <si>
    <t>13,card,37.72,Latte,Afternoon,Thu,May,4,5,2024-05-09,13:06:11.261000</t>
  </si>
  <si>
    <t>13,card,37.72,Latte,Afternoon,Thu,May,4,5,2024-05-09,13:07:16.409000</t>
  </si>
  <si>
    <t>16,card,27.92,Americano,Afternoon,Thu,May,4,5,2024-05-09,16:55:14.601000</t>
  </si>
  <si>
    <t>16,card,27.92,Americano,Afternoon,Thu,May,4,5,2024-05-09,16:56:14.989000</t>
  </si>
  <si>
    <t>18,card,27.92,Americano,Night,Thu,May,4,5,2024-05-09,18:01:29.895000</t>
  </si>
  <si>
    <t>18,card,32.82,Americano with Milk,Night,Thu,May,4,5,2024-05-09,18:13:56.226000</t>
  </si>
  <si>
    <t>15,card,37.72,Latte,Afternoon,Fri,May,5,5,2024-05-10,15:46:21.511000</t>
  </si>
  <si>
    <t>15,card,37.72,Latte,Afternoon,Fri,May,5,5,2024-05-10,15:47:32.508000</t>
  </si>
  <si>
    <t>11,card,37.72,Latte,Morning,Sat,May,6,5,2024-05-11,11:39:52.878000</t>
  </si>
  <si>
    <t>17,card,32.82,Americano with Milk,Night,Sat,May,6,5,2024-05-11,17:20:30.398000</t>
  </si>
  <si>
    <t>17,card,37.72,Cocoa,Night,Sat,May,6,5,2024-05-11,17:21:56.117000</t>
  </si>
  <si>
    <t>17,card,37.72,Cappuccino,Night,Sat,May,6,5,2024-05-11,17:23:57.301000</t>
  </si>
  <si>
    <t>17,card,32.82,Americano with Milk,Night,Sat,May,6,5,2024-05-11,17:28:54.132000</t>
  </si>
  <si>
    <t>18,card,37.72,Cappuccino,Night,Sat,May,6,5,2024-05-11,18:35:40.257000</t>
  </si>
  <si>
    <t>19,card,37.72,Latte,Night,Sat,May,6,5,2024-05-11,19:38:16.096000</t>
  </si>
  <si>
    <t>10,card,37.72,Latte,Morning,Sun,May,7,5,2024-05-12,10:20:42.512000</t>
  </si>
  <si>
    <t>13,card,37.72,Latte,Afternoon,Sun,May,7,5,2024-05-12,13:24:03.465000</t>
  </si>
  <si>
    <t>13,card,27.92,Americano,Afternoon,Sun,May,7,5,2024-05-12,13:27:39.043000</t>
  </si>
  <si>
    <t>15,card,37.72,Latte,Afternoon,Sun,May,7,5,2024-05-12,15:16:19.815000</t>
  </si>
  <si>
    <t>15,card,32.82,Americano with Milk,Afternoon,Sun,May,7,5,2024-05-12,15:38:02.422000</t>
  </si>
  <si>
    <t>15,card,32.82,Americano with Milk,Afternoon,Sun,May,7,5,2024-05-12,15:52:14.871000</t>
  </si>
  <si>
    <t>16,card,32.82,Americano with Milk,Afternoon,Sun,May,7,5,2024-05-12,16:04:21.133000</t>
  </si>
  <si>
    <t>19,card,32.82,Americano with Milk,Night,Sun,May,7,5,2024-05-12,19:41:30.569000</t>
  </si>
  <si>
    <t>11,card,32.82,Americano with Milk,Morning,Mon,May,1,5,2024-05-13,11:03:53.348000</t>
  </si>
  <si>
    <t>8,card,27.92,Americano,Morning,Tue,May,2,5,2024-05-14,08:38:14.581000</t>
  </si>
  <si>
    <t>8,card,27.92,Americano,Morning,Tue,May,2,5,2024-05-14,08:39:25.455000</t>
  </si>
  <si>
    <t>8,card,27.92,Americano,Morning,Tue,May,2,5,2024-05-14,08:40:17.484000</t>
  </si>
  <si>
    <t>10,card,37.72,Cappuccino,Morning,Tue,May,2,5,2024-05-14,10:19:23.174000</t>
  </si>
  <si>
    <t>11,card,37.72,Latte,Morning,Tue,May,2,5,2024-05-14,11:32:29.372000</t>
  </si>
  <si>
    <t>11,card,37.72,Cappuccino,Morning,Tue,May,2,5,2024-05-14,11:34:12.851000</t>
  </si>
  <si>
    <t>14,card,37.72,Cappuccino,Afternoon,Tue,May,2,5,2024-05-14,14:04:54.580000</t>
  </si>
  <si>
    <t>14,card,32.82,Americano with Milk,Afternoon,Tue,May,2,5,2024-05-14,14:06:00.378000</t>
  </si>
  <si>
    <t>15,card,27.92,Americano,Afternoon,Tue,May,2,5,2024-05-14,15:01:54.785000</t>
  </si>
  <si>
    <t>16,card,32.82,Americano with Milk,Afternoon,Tue,May,2,5,2024-05-14,16:57:57.224000</t>
  </si>
  <si>
    <t>16,card,37.72,Cappuccino,Afternoon,Tue,May,2,5,2024-05-14,16:59:10.194000</t>
  </si>
  <si>
    <t>22,card,37.72,Hot Chocolate,Night,Tue,May,2,5,2024-05-14,22:51:25.227000</t>
  </si>
  <si>
    <t>8,card,37.72,Latte,Morning,Wed,May,3,5,2024-05-15,08:40:05.661000</t>
  </si>
  <si>
    <t>11,card,23.02,Espresso,Morning,Wed,May,3,5,2024-05-15,11:14:19.353000</t>
  </si>
  <si>
    <t>11,card,27.92,Americano,Morning,Wed,May,3,5,2024-05-15,11:19:10.049000</t>
  </si>
  <si>
    <t>13,card,27.92,Americano,Afternoon,Wed,May,3,5,2024-05-15,13:34:35.102000</t>
  </si>
  <si>
    <t>13,card,27.92,Americano,Afternoon,Wed,May,3,5,2024-05-15,13:35:29.171000</t>
  </si>
  <si>
    <t>13,card,27.92,Americano,Afternoon,Wed,May,3,5,2024-05-15,13:36:27.339000</t>
  </si>
  <si>
    <t>13,card,32.82,Americano with Milk,Afternoon,Wed,May,3,5,2024-05-15,13:55:28.999000</t>
  </si>
  <si>
    <t>14,card,27.92,Cortado,Afternoon,Wed,May,3,5,2024-05-15,14:38:52.347000</t>
  </si>
  <si>
    <t>14,card,27.92,Cortado,Afternoon,Wed,May,3,5,2024-05-15,14:39:44.367000</t>
  </si>
  <si>
    <t>17,card,23.02,Espresso,Night,Wed,May,3,5,2024-05-15,17:28:58.620000</t>
  </si>
  <si>
    <t>20,card,37.72,Cappuccino,Night,Wed,May,3,5,2024-05-15,20:20:34.769000</t>
  </si>
  <si>
    <t>10,card,32.82,Americano with Milk,Morning,Thu,May,4,5,2024-05-16,10:38:42.458000</t>
  </si>
  <si>
    <t>10,card,32.82,Americano with Milk,Morning,Thu,May,4,5,2024-05-16,10:39:49.431000</t>
  </si>
  <si>
    <t>12,card,32.82,Americano with Milk,Afternoon,Thu,May,4,5,2024-05-16,12:14:00.097000</t>
  </si>
  <si>
    <t>15,card,37.72,Hot Chocolate,Afternoon,Thu,May,4,5,2024-05-16,15:15:16.315000</t>
  </si>
  <si>
    <t>17,card,37.72,Latte,Night,Thu,May,4,5,2024-05-16,17:44:31.548000</t>
  </si>
  <si>
    <t>18,card,37.72,Hot Chocolate,Night,Thu,May,4,5,2024-05-16,18:12:56.934000</t>
  </si>
  <si>
    <t>18,card,37.72,Latte,Night,Thu,May,4,5,2024-05-16,18:13:58.191000</t>
  </si>
  <si>
    <t>9,card,27.92,Americano,Morning,Fri,May,5,5,2024-05-17,09:00:48.456000</t>
  </si>
  <si>
    <t>11,card,32.82,Americano with Milk,Morning,Fri,May,5,5,2024-05-17,11:30:27.553000</t>
  </si>
  <si>
    <t>19,card,32.82,Americano with Milk,Night,Fri,May,5,5,2024-05-17,19:55:18.534000</t>
  </si>
  <si>
    <t>19,card,37.72,Cappuccino,Night,Fri,May,5,5,2024-05-17,19:56:46.751000</t>
  </si>
  <si>
    <t>20,card,37.72,Cappuccino,Night,Fri,May,5,5,2024-05-17,20:37:52.930000</t>
  </si>
  <si>
    <t>22,card,27.92,Americano,Night,Fri,May,5,5,2024-05-17,22:34:50.797000</t>
  </si>
  <si>
    <t>22,card,37.72,Latte,Night,Fri,May,5,5,2024-05-17,22:36:33.357000</t>
  </si>
  <si>
    <t>22,card,37.72,Latte,Night,Fri,May,5,5,2024-05-17,22:37:42.821000</t>
  </si>
  <si>
    <t>8,card,37.72,Cappuccino,Morning,Sat,May,6,5,2024-05-18,08:01:37.898000</t>
  </si>
  <si>
    <t>8,card,37.72,Cappuccino,Morning,Sat,May,6,5,2024-05-18,08:02:39.959000</t>
  </si>
  <si>
    <t>11,card,32.82,Americano with Milk,Morning,Sat,May,6,5,2024-05-18,11:15:56.089000</t>
  </si>
  <si>
    <t>16,card,32.82,Americano with Milk,Afternoon,Sat,May,6,5,2024-05-18,16:48:29.374000</t>
  </si>
  <si>
    <t>16,card,32.82,Americano with Milk,Afternoon,Sat,May,6,5,2024-05-18,16:49:27.131000</t>
  </si>
  <si>
    <t>19,card,32.82,Americano with Milk,Night,Sat,May,6,5,2024-05-18,19:58:44.210000</t>
  </si>
  <si>
    <t>20,card,37.72,Latte,Night,Sat,May,6,5,2024-05-18,20:22:53.111000</t>
  </si>
  <si>
    <t>7,card,27.92,Americano,Morning,Sun,May,7,5,2024-05-19,07:58:38.312000</t>
  </si>
  <si>
    <t>7,card,27.92,Americano,Morning,Sun,May,7,5,2024-05-19,07:59:33.549000</t>
  </si>
  <si>
    <t>8,card,37.72,Cappuccino,Morning,Sun,May,7,5,2024-05-19,08:00:35.061000</t>
  </si>
  <si>
    <t>12,card,32.82,Americano with Milk,Afternoon,Sun,May,7,5,2024-05-19,12:14:26.676000</t>
  </si>
  <si>
    <t>14,card,27.92,Americano,Afternoon,Sun,May,7,5,2024-05-19,14:43:40.049000</t>
  </si>
  <si>
    <t>15,card,32.82,Americano with Milk,Afternoon,Sun,May,7,5,2024-05-19,15:58:58.192000</t>
  </si>
  <si>
    <t>18,card,32.82,Americano with Milk,Night,Sun,May,7,5,2024-05-19,18:12:36.304000</t>
  </si>
  <si>
    <t>18,card,23.02,Espresso,Night,Sun,May,7,5,2024-05-19,18:13:47.762000</t>
  </si>
  <si>
    <t>18,card,37.72,Hot Chocolate,Night,Sun,May,7,5,2024-05-19,18:16:30.022000</t>
  </si>
  <si>
    <t>19,card,37.72,Cappuccino,Night,Sun,May,7,5,2024-05-19,19:51:06.979000</t>
  </si>
  <si>
    <t>21,card,37.72,Cappuccino,Night,Sun,May,7,5,2024-05-19,21:15:41.761000</t>
  </si>
  <si>
    <t>21,card,37.72,Cappuccino,Night,Sun,May,7,5,2024-05-19,21:18:36.101000</t>
  </si>
  <si>
    <t>10,card,32.82,Americano with Milk,Morning,Mon,May,1,5,2024-05-20,10:05:59.163000</t>
  </si>
  <si>
    <t>10,card,37.72,Latte,Morning,Mon,May,1,5,2024-05-20,10:17:51.867000</t>
  </si>
  <si>
    <t>10,card,37.72,Latte,Morning,Mon,May,1,5,2024-05-20,10:58:48.379000</t>
  </si>
  <si>
    <t>11,card,27.92,Americano,Morning,Mon,May,1,5,2024-05-20,11:15:16.363000</t>
  </si>
  <si>
    <t>11,card,27.92,Americano,Morning,Mon,May,1,5,2024-05-20,11:16:19.637000</t>
  </si>
  <si>
    <t>13,card,27.92,Americano,Afternoon,Mon,May,1,5,2024-05-20,13:27:13.420000</t>
  </si>
  <si>
    <t>13,card,27.92,Americano,Afternoon,Mon,May,1,5,2024-05-20,13:28:10.440000</t>
  </si>
  <si>
    <t>14,card,32.82,Americano with Milk,Afternoon,Mon,May,1,5,2024-05-20,14:13:19.017000</t>
  </si>
  <si>
    <t>14,card,37.72,Cappuccino,Afternoon,Mon,May,1,5,2024-05-20,14:14:31.354000</t>
  </si>
  <si>
    <t>17,card,37.72,Latte,Night,Mon,May,1,5,2024-05-20,17:12:51.121000</t>
  </si>
  <si>
    <t>17,card,37.72,Latte,Night,Mon,May,1,5,2024-05-20,17:13:56.897000</t>
  </si>
  <si>
    <t>20,card,32.82,Americano with Milk,Night,Mon,May,1,5,2024-05-20,20:36:48.320000</t>
  </si>
  <si>
    <t>20,card,37.72,Cocoa,Night,Mon,May,1,5,2024-05-20,20:37:57.316000</t>
  </si>
  <si>
    <t>20,card,27.92,Cortado,Night,Mon,May,1,5,2024-05-20,20:46:52.085000</t>
  </si>
  <si>
    <t>21,card,32.82,Americano with Milk,Night,Mon,May,1,5,2024-05-20,21:36:53.986000</t>
  </si>
  <si>
    <t>21,card,32.82,Americano with Milk,Night,Mon,May,1,5,2024-05-20,21:37:57.777000</t>
  </si>
  <si>
    <t>8,card,37.72,Latte,Morning,Tue,May,2,5,2024-05-21,08:27:38.230000</t>
  </si>
  <si>
    <t>16,card,37.72,Latte,Afternoon,Tue,May,2,5,2024-05-21,16:10:19.956000</t>
  </si>
  <si>
    <t>18,card,23.02,Espresso,Night,Tue,May,2,5,2024-05-21,18:13:23.998000</t>
  </si>
  <si>
    <t>19,card,37.72,Cappuccino,Night,Tue,May,2,5,2024-05-21,19:11:09.212000</t>
  </si>
  <si>
    <t>20,card,37.72,Cappuccino,Night,Tue,May,2,5,2024-05-21,20:13:48.358000</t>
  </si>
  <si>
    <t>9,card,37.72,Cappuccino,Morning,Wed,May,3,5,2024-05-22,09:34:41.818000</t>
  </si>
  <si>
    <t>10,card,32.82,Americano with Milk,Morning,Wed,May,3,5,2024-05-22,10:49:47.044000</t>
  </si>
  <si>
    <t>11,card,27.92,Cortado,Morning,Wed,May,3,5,2024-05-22,11:18:14.265000</t>
  </si>
  <si>
    <t>11,card,32.82,Americano with Milk,Morning,Wed,May,3,5,2024-05-22,11:34:54.968000</t>
  </si>
  <si>
    <t>12,card,27.92,Americano,Afternoon,Wed,May,3,5,2024-05-22,12:29:50.841000</t>
  </si>
  <si>
    <t>12,card,27.92,Americano,Afternoon,Wed,May,3,5,2024-05-22,12:30:43.347000</t>
  </si>
  <si>
    <t>14,card,32.82,Americano with Milk,Afternoon,Wed,May,3,5,2024-05-22,14:00:20.499000</t>
  </si>
  <si>
    <t>19,card,37.72,Cappuccino,Night,Wed,May,3,5,2024-05-22,19:24:58.098000</t>
  </si>
  <si>
    <t>19,card,37.72,Cappuccino,Night,Wed,May,3,5,2024-05-22,19:25:58.574000</t>
  </si>
  <si>
    <t>21,card,37.72,Hot Chocolate,Night,Wed,May,3,5,2024-05-22,21:23:53</t>
  </si>
  <si>
    <t>21,card,37.72,Cappuccino,Night,Wed,May,3,5,2024-05-22,21:24:49.584000</t>
  </si>
  <si>
    <t>10,card,37.72,Cappuccino,Morning,Thu,May,4,5,2024-05-23,10:10:19.640000</t>
  </si>
  <si>
    <t>12,card,23.02,Espresso,Afternoon,Thu,May,4,5,2024-05-23,12:22:06.605000</t>
  </si>
  <si>
    <t>15,card,37.72,Cappuccino,Afternoon,Thu,May,4,5,2024-05-23,15:55:16.628000</t>
  </si>
  <si>
    <t>15,card,37.72,Cappuccino,Afternoon,Thu,May,4,5,2024-05-23,15:56:27.237000</t>
  </si>
  <si>
    <t>16,card,37.72,Cappuccino,Afternoon,Thu,May,4,5,2024-05-23,16:18:14.053000</t>
  </si>
  <si>
    <t>16,card,37.72,Latte,Afternoon,Thu,May,4,5,2024-05-23,16:41:00.043000</t>
  </si>
  <si>
    <t>17,card,37.72,Cappuccino,Night,Thu,May,4,5,2024-05-23,17:14:33.237000</t>
  </si>
  <si>
    <t>17,card,37.72,Latte,Night,Thu,May,4,5,2024-05-23,17:15:44.861000</t>
  </si>
  <si>
    <t>19,card,27.92,Cortado,Night,Thu,May,4,5,2024-05-23,19:03:53.856000</t>
  </si>
  <si>
    <t>19,card,37.72,Cappuccino,Night,Thu,May,4,5,2024-05-23,19:17:28.431000</t>
  </si>
  <si>
    <t>19,card,37.72,Cappuccino,Night,Thu,May,4,5,2024-05-23,19:18:26.418000</t>
  </si>
  <si>
    <t>19,card,37.72,Cappuccino,Night,Thu,May,4,5,2024-05-23,19:42:31.546000</t>
  </si>
  <si>
    <t>20,card,37.72,Cappuccino,Night,Thu,May,4,5,2024-05-23,20:15:01.429000</t>
  </si>
  <si>
    <t>20,card,37.72,Latte,Night,Thu,May,4,5,2024-05-23,20:16:24.205000</t>
  </si>
  <si>
    <t>22,card,32.82,Americano with Milk,Night,Thu,May,4,5,2024-05-23,22:48:10.813000</t>
  </si>
  <si>
    <t>11,card,27.92,Cortado,Morning,Fri,May,5,5,2024-05-24,11:11:59.182000</t>
  </si>
  <si>
    <t>11,card,27.92,Americano,Morning,Fri,May,5,5,2024-05-24,11:15:08.341000</t>
  </si>
  <si>
    <t>11,card,27.92,Americano,Morning,Fri,May,5,5,2024-05-24,11:16:13.016000</t>
  </si>
  <si>
    <t>16,card,37.72,Hot Chocolate,Afternoon,Fri,May,5,5,2024-05-24,16:07:19.816000</t>
  </si>
  <si>
    <t>18,card,27.92,Cortado,Night,Fri,May,5,5,2024-05-24,18:17:40.330000</t>
  </si>
  <si>
    <t>18,card,27.92,Cortado,Night,Fri,May,5,5,2024-05-24,18:18:36.698000</t>
  </si>
  <si>
    <t>22,card,32.82,Americano with Milk,Night,Fri,May,5,5,2024-05-24,22:30:40.198000</t>
  </si>
  <si>
    <t>12,card,37.72,Latte,Afternoon,Sat,May,6,5,2024-05-25,12:13:53.388000</t>
  </si>
  <si>
    <t>12,card,32.82,Americano with Milk,Afternoon,Sat,May,6,5,2024-05-25,12:42:10.258000</t>
  </si>
  <si>
    <t>12,card,32.82,Americano with Milk,Afternoon,Sat,May,6,5,2024-05-25,12:43:13.275000</t>
  </si>
  <si>
    <t>12,card,32.82,Americano with Milk,Afternoon,Sat,May,6,5,2024-05-25,12:58:12.049000</t>
  </si>
  <si>
    <t>16,card,32.82,Americano with Milk,Afternoon,Sat,May,6,5,2024-05-25,16:47:09.557000</t>
  </si>
  <si>
    <t>16,card,27.92,Americano,Afternoon,Sat,May,6,5,2024-05-25,16:48:16.834000</t>
  </si>
  <si>
    <t>10,card,37.72,Latte,Morning,Sun,May,7,5,2024-05-26,10:20:02.233000</t>
  </si>
  <si>
    <t>14,card,32.82,Americano with Milk,Afternoon,Sun,May,7,5,2024-05-26,14:24:49.812000</t>
  </si>
  <si>
    <t>14,card,27.92,Cortado,Afternoon,Sun,May,7,5,2024-05-26,14:26:05.248000</t>
  </si>
  <si>
    <t>14,card,32.82,Americano with Milk,Afternoon,Sun,May,7,5,2024-05-26,14:40:58.882000</t>
  </si>
  <si>
    <t>17,card,37.72,Cappuccino,Night,Sun,May,7,5,2024-05-26,17:19:15.521000</t>
  </si>
  <si>
    <t>18,card,37.72,Hot Chocolate,Night,Sun,May,7,5,2024-05-26,18:09:52.843000</t>
  </si>
  <si>
    <t>18,card,37.72,Hot Chocolate,Night,Sun,May,7,5,2024-05-26,18:11:02.204000</t>
  </si>
  <si>
    <t>18,card,27.92,Americano,Night,Sun,May,7,5,2024-05-26,18:13:14.299000</t>
  </si>
  <si>
    <t>18,card,37.72,Latte,Night,Sun,May,7,5,2024-05-26,18:39:18.794000</t>
  </si>
  <si>
    <t>20,card,37.72,Hot Chocolate,Night,Sun,May,7,5,2024-05-26,20:59:14.954000</t>
  </si>
  <si>
    <t>21,card,37.72,Cappuccino,Night,Sun,May,7,5,2024-05-26,21:00:05.568000</t>
  </si>
  <si>
    <t>21,card,27.92,Cortado,Night,Sun,May,7,5,2024-05-26,21:02:36.935000</t>
  </si>
  <si>
    <t>21,card,37.72,Cappuccino,Night,Sun,May,7,5,2024-05-26,21:03:51.772000</t>
  </si>
  <si>
    <t>21,card,37.72,Latte,Night,Sun,May,7,5,2024-05-26,21:04:58.824000</t>
  </si>
  <si>
    <t>21,card,37.72,Cappuccino,Night,Sun,May,7,5,2024-05-26,21:06:02.621000</t>
  </si>
  <si>
    <t>11,card,27.92,Americano,Morning,Mon,May,1,5,2024-05-27,11:34:55.252000</t>
  </si>
  <si>
    <t>14,card,32.82,Americano with Milk,Afternoon,Mon,May,1,5,2024-05-27,14:05:21.688000</t>
  </si>
  <si>
    <t>14,card,37.72,Cocoa,Afternoon,Mon,May,1,5,2024-05-27,14:06:43.564000</t>
  </si>
  <si>
    <t>15,card,27.92,Americano,Afternoon,Mon,May,1,5,2024-05-27,15:11:34.061000</t>
  </si>
  <si>
    <t>15,card,27.92,Americano,Afternoon,Mon,May,1,5,2024-05-27,15:14:05.788000</t>
  </si>
  <si>
    <t>17,card,37.72,Latte,Night,Mon,May,1,5,2024-05-27,17:50:55.763000</t>
  </si>
  <si>
    <t>18,card,27.92,Americano,Night,Mon,May,1,5,2024-05-27,18:00:50.983000</t>
  </si>
  <si>
    <t>19,card,37.72,Latte,Night,Mon,May,1,5,2024-05-27,19:16:27.404000</t>
  </si>
  <si>
    <t>19,card,37.72,Latte,Night,Mon,May,1,5,2024-05-27,19:17:38.729000</t>
  </si>
  <si>
    <t>21,card,32.82,Americano with Milk,Night,Mon,May,1,5,2024-05-27,21:29:07.085000</t>
  </si>
  <si>
    <t>21,card,37.72,Cappuccino,Night,Mon,May,1,5,2024-05-27,21:30:19.772000</t>
  </si>
  <si>
    <t>8,card,32.82,Americano with Milk,Morning,Tue,May,2,5,2024-05-28,08:37:09.028000</t>
  </si>
  <si>
    <t>9,card,32.82,Americano with Milk,Morning,Tue,May,2,5,2024-05-28,09:20:10.736000</t>
  </si>
  <si>
    <t>11,card,37.72,Cappuccino,Morning,Tue,May,2,5,2024-05-28,11:48:18.494000</t>
  </si>
  <si>
    <t>13,card,37.72,Cappuccino,Afternoon,Tue,May,2,5,2024-05-28,13:14:40.435000</t>
  </si>
  <si>
    <t>14,card,37.72,Cocoa,Afternoon,Tue,May,2,5,2024-05-28,14:10:53.691000</t>
  </si>
  <si>
    <t>16,card,27.92,Cortado,Afternoon,Tue,May,2,5,2024-05-28,16:25:39.330000</t>
  </si>
  <si>
    <t>19,card,27.92,Americano,Night,Tue,May,2,5,2024-05-28,19:09:29.069000</t>
  </si>
  <si>
    <t>19,card,37.72,Latte,Night,Tue,May,2,5,2024-05-28,19:10:31.070000</t>
  </si>
  <si>
    <t>20,card,32.82,Americano with Milk,Night,Tue,May,2,5,2024-05-28,20:24:32.205000</t>
  </si>
  <si>
    <t>20,card,27.92,Americano,Night,Tue,May,2,5,2024-05-28,20:50:19.449000</t>
  </si>
  <si>
    <t>9,card,37.72,Latte,Morning,Wed,May,3,5,2024-05-29,09:14:43.704000</t>
  </si>
  <si>
    <t>11,card,37.72,Hot Chocolate,Morning,Wed,May,3,5,2024-05-29,11:14:02.855000</t>
  </si>
  <si>
    <t>15,card,27.92,Americano,Afternoon,Wed,May,3,5,2024-05-29,15:10:48.545000</t>
  </si>
  <si>
    <t>15,card,37.72,Latte,Afternoon,Wed,May,3,5,2024-05-29,15:22:56.321000</t>
  </si>
  <si>
    <t>15,card,37.72,Cappuccino,Afternoon,Wed,May,3,5,2024-05-29,15:45:12.738000</t>
  </si>
  <si>
    <t>16,card,37.72,Latte,Afternoon,Wed,May,3,5,2024-05-29,16:45:03.950000</t>
  </si>
  <si>
    <t>18,card,27.92,Cortado,Night,Wed,May,3,5,2024-05-29,18:24:03.334000</t>
  </si>
  <si>
    <t>18,card,37.72,Latte,Night,Wed,May,3,5,2024-05-29,18:24:59.311000</t>
  </si>
  <si>
    <t>20,card,37.72,Hot Chocolate,Night,Wed,May,3,5,2024-05-29,20:30:42.240000</t>
  </si>
  <si>
    <t>20,card,37.72,Cocoa,Night,Wed,May,3,5,2024-05-29,20:32:35.200000</t>
  </si>
  <si>
    <t>8,card,37.72,Cappuccino,Morning,Thu,May,4,5,2024-05-30,08:29:06.277000</t>
  </si>
  <si>
    <t>8,card,37.72,Latte,Morning,Thu,May,4,5,2024-05-30,08:30:21.586000</t>
  </si>
  <si>
    <t>8,card,32.82,Americano with Milk,Morning,Thu,May,4,5,2024-05-30,08:37:05.382000</t>
  </si>
  <si>
    <t>9,card,37.72,Latte,Morning,Thu,May,4,5,2024-05-30,09:47:59.092000</t>
  </si>
  <si>
    <t>14,card,32.82,Americano with Milk,Afternoon,Thu,May,4,5,2024-05-30,14:56:15.473000</t>
  </si>
  <si>
    <t>15,card,23.02,Espresso,Afternoon,Thu,May,4,5,2024-05-30,15:16:15.665000</t>
  </si>
  <si>
    <t>15,card,23.02,Espresso,Afternoon,Thu,May,4,5,2024-05-30,15:17:38.656000</t>
  </si>
  <si>
    <t>19,card,37.72,Cappuccino,Night,Thu,May,4,5,2024-05-30,19:53:11.189000</t>
  </si>
  <si>
    <t>20,card,37.72,Latte,Night,Thu,May,4,5,2024-05-30,20:31:05.430000</t>
  </si>
  <si>
    <t>20,card,37.72,Hot Chocolate,Night,Thu,May,4,5,2024-05-30,20:46:13.835000</t>
  </si>
  <si>
    <t>20,card,32.82,Americano with Milk,Night,Thu,May,4,5,2024-05-30,20:47:21.586000</t>
  </si>
  <si>
    <t>7,card,32.82,Americano with Milk,Morning,Fri,May,5,5,2024-05-31,07:53:57.274000</t>
  </si>
  <si>
    <t>9,card,37.72,Latte,Morning,Fri,May,5,5,2024-05-31,09:21:07.821000</t>
  </si>
  <si>
    <t>10,card,37.72,Hot Chocolate,Morning,Fri,May,5,5,2024-05-31,10:38:07.861000</t>
  </si>
  <si>
    <t>10,card,37.72,Cocoa,Morning,Fri,May,5,5,2024-05-31,10:39:06.136000</t>
  </si>
  <si>
    <t>14,card,32.82,Americano with Milk,Afternoon,Fri,May,5,5,2024-05-31,14:50:12.976000</t>
  </si>
  <si>
    <t>18,card,37.72,Latte,Night,Fri,May,5,5,2024-05-31,18:23:44.636000</t>
  </si>
  <si>
    <t>18,card,37.72,Latte,Night,Fri,May,5,5,2024-05-31,18:25:03.271000</t>
  </si>
  <si>
    <t>20,card,37.72,Cappuccino,Night,Fri,May,5,5,2024-05-31,20:06:39.166000</t>
  </si>
  <si>
    <t>20,card,32.82,Americano with Milk,Night,Fri,May,5,5,2024-05-31,20:33:06.403000</t>
  </si>
  <si>
    <t>20,card,37.72,Latte,Night,Fri,May,5,5,2024-05-31,20:34:32.903000</t>
  </si>
  <si>
    <t>22,card,37.72,Cappuccino,Night,Fri,May,5,5,2024-05-31,22:05:47.070000</t>
  </si>
  <si>
    <t>22,card,32.82,Americano with Milk,Night,Fri,May,5,5,2024-05-31,22:06:52.490000</t>
  </si>
  <si>
    <t>22,card,27.92,Cortado,Night,Fri,May,5,5,2024-05-31,22:07:55.368000</t>
  </si>
  <si>
    <t>8,card,27.92,Cortado,Morning,Sat,Jun,6,6,2024-06-01,08:27:01.745000</t>
  </si>
  <si>
    <t>9,card,37.72,Latte,Morning,Sat,Jun,6,6,2024-06-01,09:48:24.750000</t>
  </si>
  <si>
    <t>11,card,37.72,Latte,Morning,Sat,Jun,6,6,2024-06-01,11:38:09.371000</t>
  </si>
  <si>
    <t>14,card,32.82,Americano with Milk,Afternoon,Sat,Jun,6,6,2024-06-01,14:28:53.739000</t>
  </si>
  <si>
    <t>18,card,32.82,Americano with Milk,Night,Sat,Jun,6,6,2024-06-01,18:20:12.780000</t>
  </si>
  <si>
    <t>18,card,32.82,Americano with Milk,Night,Sat,Jun,6,6,2024-06-01,18:21:15.363000</t>
  </si>
  <si>
    <t>20,card,37.72,Cappuccino,Night,Sat,Jun,6,6,2024-06-01,20:50:10.488000</t>
  </si>
  <si>
    <t>20,card,37.72,Cappuccino,Night,Sat,Jun,6,6,2024-06-01,20:51:13.565000</t>
  </si>
  <si>
    <t>20,card,37.72,Cocoa,Night,Sat,Jun,6,6,2024-06-01,20:59:09.689000</t>
  </si>
  <si>
    <t>21,card,32.82,Americano with Milk,Night,Sat,Jun,6,6,2024-06-01,21:51:04.971000</t>
  </si>
  <si>
    <t>20,card,37.72,Latte,Night,Sun,Jun,7,6,2024-06-02,20:03:25.799000</t>
  </si>
  <si>
    <t>20,card,32.82,Americano with Milk,Night,Sun,Jun,7,6,2024-06-02,20:24:02.449000</t>
  </si>
  <si>
    <t>20,card,37.72,Cappuccino,Night,Sun,Jun,7,6,2024-06-02,20:25:07.238000</t>
  </si>
  <si>
    <t>21,card,32.82,Americano with Milk,Night,Sun,Jun,7,6,2024-06-02,21:07:20.531000</t>
  </si>
  <si>
    <t>21,card,37.72,Latte,Night,Sun,Jun,7,6,2024-06-02,21:30:12.430000</t>
  </si>
  <si>
    <t>10,card,37.72,Latte,Morning,Mon,Jun,1,6,2024-06-03,10:12:04.141000</t>
  </si>
  <si>
    <t>10,card,37.72,Latte,Morning,Mon,Jun,1,6,2024-06-03,10:27:49.797000</t>
  </si>
  <si>
    <t>14,card,37.72,Cappuccino,Afternoon,Mon,Jun,1,6,2024-06-03,14:31:42.338000</t>
  </si>
  <si>
    <t>14,card,32.82,Americano with Milk,Afternoon,Mon,Jun,1,6,2024-06-03,14:33:00.952000</t>
  </si>
  <si>
    <t>14,card,37.72,Latte,Afternoon,Mon,Jun,1,6,2024-06-03,14:34:06.922000</t>
  </si>
  <si>
    <t>9,card,27.92,Cortado,Morning,Tue,Jun,2,6,2024-06-04,09:23:42.898000</t>
  </si>
  <si>
    <t>10,card,32.82,Americano with Milk,Morning,Tue,Jun,2,6,2024-06-04,10:27:13.975000</t>
  </si>
  <si>
    <t>12,card,37.72,Latte,Afternoon,Tue,Jun,2,6,2024-06-04,12:02:10.213000</t>
  </si>
  <si>
    <t>12,card,37.72,Hot Chocolate,Afternoon,Tue,Jun,2,6,2024-06-04,12:05:29.186000</t>
  </si>
  <si>
    <t>15,card,37.72,Latte,Afternoon,Tue,Jun,2,6,2024-06-04,15:30:32.455000</t>
  </si>
  <si>
    <t>17,card,27.92,Cortado,Night,Tue,Jun,2,6,2024-06-04,17:46:36.661000</t>
  </si>
  <si>
    <t>17,card,37.72,Cappuccino,Night,Tue,Jun,2,6,2024-06-04,17:47:28.847000</t>
  </si>
  <si>
    <t>20,card,37.72,Hot Chocolate,Night,Tue,Jun,2,6,2024-06-04,20:13:01.204000</t>
  </si>
  <si>
    <t>20,card,37.72,Cappuccino,Night,Tue,Jun,2,6,2024-06-04,20:50:33.896000</t>
  </si>
  <si>
    <t>21,card,27.92,Cortado,Night,Tue,Jun,2,6,2024-06-04,21:31:58.908000</t>
  </si>
  <si>
    <t>21,card,32.82,Americano with Milk,Night,Tue,Jun,2,6,2024-06-04,21:33:02.621000</t>
  </si>
  <si>
    <t>21,card,32.82,Americano with Milk,Night,Tue,Jun,2,6,2024-06-04,21:34:55.667000</t>
  </si>
  <si>
    <t>21,card,32.82,Americano with Milk,Night,Tue,Jun,2,6,2024-06-04,21:36:06.924000</t>
  </si>
  <si>
    <t>21,card,32.82,Americano with Milk,Night,Tue,Jun,2,6,2024-06-04,21:37:15.164000</t>
  </si>
  <si>
    <t>8,card,37.72,Cappuccino,Morning,Wed,Jun,3,6,2024-06-05,08:21:48.964000</t>
  </si>
  <si>
    <t>8,card,37.72,Cappuccino,Morning,Wed,Jun,3,6,2024-06-05,08:23:06.723000</t>
  </si>
  <si>
    <t>9,card,27.92,Americano,Morning,Wed,Jun,3,6,2024-06-05,09:22:43.108000</t>
  </si>
  <si>
    <t>10,card,37.72,Latte,Morning,Wed,Jun,3,6,2024-06-05,10:28:50.620000</t>
  </si>
  <si>
    <t>10,card,32.82,Americano with Milk,Morning,Wed,Jun,3,6,2024-06-05,10:40:53.188000</t>
  </si>
  <si>
    <t>19,card,32.82,Americano with Milk,Night,Wed,Jun,3,6,2024-06-05,19:43:57.675000</t>
  </si>
  <si>
    <t>19,card,37.72,Latte,Night,Wed,Jun,3,6,2024-06-05,19:59:53.527000</t>
  </si>
  <si>
    <t>20,card,37.72,Cocoa,Night,Wed,Jun,3,6,2024-06-05,20:10:47.623000</t>
  </si>
  <si>
    <t>20,card,27.92,Cortado,Night,Wed,Jun,3,6,2024-06-05,20:12:01.658000</t>
  </si>
  <si>
    <t>8,card,32.82,Americano with Milk,Morning,Thu,Jun,4,6,2024-06-06,08:52:56.351000</t>
  </si>
  <si>
    <t>8,card,32.82,Americano with Milk,Morning,Thu,Jun,4,6,2024-06-06,08:54:08.455000</t>
  </si>
  <si>
    <t>10,card,37.72,Latte,Morning,Thu,Jun,4,6,2024-06-06,10:36:09.667000</t>
  </si>
  <si>
    <t>12,card,27.92,Americano,Afternoon,Thu,Jun,4,6,2024-06-06,12:17:41.474000</t>
  </si>
  <si>
    <t>15,card,32.82,Americano with Milk,Afternoon,Thu,Jun,4,6,2024-06-06,15:11:14.185000</t>
  </si>
  <si>
    <t>15,card,37.72,Cappuccino,Afternoon,Thu,Jun,4,6,2024-06-06,15:24:06.221000</t>
  </si>
  <si>
    <t>21,card,37.72,Latte,Night,Thu,Jun,4,6,2024-06-06,21:14:05.102000</t>
  </si>
  <si>
    <t>21,card,37.72,Latte,Night,Thu,Jun,4,6,2024-06-06,21:15:42.227000</t>
  </si>
  <si>
    <t>21,card,37.72,Cappuccino,Night,Thu,Jun,4,6,2024-06-06,21:18:26.713000</t>
  </si>
  <si>
    <t>21,card,32.82,Americano with Milk,Night,Thu,Jun,4,6,2024-06-06,21:19:30.436000</t>
  </si>
  <si>
    <t>21,card,37.72,Latte,Night,Thu,Jun,4,6,2024-06-06,21:21:04.440000</t>
  </si>
  <si>
    <t>8,card,37.72,Cappuccino,Morning,Fri,Jun,5,6,2024-06-07,08:18:04.296000</t>
  </si>
  <si>
    <t>10,card,23.02,Espresso,Morning,Fri,Jun,5,6,2024-06-07,10:35:28.104000</t>
  </si>
  <si>
    <t>13,card,32.82,Americano with Milk,Afternoon,Fri,Jun,5,6,2024-06-07,13:34:18.297000</t>
  </si>
  <si>
    <t>16,card,27.92,Cortado,Afternoon,Fri,Jun,5,6,2024-06-07,16:45:42.218000</t>
  </si>
  <si>
    <t>16,card,27.92,Cortado,Afternoon,Fri,Jun,5,6,2024-06-07,16:47:15.481000</t>
  </si>
  <si>
    <t>9,card,27.92,Cortado,Morning,Sat,Jun,6,6,2024-06-08,09:04:20.016000</t>
  </si>
  <si>
    <t>9,card,32.82,Americano with Milk,Morning,Sat,Jun,6,6,2024-06-08,09:26:11.160000</t>
  </si>
  <si>
    <t>20,card,37.72,Cappuccino,Night,Sat,Jun,6,6,2024-06-08,20:24:54.320000</t>
  </si>
  <si>
    <t>20,card,37.72,Cappuccino,Night,Sat,Jun,6,6,2024-06-08,20:25:56.316000</t>
  </si>
  <si>
    <t>8,card,37.72,Latte,Morning,Sun,Jun,7,6,2024-06-09,08:15:52.760000</t>
  </si>
  <si>
    <t>10,card,37.72,Latte,Morning,Sun,Jun,7,6,2024-06-09,10:30:04.461000</t>
  </si>
  <si>
    <t>10,card,37.72,Cappuccino,Morning,Sun,Jun,7,6,2024-06-09,10:52:05.797000</t>
  </si>
  <si>
    <t>11,card,27.92,Cortado,Morning,Sun,Jun,7,6,2024-06-09,11:04:41.306000</t>
  </si>
  <si>
    <t>11,card,23.02,Espresso,Morning,Sun,Jun,7,6,2024-06-09,11:07:08.108000</t>
  </si>
  <si>
    <t>11,card,37.72,Cappuccino,Morning,Sun,Jun,7,6,2024-06-09,11:52:49.616000</t>
  </si>
  <si>
    <t>12,card,32.82,Americano with Milk,Afternoon,Sun,Jun,7,6,2024-06-09,12:11:23.640000</t>
  </si>
  <si>
    <t>12,card,37.72,Latte,Afternoon,Sun,Jun,7,6,2024-06-09,12:13:08.067000</t>
  </si>
  <si>
    <t>12,card,37.72,Latte,Afternoon,Sun,Jun,7,6,2024-06-09,12:14:10.783000</t>
  </si>
  <si>
    <t>15,card,27.92,Cortado,Afternoon,Sun,Jun,7,6,2024-06-09,15:10:30.692000</t>
  </si>
  <si>
    <t>16,card,37.72,Cappuccino,Afternoon,Sun,Jun,7,6,2024-06-09,16:17:28.189000</t>
  </si>
  <si>
    <t>19,card,32.82,Americano with Milk,Night,Sun,Jun,7,6,2024-06-09,19:21:19.277000</t>
  </si>
  <si>
    <t>21,card,27.92,Americano,Night,Sun,Jun,7,6,2024-06-09,21:05:08.844000</t>
  </si>
  <si>
    <t>12,card,37.72,Cappuccino,Afternoon,Mon,Jun,1,6,2024-06-10,12:47:49.861000</t>
  </si>
  <si>
    <t>12,card,37.72,Latte,Afternoon,Mon,Jun,1,6,2024-06-10,12:56:48.268000</t>
  </si>
  <si>
    <t>19,card,37.72,Hot Chocolate,Night,Mon,Jun,1,6,2024-06-10,19:04:28.106000</t>
  </si>
  <si>
    <t>19,card,37.72,Hot Chocolate,Night,Mon,Jun,1,6,2024-06-10,19:05:22.770000</t>
  </si>
  <si>
    <t>19,card,37.72,Latte,Night,Mon,Jun,1,6,2024-06-10,19:37:23.602000</t>
  </si>
  <si>
    <t>19,card,37.72,Latte,Night,Mon,Jun,1,6,2024-06-10,19:38:19.678000</t>
  </si>
  <si>
    <t>10,card,32.82,Americano with Milk,Morning,Tue,Jun,2,6,2024-06-11,10:38:03.953000</t>
  </si>
  <si>
    <t>18,card,37.72,Latte,Night,Tue,Jun,2,6,2024-06-11,18:48:25.292000</t>
  </si>
  <si>
    <t>18,card,37.72,Latte,Night,Tue,Jun,2,6,2024-06-11,18:49:36.428000</t>
  </si>
  <si>
    <t>21,card,37.72,Hot Chocolate,Night,Tue,Jun,2,6,2024-06-11,21:17:03.344000</t>
  </si>
  <si>
    <t>21,card,32.82,Americano with Milk,Night,Tue,Jun,2,6,2024-06-11,21:27:41.900000</t>
  </si>
  <si>
    <t>21,card,32.82,Americano with Milk,Night,Tue,Jun,2,6,2024-06-11,21:28:50.220000</t>
  </si>
  <si>
    <t>10,card,37.72,Hot Chocolate,Morning,Wed,Jun,3,6,2024-06-12,10:18:18.786000</t>
  </si>
  <si>
    <t>11,card,37.72,Cappuccino,Morning,Wed,Jun,3,6,2024-06-12,11:51:43.858000</t>
  </si>
  <si>
    <t>17,card,37.72,Latte,Night,Wed,Jun,3,6,2024-06-12,17:41:17.179000</t>
  </si>
  <si>
    <t>17,card,37.72,Latte,Night,Wed,Jun,3,6,2024-06-12,17:47:27.878000</t>
  </si>
  <si>
    <t>20,card,37.72,Hot Chocolate,Night,Wed,Jun,3,6,2024-06-12,20:16:33.648000</t>
  </si>
  <si>
    <t>20,card,32.82,Americano with Milk,Night,Wed,Jun,3,6,2024-06-12,20:25:34.239000</t>
  </si>
  <si>
    <t>8,card,27.92,Americano,Morning,Thu,Jun,4,6,2024-06-13,08:54:24.207000</t>
  </si>
  <si>
    <t>8,card,37.72,Latte,Morning,Thu,Jun,4,6,2024-06-13,08:57:25.592000</t>
  </si>
  <si>
    <t>9,card,32.82,Americano with Milk,Morning,Thu,Jun,4,6,2024-06-13,09:50:25.038000</t>
  </si>
  <si>
    <t>9,card,27.92,Cortado,Morning,Thu,Jun,4,6,2024-06-13,09:57:11.518000</t>
  </si>
  <si>
    <t>17,card,32.82,Americano with Milk,Night,Thu,Jun,4,6,2024-06-13,17:04:58.601000</t>
  </si>
  <si>
    <t>17,card,37.72,Hot Chocolate,Night,Thu,Jun,4,6,2024-06-13,17:27:46.626000</t>
  </si>
  <si>
    <t>19,card,37.72,Latte,Night,Thu,Jun,4,6,2024-06-13,19:22:19.083000</t>
  </si>
  <si>
    <t>20,card,32.82,Americano with Milk,Night,Thu,Jun,4,6,2024-06-13,20:20:51.762000</t>
  </si>
  <si>
    <t>20,card,23.02,Espresso,Night,Thu,Jun,4,6,2024-06-13,20:43:45.991000</t>
  </si>
  <si>
    <t>20,card,23.02,Espresso,Night,Thu,Jun,4,6,2024-06-13,20:45:00.615000</t>
  </si>
  <si>
    <t>20,card,32.82,Americano with Milk,Night,Thu,Jun,4,6,2024-06-13,20:48:17.902000</t>
  </si>
  <si>
    <t>21,card,32.82,Americano with Milk,Night,Thu,Jun,4,6,2024-06-13,21:02:28.377000</t>
  </si>
  <si>
    <t>7,card,27.92,Cortado,Morning,Fri,Jun,5,6,2024-06-14,07:46:13.238000</t>
  </si>
  <si>
    <t>10,card,27.92,Americano,Morning,Fri,Jun,5,6,2024-06-14,10:30:31.584000</t>
  </si>
  <si>
    <t>12,card,37.72,Latte,Afternoon,Fri,Jun,5,6,2024-06-14,12:14:41.696000</t>
  </si>
  <si>
    <t>18,card,32.82,Americano with Milk,Night,Fri,Jun,5,6,2024-06-14,18:29:53.399000</t>
  </si>
  <si>
    <t>11,card,37.72,Cappuccino,Morning,Sat,Jun,6,6,2024-06-15,11:26:01.974000</t>
  </si>
  <si>
    <t>12,card,37.72,Latte,Afternoon,Sat,Jun,6,6,2024-06-15,12:21:28.135000</t>
  </si>
  <si>
    <t>12,card,32.82,Americano with Milk,Afternoon,Sat,Jun,6,6,2024-06-15,12:22:46.942000</t>
  </si>
  <si>
    <t>12,card,23.02,Espresso,Afternoon,Sat,Jun,6,6,2024-06-15,12:23:52.166000</t>
  </si>
  <si>
    <t>12,card,37.72,Cocoa,Afternoon,Sat,Jun,6,6,2024-06-15,12:24:35.130000</t>
  </si>
  <si>
    <t>12,card,32.82,Americano with Milk,Afternoon,Sat,Jun,6,6,2024-06-15,12:25:23.960000</t>
  </si>
  <si>
    <t>16,card,32.82,Americano with Milk,Afternoon,Sat,Jun,6,6,2024-06-15,16:03:29.909000</t>
  </si>
  <si>
    <t>18,card,27.92,Americano,Night,Sat,Jun,6,6,2024-06-15,18:14:04.623000</t>
  </si>
  <si>
    <t>10,card,32.82,Americano with Milk,Morning,Sun,Jun,7,6,2024-06-16,10:43:51.456000</t>
  </si>
  <si>
    <t>10,card,37.72,Latte,Morning,Sun,Jun,7,6,2024-06-16,10:58:41.366000</t>
  </si>
  <si>
    <t>11,card,37.72,Hot Chocolate,Morning,Sun,Jun,7,6,2024-06-16,11:00:38.191000</t>
  </si>
  <si>
    <t>11,card,37.72,Hot Chocolate,Morning,Sun,Jun,7,6,2024-06-16,11:01:41.488000</t>
  </si>
  <si>
    <t>12,card,32.82,Americano with Milk,Afternoon,Sun,Jun,7,6,2024-06-16,12:49:27.624000</t>
  </si>
  <si>
    <t>14,card,23.02,Espresso,Afternoon,Sun,Jun,7,6,2024-06-16,14:00:38.992000</t>
  </si>
  <si>
    <t>15,card,32.82,Americano with Milk,Afternoon,Sun,Jun,7,6,2024-06-16,15:02:36.332000</t>
  </si>
  <si>
    <t>15,card,32.82,Americano with Milk,Afternoon,Sun,Jun,7,6,2024-06-16,15:05:10.421000</t>
  </si>
  <si>
    <t>15,card,37.72,Hot Chocolate,Afternoon,Sun,Jun,7,6,2024-06-16,15:43:59.593000</t>
  </si>
  <si>
    <t>16,card,37.72,Hot Chocolate,Afternoon,Sun,Jun,7,6,2024-06-16,16:47:36.521000</t>
  </si>
  <si>
    <t>17,card,32.82,Americano with Milk,Night,Sun,Jun,7,6,2024-06-16,17:45:17.267000</t>
  </si>
  <si>
    <t>17,card,32.82,Americano with Milk,Night,Sun,Jun,7,6,2024-06-16,17:46:16.554000</t>
  </si>
  <si>
    <t>8,card,27.92,Americano,Morning,Mon,Jun,1,6,2024-06-17,08:57:24.044000</t>
  </si>
  <si>
    <t>10,card,27.92,Cortado,Morning,Mon,Jun,1,6,2024-06-17,10:12:05.139000</t>
  </si>
  <si>
    <t>10,card,27.92,Cortado,Morning,Mon,Jun,1,6,2024-06-17,10:13:37.575000</t>
  </si>
  <si>
    <t>10,card,37.72,Cappuccino,Morning,Mon,Jun,1,6,2024-06-17,10:55:51.608000</t>
  </si>
  <si>
    <t>14,card,37.72,Cappuccino,Afternoon,Mon,Jun,1,6,2024-06-17,14:51:35.381000</t>
  </si>
  <si>
    <t>16,card,37.72,Cappuccino,Afternoon,Mon,Jun,1,6,2024-06-17,16:50:13.441000</t>
  </si>
  <si>
    <t>16,card,37.72,Cappuccino,Afternoon,Mon,Jun,1,6,2024-06-17,16:51:11.038000</t>
  </si>
  <si>
    <t>16,card,27.92,Americano,Afternoon,Mon,Jun,1,6,2024-06-17,16:52:36.336000</t>
  </si>
  <si>
    <t>18,card,27.92,Americano,Night,Mon,Jun,1,6,2024-06-17,18:51:19.631000</t>
  </si>
  <si>
    <t>21,card,32.82,Americano with Milk,Night,Mon,Jun,1,6,2024-06-17,21:16:11.485000</t>
  </si>
  <si>
    <t>14,card,27.92,Americano,Afternoon,Tue,Jun,2,6,2024-06-18,14:04:06.125000</t>
  </si>
  <si>
    <t>14,card,37.72,Cappuccino,Afternoon,Tue,Jun,2,6,2024-06-18,14:05:12.313000</t>
  </si>
  <si>
    <t>19,card,37.72,Cappuccino,Night,Tue,Jun,2,6,2024-06-18,19:20:40.571000</t>
  </si>
  <si>
    <t>19,card,37.72,Cappuccino,Night,Tue,Jun,2,6,2024-06-18,19:21:38.892000</t>
  </si>
  <si>
    <t>20,card,27.92,Cortado,Night,Tue,Jun,2,6,2024-06-18,20:35:49.497000</t>
  </si>
  <si>
    <t>21,card,32.82,Americano with Milk,Night,Tue,Jun,2,6,2024-06-18,21:20:49.526000</t>
  </si>
  <si>
    <t>21,card,32.82,Americano with Milk,Night,Tue,Jun,2,6,2024-06-18,21:22:18.518000</t>
  </si>
  <si>
    <t>7,card,37.72,Latte,Morning,Wed,Jun,3,6,2024-06-19,07:47:19.833000</t>
  </si>
  <si>
    <t>8,card,27.92,Cortado,Morning,Wed,Jun,3,6,2024-06-19,08:17:54.508000</t>
  </si>
  <si>
    <t>10,card,27.92,Americano,Morning,Wed,Jun,3,6,2024-06-19,10:54:00.492000</t>
  </si>
  <si>
    <t>11,card,37.72,Latte,Morning,Wed,Jun,3,6,2024-06-19,11:11:27.807000</t>
  </si>
  <si>
    <t>11,card,37.72,Cocoa,Morning,Wed,Jun,3,6,2024-06-19,11:12:31.412000</t>
  </si>
  <si>
    <t>14,card,32.82,Americano with Milk,Afternoon,Wed,Jun,3,6,2024-06-19,14:21:36.258000</t>
  </si>
  <si>
    <t>18,card,37.72,Cappuccino,Night,Wed,Jun,3,6,2024-06-19,18:28:43.437000</t>
  </si>
  <si>
    <t>18,card,37.72,Latte,Night,Wed,Jun,3,6,2024-06-19,18:29:58.961000</t>
  </si>
  <si>
    <t>19,card,32.82,Americano with Milk,Night,Wed,Jun,3,6,2024-06-19,19:31:31.293000</t>
  </si>
  <si>
    <t>21,card,37.72,Cappuccino,Night,Wed,Jun,3,6,2024-06-19,21:28:59.485000</t>
  </si>
  <si>
    <t>21,card,32.82,Americano with Milk,Night,Wed,Jun,3,6,2024-06-19,21:30:03.484000</t>
  </si>
  <si>
    <t>10,card,37.72,Latte,Morning,Thu,Jun,4,6,2024-06-20,10:50:06.453000</t>
  </si>
  <si>
    <t>18,card,37.72,Latte,Night,Thu,Jun,4,6,2024-06-20,18:59:02.082000</t>
  </si>
  <si>
    <t>19,card,37.72,Latte,Night,Thu,Jun,4,6,2024-06-20,19:00:00.237000</t>
  </si>
  <si>
    <t>21,card,37.72,Latte,Night,Thu,Jun,4,6,2024-06-20,21:39:10.013000</t>
  </si>
  <si>
    <t>21,card,37.72,Latte,Night,Thu,Jun,4,6,2024-06-20,21:57:40.554000</t>
  </si>
  <si>
    <t>21,card,32.82,Americano with Milk,Night,Thu,Jun,4,6,2024-06-20,21:59:17.598000</t>
  </si>
  <si>
    <t>9,card,37.72,Latte,Morning,Fri,Jun,5,6,2024-06-21,09:59:55.930000</t>
  </si>
  <si>
    <t>10,card,27.92,Americano,Morning,Fri,Jun,5,6,2024-06-21,10:01:40.183000</t>
  </si>
  <si>
    <t>13,card,32.82,Americano with Milk,Afternoon,Fri,Jun,5,6,2024-06-21,13:19:19.416000</t>
  </si>
  <si>
    <t>13,card,32.82,Americano with Milk,Afternoon,Fri,Jun,5,6,2024-06-21,13:20:31.513000</t>
  </si>
  <si>
    <t>18,card,23.02,Espresso,Night,Fri,Jun,5,6,2024-06-21,18:12:16.064000</t>
  </si>
  <si>
    <t>19,card,37.72,Latte,Night,Fri,Jun,5,6,2024-06-21,19:30:26.651000</t>
  </si>
  <si>
    <t>19,card,37.72,Cappuccino,Night,Fri,Jun,5,6,2024-06-21,19:47:06.201000</t>
  </si>
  <si>
    <t>19,card,37.72,Cappuccino,Night,Fri,Jun,5,6,2024-06-21,19:48:06.713000</t>
  </si>
  <si>
    <t>19,card,37.72,Cappuccino,Night,Fri,Jun,5,6,2024-06-21,19:49:54.505000</t>
  </si>
  <si>
    <t>19,card,37.72,Cappuccino,Night,Fri,Jun,5,6,2024-06-21,19:51:00.211000</t>
  </si>
  <si>
    <t>19,card,27.92,Americano,Night,Fri,Jun,5,6,2024-06-21,19:52:18.775000</t>
  </si>
  <si>
    <t>19,card,32.82,Americano with Milk,Night,Fri,Jun,5,6,2024-06-21,19:55:37.142000</t>
  </si>
  <si>
    <t>8,card,27.92,Cortado,Morning,Sat,Jun,6,6,2024-06-22,08:39:50.273000</t>
  </si>
  <si>
    <t>9,card,32.82,Americano with Milk,Morning,Sat,Jun,6,6,2024-06-22,09:37:48.779000</t>
  </si>
  <si>
    <t>12,card,32.82,Americano with Milk,Afternoon,Sat,Jun,6,6,2024-06-22,12:53:15.541000</t>
  </si>
  <si>
    <t>15,card,37.72,Latte,Afternoon,Sat,Jun,6,6,2024-06-22,15:37:20.137000</t>
  </si>
  <si>
    <t>22,card,37.72,Cappuccino,Night,Sat,Jun,6,6,2024-06-22,22:10:22.998000</t>
  </si>
  <si>
    <t>18,card,32.82,Americano with Milk,Night,Sun,Jun,7,6,2024-06-23,18:12:01.406000</t>
  </si>
  <si>
    <t>18,card,32.82,Americano with Milk,Night,Sun,Jun,7,6,2024-06-23,18:13:50.638000</t>
  </si>
  <si>
    <t>21,card,37.72,Cappuccino,Night,Sun,Jun,7,6,2024-06-23,21:06:46.956000</t>
  </si>
  <si>
    <t>21,card,37.72,Latte,Night,Sun,Jun,7,6,2024-06-23,21:29:07.823000</t>
  </si>
  <si>
    <t>21,card,37.72,Cappuccino,Night,Sun,Jun,7,6,2024-06-23,21:30:36.375000</t>
  </si>
  <si>
    <t>11,card,32.82,Americano with Milk,Morning,Mon,Jun,1,6,2024-06-24,11:44:39.939000</t>
  </si>
  <si>
    <t>11,card,37.72,Cappuccino,Morning,Mon,Jun,1,6,2024-06-24,11:49:36.044000</t>
  </si>
  <si>
    <t>11,card,37.72,Cappuccino,Morning,Mon,Jun,1,6,2024-06-24,11:50:44.080000</t>
  </si>
  <si>
    <t>15,card,37.72,Latte,Afternoon,Mon,Jun,1,6,2024-06-24,15:02:28.995000</t>
  </si>
  <si>
    <t>16,card,37.72,Cappuccino,Afternoon,Mon,Jun,1,6,2024-06-24,16:46:00.573000</t>
  </si>
  <si>
    <t>16,card,37.72,Cappuccino,Afternoon,Mon,Jun,1,6,2024-06-24,16:47:00.409000</t>
  </si>
  <si>
    <t>8,card,37.72,Latte,Morning,Tue,Jun,2,6,2024-06-25,08:19:24.244000</t>
  </si>
  <si>
    <t>10,card,32.82,Americano with Milk,Morning,Tue,Jun,2,6,2024-06-25,10:28:26.408000</t>
  </si>
  <si>
    <t>10,card,32.82,Americano with Milk,Morning,Tue,Jun,2,6,2024-06-25,10:29:42.410000</t>
  </si>
  <si>
    <t>11,card,37.72,Cappuccino,Morning,Tue,Jun,2,6,2024-06-25,11:34:52.296000</t>
  </si>
  <si>
    <t>9,card,37.72,Latte,Morning,Wed,Jun,3,6,2024-06-26,09:33:01.706000</t>
  </si>
  <si>
    <t>16,card,23.02,Espresso,Afternoon,Wed,Jun,3,6,2024-06-26,16:32:29.453000</t>
  </si>
  <si>
    <t>16,card,27.92,Americano,Afternoon,Wed,Jun,3,6,2024-06-26,16:34:01.607000</t>
  </si>
  <si>
    <t>21,card,37.72,Latte,Night,Wed,Jun,3,6,2024-06-26,21:21:53.296000</t>
  </si>
  <si>
    <t>21,card,37.72,Cappuccino,Night,Wed,Jun,3,6,2024-06-26,21:27:00.807000</t>
  </si>
  <si>
    <t>21,card,32.82,Americano with Milk,Night,Wed,Jun,3,6,2024-06-26,21:28:14.566000</t>
  </si>
  <si>
    <t>9,card,32.82,Americano with Milk,Morning,Thu,Jun,4,6,2024-06-27,09:15:43.173000</t>
  </si>
  <si>
    <t>16,card,27.92,Cortado,Afternoon,Thu,Jun,4,6,2024-06-27,16:11:48</t>
  </si>
  <si>
    <t>21,card,32.82,Americano with Milk,Night,Thu,Jun,4,6,2024-06-27,21:44:03.372000</t>
  </si>
  <si>
    <t>21,card,37.72,Cappuccino,Night,Thu,Jun,4,6,2024-06-27,21:50:31.617000</t>
  </si>
  <si>
    <t>8,card,27.92,Cortado,Morning,Fri,Jun,5,6,2024-06-28,08:08:35.044000</t>
  </si>
  <si>
    <t>17,card,23.02,Espresso,Night,Fri,Jun,5,6,2024-06-28,17:51:53.993000</t>
  </si>
  <si>
    <t>21,card,32.82,Americano with Milk,Night,Fri,Jun,5,6,2024-06-28,21:50:55.375000</t>
  </si>
  <si>
    <t>21,card,37.72,Latte,Night,Fri,Jun,5,6,2024-06-28,21:52:01.867000</t>
  </si>
  <si>
    <t>22,card,37.72,Cappuccino,Night,Fri,Jun,5,6,2024-06-28,22:28:19.976000</t>
  </si>
  <si>
    <t>9,card,32.82,Americano with Milk,Morning,Sat,Jun,6,6,2024-06-29,09:47:10.304000</t>
  </si>
  <si>
    <t>11,card,32.82,Americano with Milk,Morning,Sat,Jun,6,6,2024-06-29,11:40:19.582000</t>
  </si>
  <si>
    <t>11,card,32.82,Americano with Milk,Morning,Sat,Jun,6,6,2024-06-29,11:41:26.609000</t>
  </si>
  <si>
    <t>12,card,37.72,Cappuccino,Afternoon,Sat,Jun,6,6,2024-06-29,12:30:24.358000</t>
  </si>
  <si>
    <t>12,card,37.72,Cappuccino,Afternoon,Sat,Jun,6,6,2024-06-29,12:31:42.582000</t>
  </si>
  <si>
    <t>17,card,37.72,Cappuccino,Night,Sat,Jun,6,6,2024-06-29,17:23:43.583000</t>
  </si>
  <si>
    <t>17,card,37.72,Hot Chocolate,Night,Sat,Jun,6,6,2024-06-29,17:24:52.377000</t>
  </si>
  <si>
    <t>21,card,37.72,Latte,Night,Sat,Jun,6,6,2024-06-29,21:27:22.449000</t>
  </si>
  <si>
    <t>10,card,37.72,Latte,Morning,Sun,Jun,7,6,2024-06-30,10:28:09.842000</t>
  </si>
  <si>
    <t>13,card,23.02,Espresso,Afternoon,Sun,Jun,7,6,2024-06-30,13:05:50.620000</t>
  </si>
  <si>
    <t>16,card,37.72,Hot Chocolate,Afternoon,Sun,Jun,7,6,2024-06-30,16:54:41.679000</t>
  </si>
  <si>
    <t>21,card,32.82,Americano with Milk,Night,Sun,Jun,7,6,2024-06-30,21:04:09.746000</t>
  </si>
  <si>
    <t>18,card,23.02,Espresso,Night,Mon,Jul,1,7,2024-07-01,18:07:26.760000</t>
  </si>
  <si>
    <t>18,card,37.72,Cappuccino,Night,Mon,Jul,1,7,2024-07-01,18:56:51.844000</t>
  </si>
  <si>
    <t>18,card,37.72,Cappuccino,Night,Mon,Jul,1,7,2024-07-01,18:57:54.267000</t>
  </si>
  <si>
    <t>10,card,32.82,Americano with Milk,Morning,Tue,Jul,2,7,2024-07-02,10:42:54.057000</t>
  </si>
  <si>
    <t>10,card,27.92,Americano,Morning,Tue,Jul,2,7,2024-07-02,10:45:00.617000</t>
  </si>
  <si>
    <t>12,card,37.72,Latte,Afternoon,Tue,Jul,2,7,2024-07-02,12:48:05.181000</t>
  </si>
  <si>
    <t>14,card,27.92,Americano,Afternoon,Tue,Jul,2,7,2024-07-02,14:03:13.231000</t>
  </si>
  <si>
    <t>16,card,32.82,Americano with Milk,Afternoon,Tue,Jul,2,7,2024-07-02,16:31:24.337000</t>
  </si>
  <si>
    <t>22,card,32.82,Americano with Milk,Night,Tue,Jul,2,7,2024-07-02,22:02:23.576000</t>
  </si>
  <si>
    <t>13,card,32.82,Americano with Milk,Afternoon,Wed,Jul,3,7,2024-07-03,13:51:14.935000</t>
  </si>
  <si>
    <t>16,card,37.72,Cappuccino,Afternoon,Wed,Jul,3,7,2024-07-03,16:01:16.554000</t>
  </si>
  <si>
    <t>16,card,37.72,Cappuccino,Afternoon,Wed,Jul,3,7,2024-07-03,16:50:25.223000</t>
  </si>
  <si>
    <t>16,card,32.82,Americano with Milk,Afternoon,Wed,Jul,3,7,2024-07-03,16:53:15.618000</t>
  </si>
  <si>
    <t>16,card,32.82,Americano with Milk,Afternoon,Wed,Jul,3,7,2024-07-03,16:54:22.907000</t>
  </si>
  <si>
    <t>16,card,37.72,Latte,Afternoon,Wed,Jul,3,7,2024-07-03,16:55:31.423000</t>
  </si>
  <si>
    <t>16,card,23.02,Espresso,Afternoon,Wed,Jul,3,7,2024-07-03,16:59:25.580000</t>
  </si>
  <si>
    <t>17,card,37.72,Cappuccino,Night,Wed,Jul,3,7,2024-07-03,17:59:01.827000</t>
  </si>
  <si>
    <t>19,card,37.72,Latte,Night,Wed,Jul,3,7,2024-07-03,19:06:09.136000</t>
  </si>
  <si>
    <t>10,card,32.82,Americano with Milk,Morning,Thu,Jul,4,7,2024-07-04,10:26:23.725000</t>
  </si>
  <si>
    <t>10,card,27.92,Americano,Morning,Thu,Jul,4,7,2024-07-04,10:27:30.261000</t>
  </si>
  <si>
    <t>12,card,37.72,Cocoa,Afternoon,Fri,Jul,5,7,2024-07-05,12:20:28.670000</t>
  </si>
  <si>
    <t>13,card,32.82,Americano with Milk,Afternoon,Fri,Jul,5,7,2024-07-05,13:43:43.134000</t>
  </si>
  <si>
    <t>13,card,32.82,Americano with Milk,Afternoon,Fri,Jul,5,7,2024-07-05,13:44:43.829000</t>
  </si>
  <si>
    <t>18,card,23.02,Espresso,Night,Fri,Jul,5,7,2024-07-05,18:55:56.308000</t>
  </si>
  <si>
    <t>19,card,27.92,Americano,Night,Fri,Jul,5,7,2024-07-05,19:55:07.812000</t>
  </si>
  <si>
    <t>22,card,23.02,Espresso,Night,Fri,Jul,5,7,2024-07-05,22:11:56.471000</t>
  </si>
  <si>
    <t>22,card,27.92,Americano,Night,Fri,Jul,5,7,2024-07-05,22:18:03.324000</t>
  </si>
  <si>
    <t>22,card,27.92,Americano,Night,Fri,Jul,5,7,2024-07-05,22:18:56.945000</t>
  </si>
  <si>
    <t>22,card,37.72,Cappuccino,Night,Fri,Jul,5,7,2024-07-05,22:20:01.149000</t>
  </si>
  <si>
    <t>22,card,32.82,Americano with Milk,Night,Fri,Jul,5,7,2024-07-05,22:21:09.457000</t>
  </si>
  <si>
    <t>10,card,37.72,Latte,Morning,Sat,Jul,6,7,2024-07-06,10:28:06.826000</t>
  </si>
  <si>
    <t>17,card,32.82,Latte,Night,Sat,Jul,6,7,2024-07-06,17:15:46.042000</t>
  </si>
  <si>
    <t>17,card,32.82,Latte,Night,Sat,Jul,6,7,2024-07-06,17:17:01.046000</t>
  </si>
  <si>
    <t>19,card,32.82,Latte,Night,Sat,Jul,6,7,2024-07-06,19:09:46.107000</t>
  </si>
  <si>
    <t>19,card,27.92,Americano with Milk,Night,Sat,Jul,6,7,2024-07-06,19:10:39.580000</t>
  </si>
  <si>
    <t>9,card,32.82,Cappuccino,Morning,Sun,Jul,7,7,2024-07-07,09:04:20.169000</t>
  </si>
  <si>
    <t>9,card,27.92,Americano with Milk,Morning,Sun,Jul,7,7,2024-07-07,09:14:29.225000</t>
  </si>
  <si>
    <t>9,card,27.92,Americano with Milk,Morning,Sun,Jul,7,7,2024-07-07,09:15:36.815000</t>
  </si>
  <si>
    <t>9,card,32.82,Cappuccino,Morning,Sun,Jul,7,7,2024-07-07,09:28:48.876000</t>
  </si>
  <si>
    <t>9,card,32.82,Cappuccino,Morning,Sun,Jul,7,7,2024-07-07,09:29:56.189000</t>
  </si>
  <si>
    <t>14,card,32.82,Hot Chocolate,Afternoon,Sun,Jul,7,7,2024-07-07,14:56:30.193000</t>
  </si>
  <si>
    <t>14,card,32.82,Cocoa,Afternoon,Sun,Jul,7,7,2024-07-07,14:57:47.411000</t>
  </si>
  <si>
    <t>17,card,32.82,Latte,Night,Sun,Jul,7,7,2024-07-07,17:07:50.284000</t>
  </si>
  <si>
    <t>19,card,32.82,Cappuccino,Night,Sun,Jul,7,7,2024-07-07,19:33:27.187000</t>
  </si>
  <si>
    <t>20,card,32.82,Hot Chocolate,Night,Sun,Jul,7,7,2024-07-07,20:01:31.653000</t>
  </si>
  <si>
    <t>22,card,27.92,Americano with Milk,Night,Sun,Jul,7,7,2024-07-07,22:33:36.255000</t>
  </si>
  <si>
    <t>7,card,32.82,Latte,Morning,Mon,Jul,1,7,2024-07-08,07:33:07.724000</t>
  </si>
  <si>
    <t>12,card,23.02,Americano,Afternoon,Mon,Jul,1,7,2024-07-08,12:02:50.421000</t>
  </si>
  <si>
    <t>14,card,23.02,Americano,Afternoon,Mon,Jul,1,7,2024-07-08,14:40:24.350000</t>
  </si>
  <si>
    <t>19,card,27.92,Americano with Milk,Night,Mon,Jul,1,7,2024-07-08,19:30:34.976000</t>
  </si>
  <si>
    <t>22,card,32.82,Latte,Night,Mon,Jul,1,7,2024-07-08,22:14:46.180000</t>
  </si>
  <si>
    <t>10,card,27.92,Americano with Milk,Morning,Tue,Jul,2,7,2024-07-09,10:26:52.138000</t>
  </si>
  <si>
    <t>10,card,27.92,Americano with Milk,Morning,Tue,Jul,2,7,2024-07-09,10:40:28.767000</t>
  </si>
  <si>
    <t>11,card,27.92,Americano with Milk,Morning,Tue,Jul,2,7,2024-07-09,11:21:36.103000</t>
  </si>
  <si>
    <t>11,card,32.82,Cappuccino,Morning,Tue,Jul,2,7,2024-07-09,11:22:49.904000</t>
  </si>
  <si>
    <t>16,card,27.92,Americano with Milk,Afternoon,Tue,Jul,2,7,2024-07-09,16:42:59.535000</t>
  </si>
  <si>
    <t>11,card,23.02,Americano,Morning,Wed,Jul,3,7,2024-07-10,11:10:41.690000</t>
  </si>
  <si>
    <t>12,card,27.92,Americano with Milk,Afternoon,Wed,Jul,3,7,2024-07-10,12:28:53.659000</t>
  </si>
  <si>
    <t>22,card,32.82,Latte,Night,Wed,Jul,3,7,2024-07-10,22:13:10.049000</t>
  </si>
  <si>
    <t>11,card,32.82,Hot Chocolate,Morning,Thu,Jul,4,7,2024-07-11,11:27:27.562000</t>
  </si>
  <si>
    <t>16,card,27.92,Americano with Milk,Afternoon,Thu,Jul,4,7,2024-07-11,16:48:18.709000</t>
  </si>
  <si>
    <t>22,card,32.82,Latte,Night,Thu,Jul,4,7,2024-07-11,22:22:13.648000</t>
  </si>
  <si>
    <t>22,card,23.02,Americano,Night,Thu,Jul,4,7,2024-07-11,22:30:58.541000</t>
  </si>
  <si>
    <t>8,card,23.02,Cortado,Morning,Fri,Jul,5,7,2024-07-12,08:03:17.492000</t>
  </si>
  <si>
    <t>11,card,32.82,Hot Chocolate,Morning,Fri,Jul,5,7,2024-07-12,11:48:33.381000</t>
  </si>
  <si>
    <t>22,card,32.82,Hot Chocolate,Night,Fri,Jul,5,7,2024-07-12,22:33:25.589000</t>
  </si>
  <si>
    <t>22,card,32.82,Hot Chocolate,Night,Fri,Jul,5,7,2024-07-12,22:34:14.307000</t>
  </si>
  <si>
    <t>22,card,32.82,Hot Chocolate,Night,Fri,Jul,5,7,2024-07-12,22:35:29.518000</t>
  </si>
  <si>
    <t>10,card,32.82,Latte,Morning,Sat,Jul,6,7,2024-07-13,10:38:10.273000</t>
  </si>
  <si>
    <t>11,card,32.82,Latte,Morning,Sat,Jul,6,7,2024-07-13,11:41:38.089000</t>
  </si>
  <si>
    <t>10,card,23.02,Americano,Morning,Sun,Jul,7,7,2024-07-14,10:54:24.307000</t>
  </si>
  <si>
    <t>10,card,27.92,Americano with Milk,Morning,Sun,Jul,7,7,2024-07-14,10:55:30.525000</t>
  </si>
  <si>
    <t>10,card,32.82,Cappuccino,Morning,Sun,Jul,7,7,2024-07-14,10:56:30.251000</t>
  </si>
  <si>
    <t>10,card,32.82,Latte,Morning,Sun,Jul,7,7,2024-07-14,10:57:54.062000</t>
  </si>
  <si>
    <t>11,card,23.02,Americano,Morning,Sun,Jul,7,7,2024-07-14,11:02:11.798000</t>
  </si>
  <si>
    <t>22,card,32.82,Latte,Night,Sun,Jul,7,7,2024-07-14,22:31:29.976000</t>
  </si>
  <si>
    <t>7,card,32.82,Cappuccino,Morning,Mon,Jul,1,7,2024-07-15,07:33:05.557000</t>
  </si>
  <si>
    <t>12,card,27.92,Americano with Milk,Afternoon,Tue,Jul,2,7,2024-07-16,12:23:37.467000</t>
  </si>
  <si>
    <t>19,card,32.82,Hot Chocolate,Night,Tue,Jul,2,7,2024-07-16,19:29:25.485000</t>
  </si>
  <si>
    <t>13,card,27.92,Americano with Milk,Afternoon,Wed,Jul,3,7,2024-07-17,13:04:59.744000</t>
  </si>
  <si>
    <t>11,card,27.92,Americano with Milk,Morning,Thu,Jul,4,7,2024-07-18,11:10:13.393000</t>
  </si>
  <si>
    <t>11,card,18.12,Espresso,Morning,Thu,Jul,4,7,2024-07-18,11:11:23.434000</t>
  </si>
  <si>
    <t>11,card,23.02,Americano,Morning,Thu,Jul,4,7,2024-07-18,11:32:59.624000</t>
  </si>
  <si>
    <t>11,card,23.02,Americano,Morning,Thu,Jul,4,7,2024-07-18,11:34:48.437000</t>
  </si>
  <si>
    <t>11,card,23.02,Cortado,Morning,Thu,Jul,4,7,2024-07-18,11:35:51.505000</t>
  </si>
  <si>
    <t>13,card,32.82,Latte,Afternoon,Thu,Jul,4,7,2024-07-18,13:23:33.812000</t>
  </si>
  <si>
    <t>18,card,32.82,Cappuccino,Night,Thu,Jul,4,7,2024-07-18,18:18:23.378000</t>
  </si>
  <si>
    <t>19,card,32.82,Latte,Night,Thu,Jul,4,7,2024-07-18,19:30:50.562000</t>
  </si>
  <si>
    <t>21,card,32.82,Hot Chocolate,Night,Thu,Jul,4,7,2024-07-18,21:19:41.814000</t>
  </si>
  <si>
    <t>21,card,32.82,Latte,Night,Thu,Jul,4,7,2024-07-18,21:21:59.855000</t>
  </si>
  <si>
    <t>21,card,32.82,Latte,Night,Thu,Jul,4,7,2024-07-18,21:46:18.674000</t>
  </si>
  <si>
    <t>11,card,23.02,Americano,Morning,Fri,Jul,5,7,2024-07-19,11:03:02.341000</t>
  </si>
  <si>
    <t>11,card,27.92,Americano with Milk,Morning,Fri,Jul,5,7,2024-07-19,11:16:20.509000</t>
  </si>
  <si>
    <t>12,card,32.82,Latte,Afternoon,Fri,Jul,5,7,2024-07-19,12:58:37.561000</t>
  </si>
  <si>
    <t>12,card,27.92,Americano with Milk,Afternoon,Fri,Jul,5,7,2024-07-19,12:59:55.383000</t>
  </si>
  <si>
    <t>14,card,32.82,Latte,Afternoon,Fri,Jul,5,7,2024-07-19,14:09:20.716000</t>
  </si>
  <si>
    <t>14,card,32.82,Cocoa,Afternoon,Fri,Jul,5,7,2024-07-19,14:11:22.105000</t>
  </si>
  <si>
    <t>16,card,32.82,Latte,Afternoon,Fri,Jul,5,7,2024-07-19,16:36:19.272000</t>
  </si>
  <si>
    <t>16,card,32.82,Latte,Afternoon,Fri,Jul,5,7,2024-07-19,16:37:35.808000</t>
  </si>
  <si>
    <t>8,card,23.02,Americano,Morning,Sat,Jul,6,7,2024-07-20,08:05:44.469000</t>
  </si>
  <si>
    <t>8,card,32.82,Latte,Morning,Sat,Jul,6,7,2024-07-20,08:06:48.685000</t>
  </si>
  <si>
    <t>8,card,23.02,Americano,Morning,Sat,Jul,6,7,2024-07-20,08:07:51.433000</t>
  </si>
  <si>
    <t>9,card,32.82,Latte,Morning,Sat,Jul,6,7,2024-07-20,09:00:53.605000</t>
  </si>
  <si>
    <t>9,card,32.82,Latte,Morning,Sat,Jul,6,7,2024-07-20,09:02:27.848000</t>
  </si>
  <si>
    <t>10,card,23.02,Americano,Morning,Sat,Jul,6,7,2024-07-20,10:39:21.044000</t>
  </si>
  <si>
    <t>15,card,32.82,Latte,Afternoon,Sat,Jul,6,7,2024-07-20,15:15:09.221000</t>
  </si>
  <si>
    <t>10,card,32.82,Cocoa,Morning,Sun,Jul,7,7,2024-07-21,10:30:55.818000</t>
  </si>
  <si>
    <t>11,card,32.82,Cappuccino,Morning,Sun,Jul,7,7,2024-07-21,11:39:28.776000</t>
  </si>
  <si>
    <t>13,card,23.02,Cortado,Afternoon,Sun,Jul,7,7,2024-07-21,13:34:30.849000</t>
  </si>
  <si>
    <t>13,card,32.82,Latte,Afternoon,Sun,Jul,7,7,2024-07-21,13:42:31.444000</t>
  </si>
  <si>
    <t>8,card,23.02,Americano,Morning,Mon,Jul,1,7,2024-07-22,08:13:23.147000</t>
  </si>
  <si>
    <t>8,card,23.02,Americano,Morning,Mon,Jul,1,7,2024-07-22,08:40:49.554000</t>
  </si>
  <si>
    <t>10,card,27.92,Americano with Milk,Morning,Mon,Jul,1,7,2024-07-22,10:15:37.266000</t>
  </si>
  <si>
    <t>16,card,32.82,Latte,Afternoon,Mon,Jul,1,7,2024-07-22,16:44:37.593000</t>
  </si>
  <si>
    <t>8,card,32.82,Latte,Morning,Tue,Jul,2,7,2024-07-23,08:12:56.229000</t>
  </si>
  <si>
    <t>8,card,23.02,Americano,Morning,Tue,Jul,2,7,2024-07-23,08:40:18.981000</t>
  </si>
  <si>
    <t>8,card,27.92,Americano with Milk,Morning,Tue,Jul,2,7,2024-07-23,08:44:53.816000</t>
  </si>
  <si>
    <t>8,card,32.82,Cocoa,Morning,Tue,Jul,2,7,2024-07-23,08:49:25.107000</t>
  </si>
  <si>
    <t>8,card,32.82,Latte,Morning,Tue,Jul,2,7,2024-07-23,08:51:10.365000</t>
  </si>
  <si>
    <t>9,card,23.02,Americano,Morning,Tue,Jul,2,7,2024-07-23,09:01:45.707000</t>
  </si>
  <si>
    <t>10,card,27.92,Americano with Milk,Morning,Tue,Jul,2,7,2024-07-23,10:03:36.492000</t>
  </si>
  <si>
    <t>15,card,27.92,Americano with Milk,Afternoon,Tue,Jul,2,7,2024-07-23,15:20:04.971000</t>
  </si>
  <si>
    <t>15,card,32.82,Latte,Afternoon,Tue,Jul,2,7,2024-07-23,15:21:01.280000</t>
  </si>
  <si>
    <t>21,card,32.82,Latte,Night,Tue,Jul,2,7,2024-07-23,21:01:40.612000</t>
  </si>
  <si>
    <t>21,card,23.02,Americano,Night,Tue,Jul,2,7,2024-07-23,21:23:13.501000</t>
  </si>
  <si>
    <t>21,card,23.02,Americano,Night,Tue,Jul,2,7,2024-07-23,21:24:22.609000</t>
  </si>
  <si>
    <t>9,card,27.92,Americano with Milk,Morning,Wed,Jul,3,7,2024-07-24,09:16:09.814000</t>
  </si>
  <si>
    <t>9,card,27.92,Americano with Milk,Morning,Wed,Jul,3,7,2024-07-24,09:38:55.007000</t>
  </si>
  <si>
    <t>9,card,18.12,Espresso,Morning,Wed,Jul,3,7,2024-07-24,09:54:37.456000</t>
  </si>
  <si>
    <t>11,card,32.82,Cappuccino,Morning,Wed,Jul,3,7,2024-07-24,11:43:53.121000</t>
  </si>
  <si>
    <t>13,card,32.82,Latte,Afternoon,Wed,Jul,3,7,2024-07-24,13:55:13.821000</t>
  </si>
  <si>
    <t>14,card,18.12,Espresso,Afternoon,Wed,Jul,3,7,2024-07-24,14:45:49.766000</t>
  </si>
  <si>
    <t>15,card,32.82,Latte,Afternoon,Wed,Jul,3,7,2024-07-24,15:18:30.522000</t>
  </si>
  <si>
    <t>19,card,32.82,Cappuccino,Night,Wed,Jul,3,7,2024-07-24,19:15:05.678000</t>
  </si>
  <si>
    <t>19,card,32.82,Cappuccino,Night,Wed,Jul,3,7,2024-07-24,19:16:59.779000</t>
  </si>
  <si>
    <t>21,card,27.92,Americano with Milk,Night,Wed,Jul,3,7,2024-07-24,21:17:36.797000</t>
  </si>
  <si>
    <t>21,card,23.02,Americano,Night,Wed,Jul,3,7,2024-07-24,21:18:41.294000</t>
  </si>
  <si>
    <t>21,card,23.02,Americano,Night,Wed,Jul,3,7,2024-07-24,21:25:17.493000</t>
  </si>
  <si>
    <t>7,card,23.02,Americano,Morning,Thu,Jul,4,7,2024-07-25,07:54:47.935000</t>
  </si>
  <si>
    <t>8,card,32.82,Latte,Morning,Thu,Jul,4,7,2024-07-25,08:49:18.428000</t>
  </si>
  <si>
    <t>10,card,27.92,Americano with Milk,Morning,Thu,Jul,4,7,2024-07-25,10:29:44.629000</t>
  </si>
  <si>
    <t>11,card,23.02,Americano,Morning,Thu,Jul,4,7,2024-07-25,11:26:04.701000</t>
  </si>
  <si>
    <t>15,card,32.82,Cappuccino,Afternoon,Thu,Jul,4,7,2024-07-25,15:25:06.512000</t>
  </si>
  <si>
    <t>19,card,32.82,Cappuccino,Night,Thu,Jul,4,7,2024-07-25,19:21:00.764000</t>
  </si>
  <si>
    <t>21,card,23.02,Cortado,Night,Thu,Jul,4,7,2024-07-25,21:06:01.272000</t>
  </si>
  <si>
    <t>21,card,18.12,Espresso,Night,Thu,Jul,4,7,2024-07-25,21:06:50.002000</t>
  </si>
  <si>
    <t>22,card,23.02,Cortado,Night,Thu,Jul,4,7,2024-07-25,22:38:51.330000</t>
  </si>
  <si>
    <t>22,card,32.82,Cocoa,Night,Thu,Jul,4,7,2024-07-25,22:39:46.790000</t>
  </si>
  <si>
    <t>8,card,32.82,Latte,Morning,Fri,Jul,5,7,2024-07-26,08:33:01.273000</t>
  </si>
  <si>
    <t>9,card,27.92,Americano with Milk,Morning,Fri,Jul,5,7,2024-07-26,09:19:37.376000</t>
  </si>
  <si>
    <t>9,card,18.12,Espresso,Morning,Fri,Jul,5,7,2024-07-26,09:20:34.344000</t>
  </si>
  <si>
    <t>9,card,23.02,Cortado,Morning,Fri,Jul,5,7,2024-07-26,09:33:11.511000</t>
  </si>
  <si>
    <t>9,card,23.02,Cortado,Morning,Fri,Jul,5,7,2024-07-26,09:34:16.633000</t>
  </si>
  <si>
    <t>9,card,32.82,Latte,Morning,Fri,Jul,5,7,2024-07-26,09:59:07.867000</t>
  </si>
  <si>
    <t>10,card,32.82,Latte,Morning,Fri,Jul,5,7,2024-07-26,10:00:02.719000</t>
  </si>
  <si>
    <t>11,card,27.92,Americano with Milk,Morning,Fri,Jul,5,7,2024-07-26,11:47:13.855000</t>
  </si>
  <si>
    <t>12,card,27.92,Americano with Milk,Afternoon,Fri,Jul,5,7,2024-07-26,12:07:01.670000</t>
  </si>
  <si>
    <t>12,card,32.82,Cappuccino,Afternoon,Fri,Jul,5,7,2024-07-26,12:28:08.044000</t>
  </si>
  <si>
    <t>12,card,32.82,Cappuccino,Afternoon,Fri,Jul,5,7,2024-07-26,12:29:17.708000</t>
  </si>
  <si>
    <t>13,card,32.82,Latte,Afternoon,Fri,Jul,5,7,2024-07-26,13:09:56.138000</t>
  </si>
  <si>
    <t>17,card,23.02,Americano,Night,Fri,Jul,5,7,2024-07-26,17:23:29.347000</t>
  </si>
  <si>
    <t>17,card,32.82,Cappuccino,Night,Fri,Jul,5,7,2024-07-26,17:58:29.217000</t>
  </si>
  <si>
    <t>21,card,32.82,Latte,Night,Fri,Jul,5,7,2024-07-26,21:15:09.612000</t>
  </si>
  <si>
    <t>22,card,27.92,Americano with Milk,Night,Fri,Jul,5,7,2024-07-26,22:49:52.318000</t>
  </si>
  <si>
    <t>9,card,32.82,Cappuccino,Morning,Sat,Jul,6,7,2024-07-27,09:09:16.457000</t>
  </si>
  <si>
    <t>11,card,27.92,Americano with Milk,Morning,Sat,Jul,6,7,2024-07-27,11:55:31.381000</t>
  </si>
  <si>
    <t>12,card,27.92,Americano with Milk,Afternoon,Sat,Jul,6,7,2024-07-27,12:25:10.115000</t>
  </si>
  <si>
    <t>12,card,18.12,Espresso,Afternoon,Sat,Jul,6,7,2024-07-27,12:26:13.159000</t>
  </si>
  <si>
    <t>12,card,27.92,Americano with Milk,Afternoon,Sat,Jul,6,7,2024-07-27,12:33:23.070000</t>
  </si>
  <si>
    <t>14,card,18.12,Espresso,Afternoon,Sat,Jul,6,7,2024-07-27,14:28:41.904000</t>
  </si>
  <si>
    <t>14,card,32.82,Latte,Afternoon,Sat,Jul,6,7,2024-07-27,14:51:53.196000</t>
  </si>
  <si>
    <t>17,card,32.82,Cappuccino,Night,Sat,Jul,6,7,2024-07-27,17:02:33.358000</t>
  </si>
  <si>
    <t>17,card,32.82,Cappuccino,Night,Sat,Jul,6,7,2024-07-27,17:03:39.112000</t>
  </si>
  <si>
    <t>17,card,27.92,Americano with Milk,Night,Sat,Jul,6,7,2024-07-27,17:09:00.424000</t>
  </si>
  <si>
    <t>17,card,27.92,Americano with Milk,Night,Sat,Jul,6,7,2024-07-27,17:10:08.074000</t>
  </si>
  <si>
    <t>20,card,32.82,Latte,Night,Sat,Jul,6,7,2024-07-27,20:55:20.175000</t>
  </si>
  <si>
    <t>22,card,32.82,Cappuccino,Night,Sat,Jul,6,7,2024-07-27,22:56:23.915000</t>
  </si>
  <si>
    <t>11,card,18.12,Espresso,Morning,Sun,Jul,7,7,2024-07-28,11:07:25.920000</t>
  </si>
  <si>
    <t>14,card,27.92,Americano with Milk,Afternoon,Sun,Jul,7,7,2024-07-28,14:17:54.205000</t>
  </si>
  <si>
    <t>14,card,32.82,Latte,Afternoon,Sun,Jul,7,7,2024-07-28,14:18:52.196000</t>
  </si>
  <si>
    <t>8,card,32.82,Latte,Morning,Mon,Jul,1,7,2024-07-29,08:12:06.406000</t>
  </si>
  <si>
    <t>9,card,23.02,Americano,Morning,Mon,Jul,1,7,2024-07-29,09:04:47.972000</t>
  </si>
  <si>
    <t>9,card,27.92,Americano with Milk,Morning,Mon,Jul,1,7,2024-07-29,09:15:46.155000</t>
  </si>
  <si>
    <t>9,card,23.02,Americano,Morning,Mon,Jul,1,7,2024-07-29,09:19:44.082000</t>
  </si>
  <si>
    <t>9,card,27.92,Americano with Milk,Morning,Mon,Jul,1,7,2024-07-29,09:51:24.747000</t>
  </si>
  <si>
    <t>9,card,32.82,Cappuccino,Morning,Mon,Jul,1,7,2024-07-29,09:58:29.639000</t>
  </si>
  <si>
    <t>10,card,32.82,Hot Chocolate,Morning,Mon,Jul,1,7,2024-07-29,10:43:43.961000</t>
  </si>
  <si>
    <t>10,card,32.82,Hot Chocolate,Morning,Mon,Jul,1,7,2024-07-29,10:44:55.846000</t>
  </si>
  <si>
    <t>19,card,32.82,Cappuccino,Night,Mon,Jul,1,7,2024-07-29,19:06:31.131000</t>
  </si>
  <si>
    <t>19,card,23.02,Americano,Night,Mon,Jul,1,7,2024-07-29,19:30:16.319000</t>
  </si>
  <si>
    <t>21,card,32.82,Cocoa,Night,Mon,Jul,1,7,2024-07-29,21:57:34.419000</t>
  </si>
  <si>
    <t>7,card,27.92,Americano with Milk,Morning,Tue,Jul,2,7,2024-07-30,07:41:10.945000</t>
  </si>
  <si>
    <t>8,card,23.02,Cortado,Morning,Tue,Jul,2,7,2024-07-30,08:05:07.216000</t>
  </si>
  <si>
    <t>8,card,32.82,Cappuccino,Morning,Tue,Jul,2,7,2024-07-30,08:20:51.115000</t>
  </si>
  <si>
    <t>9,card,27.92,Americano with Milk,Morning,Tue,Jul,2,7,2024-07-30,09:13:43.217000</t>
  </si>
  <si>
    <t>10,card,23.02,Cortado,Morning,Tue,Jul,2,7,2024-07-30,10:17:11.147000</t>
  </si>
  <si>
    <t>10,card,27.92,Americano with Milk,Morning,Tue,Jul,2,7,2024-07-30,10:19:34.213000</t>
  </si>
  <si>
    <t>10,card,32.82,Latte,Morning,Tue,Jul,2,7,2024-07-30,10:23:20.120000</t>
  </si>
  <si>
    <t>11,card,23.02,Americano,Morning,Tue,Jul,2,7,2024-07-30,11:12:07.359000</t>
  </si>
  <si>
    <t>11,card,18.12,Espresso,Morning,Tue,Jul,2,7,2024-07-30,11:13:16.218000</t>
  </si>
  <si>
    <t>11,card,27.92,Americano with Milk,Morning,Tue,Jul,2,7,2024-07-30,11:14:41.678000</t>
  </si>
  <si>
    <t>11,card,27.92,Americano with Milk,Morning,Tue,Jul,2,7,2024-07-30,11:16:01.630000</t>
  </si>
  <si>
    <t>11,card,27.92,Americano with Milk,Morning,Tue,Jul,2,7,2024-07-30,11:30:34.737000</t>
  </si>
  <si>
    <t>11,card,27.92,Americano with Milk,Morning,Tue,Jul,2,7,2024-07-30,11:31:40.809000</t>
  </si>
  <si>
    <t>12,card,32.82,Latte,Afternoon,Tue,Jul,2,7,2024-07-30,12:08:07.508000</t>
  </si>
  <si>
    <t>15,card,27.92,Americano with Milk,Afternoon,Tue,Jul,2,7,2024-07-30,15:16:09.628000</t>
  </si>
  <si>
    <t>16,card,23.02,Cortado,Afternoon,Tue,Jul,2,7,2024-07-30,16:08:52.876000</t>
  </si>
  <si>
    <t>16,card,27.92,Americano with Milk,Afternoon,Tue,Jul,2,7,2024-07-30,16:09:43.627000</t>
  </si>
  <si>
    <t>20,card,18.12,Espresso,Night,Tue,Jul,2,7,2024-07-30,20:24:19.874000</t>
  </si>
  <si>
    <t>20,card,27.92,Americano with Milk,Night,Tue,Jul,2,7,2024-07-30,20:53:51.866000</t>
  </si>
  <si>
    <t>20,card,27.92,Americano with Milk,Night,Tue,Jul,2,7,2024-07-30,20:54:46.316000</t>
  </si>
  <si>
    <t>20,card,27.92,Americano with Milk,Night,Tue,Jul,2,7,2024-07-30,20:57:02.324000</t>
  </si>
  <si>
    <t>21,card,32.82,Latte,Night,Tue,Jul,2,7,2024-07-30,21:33:19.198000</t>
  </si>
  <si>
    <t>22,card,23.02,Americano,Night,Tue,Jul,2,7,2024-07-30,22:15:21.484000</t>
  </si>
  <si>
    <t>22,card,32.82,Cappuccino,Night,Tue,Jul,2,7,2024-07-30,22:16:19.260000</t>
  </si>
  <si>
    <t>7,card,27.92,Americano with Milk,Morning,Wed,Jul,3,7,2024-07-31,07:59:52.098000</t>
  </si>
  <si>
    <t>8,card,27.92,Americano with Milk,Morning,Wed,Jul,3,7,2024-07-31,08:37:41.943000</t>
  </si>
  <si>
    <t>8,card,27.92,Americano with Milk,Morning,Wed,Jul,3,7,2024-07-31,08:38:38.236000</t>
  </si>
  <si>
    <t>9,card,23.02,Americano,Morning,Wed,Jul,3,7,2024-07-31,09:54:45.315000</t>
  </si>
  <si>
    <t>9,card,23.02,Americano,Morning,Wed,Jul,3,7,2024-07-31,09:55:45.142000</t>
  </si>
  <si>
    <t>9,card,27.92,Americano with Milk,Morning,Wed,Jul,3,7,2024-07-31,09:58:15.863000</t>
  </si>
  <si>
    <t>13,card,32.82,Cocoa,Afternoon,Wed,Jul,3,7,2024-07-31,13:11:42.609000</t>
  </si>
  <si>
    <t>13,card,32.82,Latte,Afternoon,Wed,Jul,3,7,2024-07-31,13:14:00.286000</t>
  </si>
  <si>
    <t>13,card,27.92,Americano with Milk,Afternoon,Wed,Jul,3,7,2024-07-31,13:24:49.437000</t>
  </si>
  <si>
    <t>17,card,23.02,Cortado,Night,Wed,Jul,3,7,2024-07-31,17:48:06.787000</t>
  </si>
  <si>
    <t>18,card,32.82,Latte,Night,Wed,Jul,3,7,2024-07-31,18:04:14.972000</t>
  </si>
  <si>
    <t>19,card,23.02,Cortado,Night,Wed,Jul,3,7,2024-07-31,19:22:38.883000</t>
  </si>
  <si>
    <t>19,card,32.82,Latte,Night,Wed,Jul,3,7,2024-07-31,19:28:45.141000</t>
  </si>
  <si>
    <t>20,card,32.82,Cocoa,Night,Wed,Jul,3,7,2024-07-31,20:46:42.418000</t>
  </si>
  <si>
    <t>20,card,23.02,Cortado,Night,Wed,Jul,3,7,2024-07-31,20:50:07.411000</t>
  </si>
  <si>
    <t>20,card,32.82,Latte,Night,Wed,Jul,3,7,2024-07-31,20:51:10.383000</t>
  </si>
  <si>
    <t>20,card,32.82,Cappuccino,Night,Wed,Jul,3,7,2024-07-31,20:52:14.802000</t>
  </si>
  <si>
    <t>20,card,23.02,Cortado,Night,Wed,Jul,3,7,2024-07-31,20:53:35.077000</t>
  </si>
  <si>
    <t>20,card,27.92,Americano with Milk,Night,Wed,Jul,3,7,2024-07-31,20:59:25.013000</t>
  </si>
  <si>
    <t>21,card,32.82,Latte,Night,Wed,Jul,3,7,2024-07-31,21:26:26</t>
  </si>
  <si>
    <t>21,card,32.82,Latte,Night,Wed,Jul,3,7,2024-07-31,21:54:11.824000</t>
  </si>
  <si>
    <t>21,card,32.82,Latte,Night,Wed,Jul,3,7,2024-07-31,21:55:16.570000</t>
  </si>
  <si>
    <t>7,card,27.92,Americano with Milk,Morning,Thu,Aug,4,8,2024-08-01,07:31:00.085000</t>
  </si>
  <si>
    <t>9,card,27.92,Americano with Milk,Morning,Thu,Aug,4,8,2024-08-01,09:25:20.060000</t>
  </si>
  <si>
    <t>11,card,27.92,Americano with Milk,Morning,Thu,Aug,4,8,2024-08-01,11:04:14.067000</t>
  </si>
  <si>
    <t>11,card,27.92,Americano with Milk,Morning,Thu,Aug,4,8,2024-08-01,11:22:46.369000</t>
  </si>
  <si>
    <t>13,card,23.02,Cortado,Afternoon,Thu,Aug,4,8,2024-08-01,13:22:46.601000</t>
  </si>
  <si>
    <t>13,card,32.82,Cappuccino,Afternoon,Thu,Aug,4,8,2024-08-01,13:23:37.314000</t>
  </si>
  <si>
    <t>13,card,32.82,Cappuccino,Afternoon,Thu,Aug,4,8,2024-08-01,13:49:07.265000</t>
  </si>
  <si>
    <t>15,card,27.92,Americano with Milk,Afternoon,Thu,Aug,4,8,2024-08-01,15:43:43.820000</t>
  </si>
  <si>
    <t>16,card,27.92,Americano with Milk,Afternoon,Thu,Aug,4,8,2024-08-01,16:24:00.663000</t>
  </si>
  <si>
    <t>16,card,23.02,Americano,Afternoon,Thu,Aug,4,8,2024-08-01,16:26:07.331000</t>
  </si>
  <si>
    <t>17,card,23.02,Americano,Night,Thu,Aug,4,8,2024-08-01,17:23:35.238000</t>
  </si>
  <si>
    <t>20,card,32.82,Cappuccino,Night,Thu,Aug,4,8,2024-08-01,20:41:28.118000</t>
  </si>
  <si>
    <t>9,card,27.92,Americano with Milk,Morning,Fri,Aug,5,8,2024-08-02,09:01:54.165000</t>
  </si>
  <si>
    <t>9,card,27.92,Americano with Milk,Morning,Fri,Aug,5,8,2024-08-02,09:35:02.899000</t>
  </si>
  <si>
    <t>11,card,23.02,Cortado,Morning,Fri,Aug,5,8,2024-08-02,11:09:19.465000</t>
  </si>
  <si>
    <t>18,card,27.92,Americano with Milk,Night,Fri,Aug,5,8,2024-08-02,18:08:35.282000</t>
  </si>
  <si>
    <t>21,card,32.82,Latte,Night,Fri,Aug,5,8,2024-08-02,21:23:04.359000</t>
  </si>
  <si>
    <t>8,card,27.92,Americano with Milk,Morning,Sat,Aug,6,8,2024-08-03,08:53:46.651000</t>
  </si>
  <si>
    <t>9,card,27.92,Americano with Milk,Morning,Sat,Aug,6,8,2024-08-03,09:37:19.213000</t>
  </si>
  <si>
    <t>9,card,27.92,Americano with Milk,Morning,Sat,Aug,6,8,2024-08-03,09:38:41.010000</t>
  </si>
  <si>
    <t>10,card,27.92,Americano with Milk,Morning,Sat,Aug,6,8,2024-08-03,10:12:25.650000</t>
  </si>
  <si>
    <t>11,card,23.02,Cortado,Morning,Sat,Aug,6,8,2024-08-03,11:20:26.571000</t>
  </si>
  <si>
    <t>11,card,23.02,Cortado,Morning,Sat,Aug,6,8,2024-08-03,11:21:22</t>
  </si>
  <si>
    <t>11,card,18.12,Espresso,Morning,Sat,Aug,6,8,2024-08-03,11:56:36.628000</t>
  </si>
  <si>
    <t>11,card,27.92,Americano with Milk,Morning,Sat,Aug,6,8,2024-08-03,11:57:31.273000</t>
  </si>
  <si>
    <t>12,card,27.92,Americano with Milk,Afternoon,Sat,Aug,6,8,2024-08-03,12:03:35.777000</t>
  </si>
  <si>
    <t>16,card,27.92,Americano with Milk,Afternoon,Sat,Aug,6,8,2024-08-03,16:53:59.927000</t>
  </si>
  <si>
    <t>18,card,32.82,Cappuccino,Night,Sat,Aug,6,8,2024-08-03,18:38:42.026000</t>
  </si>
  <si>
    <t>21,card,32.82,Latte,Night,Sat,Aug,6,8,2024-08-03,21:30:48.958000</t>
  </si>
  <si>
    <t>21,card,32.82,Latte,Night,Sat,Aug,6,8,2024-08-03,21:33:06.265000</t>
  </si>
  <si>
    <t>8,card,32.82,Cappuccino,Morning,Sun,Aug,7,8,2024-08-04,08:18:37.314000</t>
  </si>
  <si>
    <t>10,card,27.92,Americano with Milk,Morning,Sun,Aug,7,8,2024-08-04,10:37:51.103000</t>
  </si>
  <si>
    <t>11,card,32.82,Cappuccino,Morning,Sun,Aug,7,8,2024-08-04,11:50:54.603000</t>
  </si>
  <si>
    <t>11,card,27.92,Americano with Milk,Morning,Sun,Aug,7,8,2024-08-04,11:52:33.017000</t>
  </si>
  <si>
    <t>15,card,32.82,Cappuccino,Afternoon,Sun,Aug,7,8,2024-08-04,15:33:52.137000</t>
  </si>
  <si>
    <t>15,card,32.82,Cappuccino,Afternoon,Sun,Aug,7,8,2024-08-04,15:35:05.906000</t>
  </si>
  <si>
    <t>8,card,23.02,Cortado,Morning,Mon,Aug,1,8,2024-08-05,08:50:05.753000</t>
  </si>
  <si>
    <t>9,card,27.92,Americano with Milk,Morning,Mon,Aug,1,8,2024-08-05,09:19:19.176000</t>
  </si>
  <si>
    <t>11,card,23.02,Cortado,Morning,Mon,Aug,1,8,2024-08-05,11:20:47.444000</t>
  </si>
  <si>
    <t>13,card,32.82,Cappuccino,Afternoon,Mon,Aug,1,8,2024-08-05,13:45:22.454000</t>
  </si>
  <si>
    <t>16,card,32.82,Latte,Afternoon,Mon,Aug,1,8,2024-08-05,16:05:57.738000</t>
  </si>
  <si>
    <t>16,card,32.82,Latte,Afternoon,Mon,Aug,1,8,2024-08-05,16:07:18.837000</t>
  </si>
  <si>
    <t>17,card,32.82,Latte,Night,Mon,Aug,1,8,2024-08-05,17:44:24.506000</t>
  </si>
  <si>
    <t>17,card,27.92,Americano with Milk,Night,Mon,Aug,1,8,2024-08-05,17:45:32.117000</t>
  </si>
  <si>
    <t>19,card,32.82,Latte,Night,Mon,Aug,1,8,2024-08-05,19:20:02.677000</t>
  </si>
  <si>
    <t>19,card,32.82,Latte,Night,Mon,Aug,1,8,2024-08-05,19:34:51.484000</t>
  </si>
  <si>
    <t>20,card,32.82,Cocoa,Night,Mon,Aug,1,8,2024-08-05,20:49:30.945000</t>
  </si>
  <si>
    <t>20,card,32.82,Cocoa,Night,Mon,Aug,1,8,2024-08-05,20:50:21.919000</t>
  </si>
  <si>
    <t>22,card,27.92,Americano with Milk,Night,Mon,Aug,1,8,2024-08-05,22:43:48.193000</t>
  </si>
  <si>
    <t>10,card,23.02,Cortado,Morning,Tue,Aug,2,8,2024-08-06,10:21:03.320000</t>
  </si>
  <si>
    <t>10,card,32.82,Hot Chocolate,Morning,Tue,Aug,2,8,2024-08-06,10:32:32.335000</t>
  </si>
  <si>
    <t>17,card,32.82,Cappuccino,Night,Tue,Aug,2,8,2024-08-06,17:40:49.201000</t>
  </si>
  <si>
    <t>17,card,32.82,Latte,Night,Tue,Aug,2,8,2024-08-06,17:42:52.700000</t>
  </si>
  <si>
    <t>17,card,32.82,Cocoa,Night,Tue,Aug,2,8,2024-08-06,17:44:05.067000</t>
  </si>
  <si>
    <t>19,card,32.82,Latte,Night,Tue,Aug,2,8,2024-08-06,19:04:04.544000</t>
  </si>
  <si>
    <t>19,card,27.92,Americano with Milk,Night,Tue,Aug,2,8,2024-08-06,19:05:23.110000</t>
  </si>
  <si>
    <t>20,card,32.82,Latte,Night,Tue,Aug,2,8,2024-08-06,20:04:27.133000</t>
  </si>
  <si>
    <t>8,card,27.92,Americano with Milk,Morning,Wed,Aug,3,8,2024-08-07,08:55:48.455000</t>
  </si>
  <si>
    <t>12,card,23.02,Americano,Afternoon,Wed,Aug,3,8,2024-08-07,12:12:26.800000</t>
  </si>
  <si>
    <t>12,card,23.02,Americano,Afternoon,Wed,Aug,3,8,2024-08-07,12:13:40.664000</t>
  </si>
  <si>
    <t>13,card,18.12,Espresso,Afternoon,Wed,Aug,3,8,2024-08-07,13:11:16.155000</t>
  </si>
  <si>
    <t>16,card,23.02,Americano,Afternoon,Wed,Aug,3,8,2024-08-07,16:19:01.657000</t>
  </si>
  <si>
    <t>19,card,32.82,Latte,Night,Wed,Aug,3,8,2024-08-07,19:36:22.739000</t>
  </si>
  <si>
    <t>20,card,32.82,Cocoa,Night,Wed,Aug,3,8,2024-08-07,20:40:09.281000</t>
  </si>
  <si>
    <t>21,card,32.82,Cappuccino,Night,Wed,Aug,3,8,2024-08-07,21:18:11.990000</t>
  </si>
  <si>
    <t>22,card,32.82,Latte,Night,Wed,Aug,3,8,2024-08-07,22:28:56.686000</t>
  </si>
  <si>
    <t>22,card,32.82,Latte,Night,Wed,Aug,3,8,2024-08-07,22:32:15.971000</t>
  </si>
  <si>
    <t>8,card,18.12,Espresso,Morning,Thu,Aug,4,8,2024-08-08,08:46:36.204000</t>
  </si>
  <si>
    <t>8,card,23.02,Cortado,Morning,Thu,Aug,4,8,2024-08-08,08:47:28.686000</t>
  </si>
  <si>
    <t>12,card,27.92,Americano with Milk,Afternoon,Thu,Aug,4,8,2024-08-08,12:27:05.373000</t>
  </si>
  <si>
    <t>12,card,23.02,Cortado,Afternoon,Thu,Aug,4,8,2024-08-08,12:43:19.558000</t>
  </si>
  <si>
    <t>12,card,23.02,Cortado,Afternoon,Thu,Aug,4,8,2024-08-08,12:44:14.953000</t>
  </si>
  <si>
    <t>16,card,32.82,Cappuccino,Afternoon,Thu,Aug,4,8,2024-08-08,16:57:53.266000</t>
  </si>
  <si>
    <t>17,card,32.82,Cappuccino,Night,Thu,Aug,4,8,2024-08-08,17:17:51.749000</t>
  </si>
  <si>
    <t>21,card,27.92,Americano with Milk,Night,Thu,Aug,4,8,2024-08-08,21:25:59.265000</t>
  </si>
  <si>
    <t>7,card,32.82,Latte,Morning,Fri,Aug,5,8,2024-08-09,07:35:22.340000</t>
  </si>
  <si>
    <t>9,card,23.02,Americano,Morning,Fri,Aug,5,8,2024-08-09,09:53:34.553000</t>
  </si>
  <si>
    <t>10,card,23.02,Cortado,Morning,Fri,Aug,5,8,2024-08-09,10:13:07.537000</t>
  </si>
  <si>
    <t>10,card,27.92,Americano with Milk,Morning,Fri,Aug,5,8,2024-08-09,10:26:47.174000</t>
  </si>
  <si>
    <t>11,card,32.82,Latte,Morning,Fri,Aug,5,8,2024-08-09,11:28:08.722000</t>
  </si>
  <si>
    <t>11,card,23.02,Americano,Morning,Fri,Aug,5,8,2024-08-09,11:29:48.682000</t>
  </si>
  <si>
    <t>18,card,23.02,Americano,Night,Fri,Aug,5,8,2024-08-09,18:56:27.712000</t>
  </si>
  <si>
    <t>19,card,32.82,Hot Chocolate,Night,Fri,Aug,5,8,2024-08-09,19:03:06.611000</t>
  </si>
  <si>
    <t>8,card,32.82,Cappuccino,Morning,Sat,Aug,6,8,2024-08-10,08:36:44.628000</t>
  </si>
  <si>
    <t>8,card,27.92,Americano with Milk,Morning,Sat,Aug,6,8,2024-08-10,08:37:57.069000</t>
  </si>
  <si>
    <t>8,card,23.02,Cortado,Morning,Sat,Aug,6,8,2024-08-10,08:45:09.019000</t>
  </si>
  <si>
    <t>11,card,23.02,Cortado,Morning,Sat,Aug,6,8,2024-08-10,11:52:33.836000</t>
  </si>
  <si>
    <t>11,card,23.02,Americano,Morning,Sat,Aug,6,8,2024-08-10,11:54:23.534000</t>
  </si>
  <si>
    <t>12,card,32.82,Latte,Afternoon,Sat,Aug,6,8,2024-08-10,12:15:10.927000</t>
  </si>
  <si>
    <t>12,card,27.92,Americano with Milk,Afternoon,Sat,Aug,6,8,2024-08-10,12:33:12.454000</t>
  </si>
  <si>
    <t>16,card,32.82,Latte,Afternoon,Sat,Aug,6,8,2024-08-10,16:06:12.085000</t>
  </si>
  <si>
    <t>21,card,32.82,Cocoa,Night,Sat,Aug,6,8,2024-08-10,21:16:48.562000</t>
  </si>
  <si>
    <t>21,card,32.82,Cocoa,Night,Sat,Aug,6,8,2024-08-10,21:17:41.087000</t>
  </si>
  <si>
    <t>21,card,32.82,Cocoa,Night,Sat,Aug,6,8,2024-08-10,21:37:41.517000</t>
  </si>
  <si>
    <t>9,card,32.82,Latte,Morning,Sun,Aug,7,8,2024-08-11,09:52:36.590000</t>
  </si>
  <si>
    <t>9,card,32.82,Latte,Morning,Sun,Aug,7,8,2024-08-11,09:53:43.564000</t>
  </si>
  <si>
    <t>10,card,27.92,Americano with Milk,Morning,Sun,Aug,7,8,2024-08-11,10:17:23.636000</t>
  </si>
  <si>
    <t>11,card,32.82,Cappuccino,Morning,Sun,Aug,7,8,2024-08-11,11:56:41.144000</t>
  </si>
  <si>
    <t>11,card,27.92,Americano with Milk,Morning,Sun,Aug,7,8,2024-08-11,11:57:41.269000</t>
  </si>
  <si>
    <t>12,card,23.02,Cortado,Afternoon,Sun,Aug,7,8,2024-08-11,12:20:19.570000</t>
  </si>
  <si>
    <t>15,card,32.82,Latte,Afternoon,Sun,Aug,7,8,2024-08-11,15:53:51.552000</t>
  </si>
  <si>
    <t>15,card,27.92,Americano with Milk,Afternoon,Sun,Aug,7,8,2024-08-11,15:55:14.853000</t>
  </si>
  <si>
    <t>15,card,32.82,Cocoa,Afternoon,Sun,Aug,7,8,2024-08-11,15:56:27.697000</t>
  </si>
  <si>
    <t>16,card,32.82,Cappuccino,Afternoon,Sun,Aug,7,8,2024-08-11,16:27:35.126000</t>
  </si>
  <si>
    <t>16,card,18.12,Espresso,Afternoon,Sun,Aug,7,8,2024-08-11,16:28:38.296000</t>
  </si>
  <si>
    <t>21,card,23.02,Cortado,Night,Sun,Aug,7,8,2024-08-11,21:30:32.549000</t>
  </si>
  <si>
    <t>21,card,32.82,Latte,Night,Sun,Aug,7,8,2024-08-11,21:41:09.070000</t>
  </si>
  <si>
    <t>21,card,32.82,Latte,Night,Sun,Aug,7,8,2024-08-11,21:43:10.108000</t>
  </si>
  <si>
    <t>22,card,32.82,Cappuccino,Night,Sun,Aug,7,8,2024-08-11,22:39:29.913000</t>
  </si>
  <si>
    <t>8,card,32.82,Hot Chocolate,Morning,Mon,Aug,1,8,2024-08-12,08:26:19.458000</t>
  </si>
  <si>
    <t>11,card,27.92,Americano with Milk,Morning,Mon,Aug,1,8,2024-08-12,11:15:04.771000</t>
  </si>
  <si>
    <t>11,card,23.02,Americano,Morning,Mon,Aug,1,8,2024-08-12,11:19:29.513000</t>
  </si>
  <si>
    <t>11,card,32.82,Latte,Morning,Mon,Aug,1,8,2024-08-12,11:20:23.640000</t>
  </si>
  <si>
    <t>11,card,32.82,Latte,Morning,Mon,Aug,1,8,2024-08-12,11:44:28.384000</t>
  </si>
  <si>
    <t>14,card,18.12,Espresso,Afternoon,Mon,Aug,1,8,2024-08-12,14:04:03.399000</t>
  </si>
  <si>
    <t>14,card,27.92,Americano with Milk,Afternoon,Mon,Aug,1,8,2024-08-12,14:05:06.931000</t>
  </si>
  <si>
    <t>15,card,27.92,Americano with Milk,Afternoon,Mon,Aug,1,8,2024-08-12,15:33:33.110000</t>
  </si>
  <si>
    <t>18,card,27.92,Americano with Milk,Night,Mon,Aug,1,8,2024-08-12,18:05:04.830000</t>
  </si>
  <si>
    <t>21,card,27.92,Americano with Milk,Night,Mon,Aug,1,8,2024-08-12,21:25:49.351000</t>
  </si>
  <si>
    <t>21,card,32.82,Latte,Night,Mon,Aug,1,8,2024-08-12,21:37:38.041000</t>
  </si>
  <si>
    <t>22,card,32.82,Cappuccino,Night,Mon,Aug,1,8,2024-08-12,22:58:20.072000</t>
  </si>
  <si>
    <t>22,card,32.82,Cappuccino,Night,Mon,Aug,1,8,2024-08-12,22:59:18.544000</t>
  </si>
  <si>
    <t>8,card,27.92,Americano with Milk,Morning,Tue,Aug,2,8,2024-08-13,08:44:30.187000</t>
  </si>
  <si>
    <t>9,card,27.92,Americano with Milk,Morning,Tue,Aug,2,8,2024-08-13,09:14:21.598000</t>
  </si>
  <si>
    <t>9,card,27.92,Americano with Milk,Morning,Tue,Aug,2,8,2024-08-13,09:45:56.370000</t>
  </si>
  <si>
    <t>10,card,23.02,Cortado,Morning,Tue,Aug,2,8,2024-08-13,10:42:08.773000</t>
  </si>
  <si>
    <t>11,card,32.82,Latte,Morning,Tue,Aug,2,8,2024-08-13,11:59:47.612000</t>
  </si>
  <si>
    <t>13,card,27.92,Americano with Milk,Afternoon,Tue,Aug,2,8,2024-08-13,13:01:41.487000</t>
  </si>
  <si>
    <t>14,card,32.82,Latte,Afternoon,Tue,Aug,2,8,2024-08-13,14:45:39.689000</t>
  </si>
  <si>
    <t>15,card,32.82,Cappuccino,Afternoon,Tue,Aug,2,8,2024-08-13,15:47:56.703000</t>
  </si>
  <si>
    <t>15,card,27.92,Americano with Milk,Afternoon,Tue,Aug,2,8,2024-08-13,15:55:29.579000</t>
  </si>
  <si>
    <t>20,card,32.82,Latte,Night,Tue,Aug,2,8,2024-08-13,20:29:34.531000</t>
  </si>
  <si>
    <t>20,card,32.82,Cocoa,Night,Tue,Aug,2,8,2024-08-13,20:30:37.150000</t>
  </si>
  <si>
    <t>20,card,32.82,Cappuccino,Night,Tue,Aug,2,8,2024-08-13,20:44:22.991000</t>
  </si>
  <si>
    <t>21,card,23.02,Cortado,Night,Tue,Aug,2,8,2024-08-13,21:00:44.688000</t>
  </si>
  <si>
    <t>7,card,32.82,Latte,Morning,Wed,Aug,3,8,2024-08-14,07:35:48.103000</t>
  </si>
  <si>
    <t>7,card,32.82,Cappuccino,Morning,Wed,Aug,3,8,2024-08-14,07:36:55.599000</t>
  </si>
  <si>
    <t>10,card,23.02,Cortado,Morning,Wed,Aug,3,8,2024-08-14,10:09:29.125000</t>
  </si>
  <si>
    <t>11,card,18.12,Espresso,Morning,Wed,Aug,3,8,2024-08-14,11:39:07.882000</t>
  </si>
  <si>
    <t>12,card,23.02,Americano,Afternoon,Wed,Aug,3,8,2024-08-14,12:49:16.951000</t>
  </si>
  <si>
    <t>12,card,23.02,Americano,Afternoon,Wed,Aug,3,8,2024-08-14,12:51:04.870000</t>
  </si>
  <si>
    <t>15,card,32.82,Latte,Afternoon,Wed,Aug,3,8,2024-08-14,15:21:27.260000</t>
  </si>
  <si>
    <t>17,card,23.02,Americano,Night,Wed,Aug,3,8,2024-08-14,17:24:22.788000</t>
  </si>
  <si>
    <t>18,card,23.02,Cortado,Night,Wed,Aug,3,8,2024-08-14,18:10:03.723000</t>
  </si>
  <si>
    <t>18,card,27.92,Americano with Milk,Night,Wed,Aug,3,8,2024-08-14,18:59:18.279000</t>
  </si>
  <si>
    <t>19,card,32.82,Latte,Night,Wed,Aug,3,8,2024-08-14,19:34:51.731000</t>
  </si>
  <si>
    <t>19,card,23.02,Cortado,Night,Wed,Aug,3,8,2024-08-14,19:35:48.545000</t>
  </si>
  <si>
    <t>21,card,32.82,Latte,Night,Wed,Aug,3,8,2024-08-14,21:41:33.021000</t>
  </si>
  <si>
    <t>9,card,23.02,Cortado,Morning,Thu,Aug,4,8,2024-08-15,09:36:11.153000</t>
  </si>
  <si>
    <t>9,card,32.82,Cappuccino,Morning,Thu,Aug,4,8,2024-08-15,09:37:02.172000</t>
  </si>
  <si>
    <t>9,card,32.82,Hot Chocolate,Morning,Thu,Aug,4,8,2024-08-15,09:38:04.903000</t>
  </si>
  <si>
    <t>9,card,32.82,Latte,Morning,Thu,Aug,4,8,2024-08-15,09:38:49.735000</t>
  </si>
  <si>
    <t>12,card,32.82,Latte,Afternoon,Thu,Aug,4,8,2024-08-15,12:38:37.563000</t>
  </si>
  <si>
    <t>13,card,32.82,Latte,Afternoon,Thu,Aug,4,8,2024-08-15,13:48:13.601000</t>
  </si>
  <si>
    <t>14,card,23.02,Americano,Afternoon,Thu,Aug,4,8,2024-08-15,14:17:48.183000</t>
  </si>
  <si>
    <t>14,card,18.12,Espresso,Afternoon,Thu,Aug,4,8,2024-08-15,14:18:50.777000</t>
  </si>
  <si>
    <t>17,card,27.92,Americano with Milk,Night,Thu,Aug,4,8,2024-08-15,17:53:52.225000</t>
  </si>
  <si>
    <t>19,card,32.82,Hot Chocolate,Night,Thu,Aug,4,8,2024-08-15,19:10:58.222000</t>
  </si>
  <si>
    <t>19,card,27.92,Americano with Milk,Night,Thu,Aug,4,8,2024-08-15,19:11:54.036000</t>
  </si>
  <si>
    <t>19,card,27.92,Americano with Milk,Night,Thu,Aug,4,8,2024-08-15,19:41:30.244000</t>
  </si>
  <si>
    <t>19,card,23.02,Americano,Night,Thu,Aug,4,8,2024-08-15,19:42:37.987000</t>
  </si>
  <si>
    <t>20,card,32.82,Cappuccino,Night,Thu,Aug,4,8,2024-08-15,20:40:41.516000</t>
  </si>
  <si>
    <t>21,card,18.12,Espresso,Night,Thu,Aug,4,8,2024-08-15,21:35:20.080000</t>
  </si>
  <si>
    <t>21,card,27.92,Americano with Milk,Night,Thu,Aug,4,8,2024-08-15,21:36:11.033000</t>
  </si>
  <si>
    <t>12,card,32.82,Latte,Afternoon,Fri,Aug,5,8,2024-08-16,12:29:16.732000</t>
  </si>
  <si>
    <t>12,card,23.02,Americano,Afternoon,Fri,Aug,5,8,2024-08-16,12:54:17.452000</t>
  </si>
  <si>
    <t>13,card,27.92,Americano with Milk,Afternoon,Fri,Aug,5,8,2024-08-16,13:36:12.798000</t>
  </si>
  <si>
    <t>15,card,18.12,Espresso,Afternoon,Fri,Aug,5,8,2024-08-16,15:18:51.737000</t>
  </si>
  <si>
    <t>15,card,18.12,Espresso,Afternoon,Fri,Aug,5,8,2024-08-16,15:19:39.274000</t>
  </si>
  <si>
    <t>9,card,27.92,Americano with Milk,Morning,Sat,Aug,6,8,2024-08-17,09:16:53.491000</t>
  </si>
  <si>
    <t>9,card,32.82,Cappuccino,Morning,Sat,Aug,6,8,2024-08-17,09:18:08.983000</t>
  </si>
  <si>
    <t>10,card,27.92,Americano with Milk,Morning,Sat,Aug,6,8,2024-08-17,10:53:41.327000</t>
  </si>
  <si>
    <t>11,card,23.02,Cortado,Morning,Sat,Aug,6,8,2024-08-17,11:58:41.649000</t>
  </si>
  <si>
    <t>11,card,23.02,Cortado,Morning,Sat,Aug,6,8,2024-08-17,11:59:28.298000</t>
  </si>
  <si>
    <t>13,card,27.92,Americano with Milk,Afternoon,Sat,Aug,6,8,2024-08-17,13:18:40.184000</t>
  </si>
  <si>
    <t>16,card,23.02,Cortado,Afternoon,Sat,Aug,6,8,2024-08-17,16:31:54.837000</t>
  </si>
  <si>
    <t>16,card,32.82,Latte,Afternoon,Sat,Aug,6,8,2024-08-17,16:33:48.977000</t>
  </si>
  <si>
    <t>18,card,32.82,Cappuccino,Night,Sat,Aug,6,8,2024-08-17,18:48:58.852000</t>
  </si>
  <si>
    <t>21,card,27.92,Americano with Milk,Night,Sat,Aug,6,8,2024-08-17,21:18:56.806000</t>
  </si>
  <si>
    <t>22,card,32.82,Latte,Night,Sat,Aug,6,8,2024-08-17,22:42:39.351000</t>
  </si>
  <si>
    <t>8,card,32.82,Cappuccino,Morning,Sun,Aug,7,8,2024-08-18,08:09:42.601000</t>
  </si>
  <si>
    <t>8,card,32.82,Cappuccino,Morning,Sun,Aug,7,8,2024-08-18,08:32:05.597000</t>
  </si>
  <si>
    <t>8,card,23.02,Cortado,Morning,Sun,Aug,7,8,2024-08-18,08:41:06.249000</t>
  </si>
  <si>
    <t>8,card,27.92,Americano with Milk,Morning,Sun,Aug,7,8,2024-08-18,08:56:01.292000</t>
  </si>
  <si>
    <t>12,card,32.82,Cappuccino,Afternoon,Sun,Aug,7,8,2024-08-18,12:31:40.892000</t>
  </si>
  <si>
    <t>14,card,27.92,Americano with Milk,Afternoon,Sun,Aug,7,8,2024-08-18,14:30:21.605000</t>
  </si>
  <si>
    <t>18,card,27.92,Americano with Milk,Night,Sun,Aug,7,8,2024-08-18,18:24:10.776000</t>
  </si>
  <si>
    <t>18,card,27.92,Americano with Milk,Night,Sun,Aug,7,8,2024-08-18,18:26:03.786000</t>
  </si>
  <si>
    <t>18,card,23.02,Americano,Night,Sun,Aug,7,8,2024-08-18,18:27:17.553000</t>
  </si>
  <si>
    <t>18,card,23.02,Americano,Night,Sun,Aug,7,8,2024-08-18,18:28:13.069000</t>
  </si>
  <si>
    <t>15,card,27.92,Americano with Milk,Afternoon,Mon,Aug,1,8,2024-08-19,15:09:48.982000</t>
  </si>
  <si>
    <t>15,card,27.92,Americano with Milk,Afternoon,Mon,Aug,1,8,2024-08-19,15:10:51.212000</t>
  </si>
  <si>
    <t>21,card,32.82,Latte,Night,Mon,Aug,1,8,2024-08-19,21:21:12.081000</t>
  </si>
  <si>
    <t>21,card,32.82,Cocoa,Night,Mon,Aug,1,8,2024-08-19,21:31:57.036000</t>
  </si>
  <si>
    <t>8,card,23.02,Cortado,Morning,Tue,Aug,2,8,2024-08-20,08:27:16.408000</t>
  </si>
  <si>
    <t>8,card,32.82,Latte,Morning,Tue,Aug,2,8,2024-08-20,08:29:14.916000</t>
  </si>
  <si>
    <t>8,card,18.12,Espresso,Morning,Tue,Aug,2,8,2024-08-20,08:49:47.474000</t>
  </si>
  <si>
    <t>8,card,23.02,Cortado,Morning,Tue,Aug,2,8,2024-08-20,08:50:36.343000</t>
  </si>
  <si>
    <t>9,card,27.92,Americano with Milk,Morning,Tue,Aug,2,8,2024-08-20,09:14:54.885000</t>
  </si>
  <si>
    <t>11,card,23.02,Americano,Morning,Tue,Aug,2,8,2024-08-20,11:09:55.575000</t>
  </si>
  <si>
    <t>11,card,23.02,Americano,Morning,Tue,Aug,2,8,2024-08-20,11:11:39.083000</t>
  </si>
  <si>
    <t>11,card,23.02,Americano,Morning,Tue,Aug,2,8,2024-08-20,11:12:31.181000</t>
  </si>
  <si>
    <t>11,card,32.82,Latte,Morning,Tue,Aug,2,8,2024-08-20,11:42:20</t>
  </si>
  <si>
    <t>20,card,32.82,Latte,Night,Tue,Aug,2,8,2024-08-20,20:42:40.873000</t>
  </si>
  <si>
    <t>20,card,32.82,Latte,Night,Tue,Aug,2,8,2024-08-20,20:44:14.852000</t>
  </si>
  <si>
    <t>20,card,32.82,Latte,Night,Tue,Aug,2,8,2024-08-20,20:45:12.346000</t>
  </si>
  <si>
    <t>20,card,32.82,Latte,Night,Tue,Aug,2,8,2024-08-20,20:46:03.989000</t>
  </si>
  <si>
    <t>7,card,27.92,Americano with Milk,Morning,Wed,Aug,3,8,2024-08-21,07:59:13.098000</t>
  </si>
  <si>
    <t>8,card,23.02,Cortado,Morning,Wed,Aug,3,8,2024-08-21,08:40:27.393000</t>
  </si>
  <si>
    <t>10,card,23.02,Americano,Morning,Wed,Aug,3,8,2024-08-21,10:13:32.404000</t>
  </si>
  <si>
    <t>10,card,27.92,Americano with Milk,Morning,Wed,Aug,3,8,2024-08-21,10:38:44.527000</t>
  </si>
  <si>
    <t>11,card,23.02,Cortado,Morning,Wed,Aug,3,8,2024-08-21,11:51:41.439000</t>
  </si>
  <si>
    <t>13,card,32.82,Latte,Afternoon,Wed,Aug,3,8,2024-08-21,13:17:10.750000</t>
  </si>
  <si>
    <t>19,card,32.82,Latte,Night,Wed,Aug,3,8,2024-08-21,19:42:03.523000</t>
  </si>
  <si>
    <t>9,card,23.02,Cortado,Morning,Thu,Aug,4,8,2024-08-22,09:22:26.297000</t>
  </si>
  <si>
    <t>10,card,27.92,Americano with Milk,Morning,Thu,Aug,4,8,2024-08-22,10:09:23.470000</t>
  </si>
  <si>
    <t>10,card,27.92,Americano with Milk,Morning,Thu,Aug,4,8,2024-08-22,10:47:59.356000</t>
  </si>
  <si>
    <t>14,card,32.82,Latte,Afternoon,Thu,Aug,4,8,2024-08-22,14:16:12.066000</t>
  </si>
  <si>
    <t>14,card,32.82,Latte,Afternoon,Thu,Aug,4,8,2024-08-22,14:26:58.298000</t>
  </si>
  <si>
    <t>15,card,32.82,Cappuccino,Afternoon,Thu,Aug,4,8,2024-08-22,15:07:07.427000</t>
  </si>
  <si>
    <t>15,card,23.02,Americano,Afternoon,Thu,Aug,4,8,2024-08-22,15:27:27.317000</t>
  </si>
  <si>
    <t>7,card,32.82,Latte,Morning,Fri,Aug,5,8,2024-08-23,07:43:16.127000</t>
  </si>
  <si>
    <t>8,card,23.02,Cortado,Morning,Fri,Aug,5,8,2024-08-23,08:21:48.054000</t>
  </si>
  <si>
    <t>8,card,32.82,Latte,Morning,Fri,Aug,5,8,2024-08-23,08:22:56.567000</t>
  </si>
  <si>
    <t>8,card,23.02,Americano,Morning,Fri,Aug,5,8,2024-08-23,08:33:38.712000</t>
  </si>
  <si>
    <t>8,card,23.02,Americano,Morning,Fri,Aug,5,8,2024-08-23,08:34:35.002000</t>
  </si>
  <si>
    <t>9,card,27.92,Americano with Milk,Morning,Fri,Aug,5,8,2024-08-23,09:14:52.024000</t>
  </si>
  <si>
    <t>10,card,32.82,Cocoa,Morning,Fri,Aug,5,8,2024-08-23,10:10:58.704000</t>
  </si>
  <si>
    <t>10,card,23.02,Americano,Morning,Fri,Aug,5,8,2024-08-23,10:11:55.469000</t>
  </si>
  <si>
    <t>10,card,23.02,Cortado,Morning,Fri,Aug,5,8,2024-08-23,10:39:12.279000</t>
  </si>
  <si>
    <t>11,card,32.82,Hot Chocolate,Morning,Fri,Aug,5,8,2024-08-23,11:12:59.387000</t>
  </si>
  <si>
    <t>13,card,23.02,Americano,Afternoon,Fri,Aug,5,8,2024-08-23,13:24:54.748000</t>
  </si>
  <si>
    <t>15,card,23.02,Americano,Afternoon,Fri,Aug,5,8,2024-08-23,15:28:52.779000</t>
  </si>
  <si>
    <t>19,card,32.82,Latte,Night,Fri,Aug,5,8,2024-08-23,19:48:02.807000</t>
  </si>
  <si>
    <t>8,card,23.02,Cortado,Morning,Sat,Aug,6,8,2024-08-24,08:13:42.270000</t>
  </si>
  <si>
    <t>8,card,23.02,Cortado,Morning,Sat,Aug,6,8,2024-08-24,08:14:47.637000</t>
  </si>
  <si>
    <t>8,card,23.02,Cortado,Morning,Sat,Aug,6,8,2024-08-24,08:44:11.575000</t>
  </si>
  <si>
    <t>10,card,18.12,Espresso,Morning,Sat,Aug,6,8,2024-08-24,10:18:09.485000</t>
  </si>
  <si>
    <t>10,card,18.12,Espresso,Morning,Sat,Aug,6,8,2024-08-24,10:18:52.263000</t>
  </si>
  <si>
    <t>10,card,23.02,Americano,Morning,Sat,Aug,6,8,2024-08-24,10:19:49.243000</t>
  </si>
  <si>
    <t>8,card,23.02,Cortado,Morning,Sun,Aug,7,8,2024-08-25,08:14:37.382000</t>
  </si>
  <si>
    <t>8,card,23.02,Americano,Morning,Sun,Aug,7,8,2024-08-25,08:26:27.671000</t>
  </si>
  <si>
    <t>8,card,23.02,Americano,Morning,Sun,Aug,7,8,2024-08-25,08:27:36.405000</t>
  </si>
  <si>
    <t>9,card,32.82,Cappuccino,Morning,Sun,Aug,7,8,2024-08-25,09:24:22.265000</t>
  </si>
  <si>
    <t>12,card,32.82,Cappuccino,Afternoon,Sun,Aug,7,8,2024-08-25,12:41:42.703000</t>
  </si>
  <si>
    <t>14,card,32.82,Latte,Afternoon,Sun,Aug,7,8,2024-08-25,14:53:02.699000</t>
  </si>
  <si>
    <t>8,card,23.02,Cortado,Morning,Mon,Aug,1,8,2024-08-26,08:11:47.295000</t>
  </si>
  <si>
    <t>8,card,23.02,Americano,Morning,Mon,Aug,1,8,2024-08-26,08:16:09.611000</t>
  </si>
  <si>
    <t>8,card,23.02,Americano,Morning,Mon,Aug,1,8,2024-08-26,08:17:23.209000</t>
  </si>
  <si>
    <t>9,card,27.92,Americano with Milk,Morning,Mon,Aug,1,8,2024-08-26,09:21:36.706000</t>
  </si>
  <si>
    <t>10,card,32.82,Latte,Morning,Mon,Aug,1,8,2024-08-26,10:37:44.464000</t>
  </si>
  <si>
    <t>10,card,32.82,Cappuccino,Morning,Mon,Aug,1,8,2024-08-26,10:38:49.037000</t>
  </si>
  <si>
    <t>12,card,23.02,Americano,Afternoon,Mon,Aug,1,8,2024-08-26,12:45:13.158000</t>
  </si>
  <si>
    <t>12,card,23.02,Americano,Afternoon,Mon,Aug,1,8,2024-08-26,12:46:23.644000</t>
  </si>
  <si>
    <t>18,card,27.92,Americano with Milk,Night,Mon,Aug,1,8,2024-08-26,18:53:27.790000</t>
  </si>
  <si>
    <t>18,card,32.82,Latte,Night,Mon,Aug,1,8,2024-08-26,18:54:31.291000</t>
  </si>
  <si>
    <t>22,card,27.92,Americano with Milk,Night,Mon,Aug,1,8,2024-08-26,22:55:39.905000</t>
  </si>
  <si>
    <t>10,card,32.82,Latte,Morning,Tue,Aug,2,8,2024-08-27,10:04:04.563000</t>
  </si>
  <si>
    <t>12,card,27.92,Americano with Milk,Afternoon,Wed,Aug,3,8,2024-08-28,12:08:18.772000</t>
  </si>
  <si>
    <t>12,card,32.82,Cappuccino,Afternoon,Wed,Aug,3,8,2024-08-28,12:10:04.139000</t>
  </si>
  <si>
    <t>12,card,23.02,Americano,Afternoon,Wed,Aug,3,8,2024-08-28,12:35:06.944000</t>
  </si>
  <si>
    <t>13,card,27.92,Americano with Milk,Afternoon,Wed,Aug,3,8,2024-08-28,13:48:35.199000</t>
  </si>
  <si>
    <t>7,card,23.02,Americano,Morning,Thu,Aug,4,8,2024-08-29,07:29:30.319000</t>
  </si>
  <si>
    <t>17,card,32.82,Latte,Night,Fri,Aug,5,8,2024-08-30,17:13:30.487000</t>
  </si>
  <si>
    <t>17,card,27.92,Americano with Milk,Night,Fri,Aug,5,8,2024-08-30,17:14:32.791000</t>
  </si>
  <si>
    <t>17,card,27.92,Americano with Milk,Night,Fri,Aug,5,8,2024-08-30,17:15:35.449000</t>
  </si>
  <si>
    <t>9,card,23.02,Cortado,Morning,Sat,Aug,6,8,2024-08-31,09:08:32.487000</t>
  </si>
  <si>
    <t>10,card,27.92,Americano with Milk,Morning,Sat,Aug,6,8,2024-08-31,10:02:08.193000</t>
  </si>
  <si>
    <t>10,card,18.12,Espresso,Morning,Sat,Aug,6,8,2024-08-31,10:22:26.877000</t>
  </si>
  <si>
    <t>11,card,27.92,Americano with Milk,Morning,Sat,Aug,6,8,2024-08-31,11:29:54.571000</t>
  </si>
  <si>
    <t>11,card,23.02,Cortado,Morning,Sat,Aug,6,8,2024-08-31,11:33:39.916000</t>
  </si>
  <si>
    <t>11,card,23.02,Cortado,Morning,Sat,Aug,6,8,2024-08-31,11:34:32.934000</t>
  </si>
  <si>
    <t>9,card,23.02,Cortado,Morning,Sun,Sep,7,9,2024-09-01,09:34:15.229000</t>
  </si>
  <si>
    <t>12,card,32.82,Cappuccino,Afternoon,Sun,Sep,7,9,2024-09-01,12:11:24.745000</t>
  </si>
  <si>
    <t>12,card,27.92,Americano with Milk,Afternoon,Sun,Sep,7,9,2024-09-01,12:30:08.620000</t>
  </si>
  <si>
    <t>12,card,23.02,Americano,Afternoon,Sun,Sep,7,9,2024-09-01,12:32:22.007000</t>
  </si>
  <si>
    <t>12,card,27.92,Americano with Milk,Afternoon,Sun,Sep,7,9,2024-09-01,12:50:17.448000</t>
  </si>
  <si>
    <t>13,card,32.82,Latte,Afternoon,Sun,Sep,7,9,2024-09-01,13:57:33.948000</t>
  </si>
  <si>
    <t>14,card,27.92,Americano with Milk,Afternoon,Sun,Sep,7,9,2024-09-01,14:44:04.027000</t>
  </si>
  <si>
    <t>17,card,32.82,Latte,Night,Sun,Sep,7,9,2024-09-01,17:20:46.327000</t>
  </si>
  <si>
    <t>17,card,32.82,Latte,Night,Sun,Sep,7,9,2024-09-01,17:23:13.869000</t>
  </si>
  <si>
    <t>17,card,32.82,Latte,Night,Sun,Sep,7,9,2024-09-01,17:24:49.689000</t>
  </si>
  <si>
    <t>8,card,32.82,Latte,Morning,Mon,Sep,1,9,2024-09-02,08:24:39.805000</t>
  </si>
  <si>
    <t>8,card,27.92,Americano with Milk,Morning,Mon,Sep,1,9,2024-09-02,08:50:17.646000</t>
  </si>
  <si>
    <t>8,card,32.82,Latte,Morning,Mon,Sep,1,9,2024-09-02,08:51:33.148000</t>
  </si>
  <si>
    <t>14,card,27.92,Americano with Milk,Afternoon,Mon,Sep,1,9,2024-09-02,14:58:47.143000</t>
  </si>
  <si>
    <t>20,card,32.82,Cappuccino,Night,Mon,Sep,1,9,2024-09-02,20:09:43.923000</t>
  </si>
  <si>
    <t>20,card,32.82,Cocoa,Night,Mon,Sep,1,9,2024-09-02,20:11:17.936000</t>
  </si>
  <si>
    <t>20,card,23.02,Americano,Night,Mon,Sep,1,9,2024-09-02,20:52:31.984000</t>
  </si>
  <si>
    <t>20,card,23.02,Americano,Night,Mon,Sep,1,9,2024-09-02,20:53:29.090000</t>
  </si>
  <si>
    <t>8,card,32.82,Cocoa,Morning,Tue,Sep,2,9,2024-09-03,08:22:15.368000</t>
  </si>
  <si>
    <t>8,card,32.82,Cappuccino,Morning,Tue,Sep,2,9,2024-09-03,08:28:12.430000</t>
  </si>
  <si>
    <t>8,card,32.82,Latte,Morning,Tue,Sep,2,9,2024-09-03,08:41:11.698000</t>
  </si>
  <si>
    <t>9,card,27.92,Americano with Milk,Morning,Tue,Sep,2,9,2024-09-03,09:03:12.473000</t>
  </si>
  <si>
    <t>9,card,32.82,Cappuccino,Morning,Tue,Sep,2,9,2024-09-03,09:04:11.750000</t>
  </si>
  <si>
    <t>9,card,32.82,Cocoa,Morning,Tue,Sep,2,9,2024-09-03,09:12:48.154000</t>
  </si>
  <si>
    <t>9,card,32.82,Cocoa,Morning,Tue,Sep,2,9,2024-09-03,09:13:33.655000</t>
  </si>
  <si>
    <t>9,card,27.92,Americano with Milk,Morning,Tue,Sep,2,9,2024-09-03,09:17:02.210000</t>
  </si>
  <si>
    <t>9,card,27.92,Americano with Milk,Morning,Tue,Sep,2,9,2024-09-03,09:20:17.170000</t>
  </si>
  <si>
    <t>9,card,32.82,Latte,Morning,Tue,Sep,2,9,2024-09-03,09:37:52.322000</t>
  </si>
  <si>
    <t>9,card,32.82,Cocoa,Morning,Tue,Sep,2,9,2024-09-03,09:38:56.399000</t>
  </si>
  <si>
    <t>12,card,23.02,Cortado,Afternoon,Tue,Sep,2,9,2024-09-03,12:56:53.409000</t>
  </si>
  <si>
    <t>14,card,27.92,Americano with Milk,Afternoon,Tue,Sep,2,9,2024-09-03,14:14:51.711000</t>
  </si>
  <si>
    <t>14,card,27.92,Americano with Milk,Afternoon,Tue,Sep,2,9,2024-09-03,14:16:17.337000</t>
  </si>
  <si>
    <t>18,card,27.92,Americano with Milk,Night,Tue,Sep,2,9,2024-09-03,18:48:34.747000</t>
  </si>
  <si>
    <t>19,card,32.82,Latte,Night,Tue,Sep,2,9,2024-09-03,19:11:12.312000</t>
  </si>
  <si>
    <t>19,card,27.92,Americano with Milk,Night,Tue,Sep,2,9,2024-09-03,19:17:13.808000</t>
  </si>
  <si>
    <t>11,card,27.92,Americano with Milk,Morning,Wed,Sep,3,9,2024-09-04,11:11:21.574000</t>
  </si>
  <si>
    <t>11,card,32.82,Latte,Morning,Wed,Sep,3,9,2024-09-04,11:33:36.598000</t>
  </si>
  <si>
    <t>11,card,23.02,Americano,Morning,Wed,Sep,3,9,2024-09-04,11:48:03.543000</t>
  </si>
  <si>
    <t>11,card,27.92,Americano with Milk,Morning,Wed,Sep,3,9,2024-09-04,11:55:34.487000</t>
  </si>
  <si>
    <t>12,card,32.82,Latte,Afternoon,Wed,Sep,3,9,2024-09-04,12:53:31.320000</t>
  </si>
  <si>
    <t>13,card,32.82,Latte,Afternoon,Wed,Sep,3,9,2024-09-04,13:03:50.610000</t>
  </si>
  <si>
    <t>13,card,27.92,Americano with Milk,Afternoon,Wed,Sep,3,9,2024-09-04,13:05:16.100000</t>
  </si>
  <si>
    <t>18,card,32.82,Cappuccino,Night,Wed,Sep,3,9,2024-09-04,18:03:46.925000</t>
  </si>
  <si>
    <t>19,card,27.92,Americano with Milk,Night,Wed,Sep,3,9,2024-09-04,19:41:41.962000</t>
  </si>
  <si>
    <t>21,card,32.82,Latte,Night,Wed,Sep,3,9,2024-09-04,21:19:35.649000</t>
  </si>
  <si>
    <t>9,card,27.92,Americano with Milk,Morning,Thu,Sep,4,9,2024-09-05,09:31:17.020000</t>
  </si>
  <si>
    <t>10,card,27.92,Americano with Milk,Morning,Thu,Sep,4,9,2024-09-05,10:28:56.227000</t>
  </si>
  <si>
    <t>11,card,23.02,Americano,Morning,Thu,Sep,4,9,2024-09-05,11:06:30.599000</t>
  </si>
  <si>
    <t>14,card,32.82,Latte,Afternoon,Thu,Sep,4,9,2024-09-05,14:00:27.732000</t>
  </si>
  <si>
    <t>15,card,32.82,Latte,Afternoon,Thu,Sep,4,9,2024-09-05,15:25:12.342000</t>
  </si>
  <si>
    <t>16,card,23.02,Americano,Afternoon,Thu,Sep,4,9,2024-09-05,16:38:50.385000</t>
  </si>
  <si>
    <t>16,card,27.92,Americano with Milk,Afternoon,Thu,Sep,4,9,2024-09-05,16:39:59.634000</t>
  </si>
  <si>
    <t>17,card,32.82,Cappuccino,Night,Thu,Sep,4,9,2024-09-05,17:04:28.905000</t>
  </si>
  <si>
    <t>17,card,32.82,Cappuccino,Night,Thu,Sep,4,9,2024-09-05,17:05:31.684000</t>
  </si>
  <si>
    <t>20,card,32.82,Cappuccino,Night,Thu,Sep,4,9,2024-09-05,20:30:14.964000</t>
  </si>
  <si>
    <t>20,card,23.02,Americano,Night,Thu,Sep,4,9,2024-09-05,20:54:24.429000</t>
  </si>
  <si>
    <t>20,card,32.82,Cappuccino,Night,Thu,Sep,4,9,2024-09-05,20:55:31.429000</t>
  </si>
  <si>
    <t>21,card,27.92,Americano with Milk,Night,Thu,Sep,4,9,2024-09-05,21:26:28.836000</t>
  </si>
  <si>
    <t>21,card,27.92,Americano with Milk,Night,Thu,Sep,4,9,2024-09-05,21:27:29.969000</t>
  </si>
  <si>
    <t>8,card,32.82,Cappuccino,Morning,Fri,Sep,5,9,2024-09-06,08:25:33.870000</t>
  </si>
  <si>
    <t>8,card,32.82,Latte,Morning,Fri,Sep,5,9,2024-09-06,08:34:46.827000</t>
  </si>
  <si>
    <t>8,card,23.02,Americano,Morning,Fri,Sep,5,9,2024-09-06,08:54:41.950000</t>
  </si>
  <si>
    <t>9,card,18.12,Espresso,Morning,Fri,Sep,5,9,2024-09-06,09:50:39.949000</t>
  </si>
  <si>
    <t>9,card,32.82,Latte,Morning,Fri,Sep,5,9,2024-09-06,09:51:52.216000</t>
  </si>
  <si>
    <t>10,card,32.82,Hot Chocolate,Morning,Fri,Sep,5,9,2024-09-06,10:30:06.049000</t>
  </si>
  <si>
    <t>11,card,18.12,Espresso,Morning,Fri,Sep,5,9,2024-09-06,11:23:25.390000</t>
  </si>
  <si>
    <t>11,card,18.12,Espresso,Morning,Fri,Sep,5,9,2024-09-06,11:24:29.254000</t>
  </si>
  <si>
    <t>20,card,32.82,Latte,Night,Fri,Sep,5,9,2024-09-06,20:00:12.025000</t>
  </si>
  <si>
    <t>21,card,32.82,Latte,Night,Fri,Sep,5,9,2024-09-06,21:09:31.247000</t>
  </si>
  <si>
    <t>8,card,32.82,Latte,Morning,Sat,Sep,6,9,2024-09-07,08:48:57.014000</t>
  </si>
  <si>
    <t>9,card,23.02,Cortado,Morning,Sat,Sep,6,9,2024-09-07,09:52:02.999000</t>
  </si>
  <si>
    <t>9,card,23.02,Cortado,Morning,Sat,Sep,6,9,2024-09-07,09:53:03.575000</t>
  </si>
  <si>
    <t>9,card,23.02,Cortado,Morning,Sat,Sep,6,9,2024-09-07,09:54:41.613000</t>
  </si>
  <si>
    <t>9,card,27.92,Americano with Milk,Morning,Sat,Sep,6,9,2024-09-07,09:57:47.652000</t>
  </si>
  <si>
    <t>9,card,27.92,Americano with Milk,Morning,Sat,Sep,6,9,2024-09-07,09:59:02.310000</t>
  </si>
  <si>
    <t>10,card,23.02,Cortado,Morning,Sat,Sep,6,9,2024-09-07,10:00:19.683000</t>
  </si>
  <si>
    <t>10,card,23.02,Americano,Morning,Sat,Sep,6,9,2024-09-07,10:22:44.518000</t>
  </si>
  <si>
    <t>10,card,18.12,Espresso,Morning,Sat,Sep,6,9,2024-09-07,10:37:52.335000</t>
  </si>
  <si>
    <t>10,card,18.12,Espresso,Morning,Sat,Sep,6,9,2024-09-07,10:40:12.607000</t>
  </si>
  <si>
    <t>10,card,32.82,Latte,Morning,Sat,Sep,6,9,2024-09-07,10:53:32.221000</t>
  </si>
  <si>
    <t>11,card,27.92,Americano with Milk,Morning,Sat,Sep,6,9,2024-09-07,11:18:56.767000</t>
  </si>
  <si>
    <t>11,card,23.02,Americano,Morning,Sat,Sep,6,9,2024-09-07,11:20:00.022000</t>
  </si>
  <si>
    <t>11,card,18.12,Espresso,Morning,Sat,Sep,6,9,2024-09-07,11:20:57.101000</t>
  </si>
  <si>
    <t>15,card,32.82,Latte,Afternoon,Sat,Sep,6,9,2024-09-07,15:55:08.533000</t>
  </si>
  <si>
    <t>16,card,23.02,Americano,Afternoon,Sat,Sep,6,9,2024-09-07,16:20:01.025000</t>
  </si>
  <si>
    <t>16,card,18.12,Espresso,Afternoon,Sat,Sep,6,9,2024-09-07,16:20:59.312000</t>
  </si>
  <si>
    <t>19,card,32.82,Cocoa,Night,Sat,Sep,6,9,2024-09-07,19:35:04.937000</t>
  </si>
  <si>
    <t>19,card,32.82,Latte,Night,Sat,Sep,6,9,2024-09-07,19:36:05.056000</t>
  </si>
  <si>
    <t>19,card,32.82,Latte,Night,Sat,Sep,6,9,2024-09-07,19:37:15.515000</t>
  </si>
  <si>
    <t>20,card,32.82,Latte,Night,Sat,Sep,6,9,2024-09-07,20:13:51.672000</t>
  </si>
  <si>
    <t>20,card,32.82,Latte,Night,Sat,Sep,6,9,2024-09-07,20:14:59.212000</t>
  </si>
  <si>
    <t>8,card,23.02,Cortado,Morning,Sun,Sep,7,9,2024-09-08,08:15:40.805000</t>
  </si>
  <si>
    <t>9,card,23.02,Cortado,Morning,Sun,Sep,7,9,2024-09-08,09:18:17.027000</t>
  </si>
  <si>
    <t>9,card,23.02,Cortado,Morning,Sun,Sep,7,9,2024-09-08,09:19:12.416000</t>
  </si>
  <si>
    <t>10,card,23.02,Cortado,Morning,Sun,Sep,7,9,2024-09-08,10:05:56.145000</t>
  </si>
  <si>
    <t>12,card,23.02,Cortado,Afternoon,Sun,Sep,7,9,2024-09-08,12:43:28.027000</t>
  </si>
  <si>
    <t>20,card,23.02,Americano,Night,Sun,Sep,7,9,2024-09-08,20:13:32.864000</t>
  </si>
  <si>
    <t>7,card,32.82,Latte,Morning,Mon,Sep,1,9,2024-09-09,07:51:13.564000</t>
  </si>
  <si>
    <t>7,card,32.82,Cappuccino,Morning,Mon,Sep,1,9,2024-09-09,07:53:51.556000</t>
  </si>
  <si>
    <t>7,card,27.92,Americano with Milk,Morning,Mon,Sep,1,9,2024-09-09,07:55:21.584000</t>
  </si>
  <si>
    <t>7,card,32.82,Latte,Morning,Mon,Sep,1,9,2024-09-09,07:56:37.669000</t>
  </si>
  <si>
    <t>9,card,32.82,Latte,Morning,Mon,Sep,1,9,2024-09-09,09:49:50.704000</t>
  </si>
  <si>
    <t>9,card,32.82,Hot Chocolate,Morning,Mon,Sep,1,9,2024-09-09,09:50:51.738000</t>
  </si>
  <si>
    <t>9,card,32.82,Latte,Morning,Mon,Sep,1,9,2024-09-09,09:59:10.750000</t>
  </si>
  <si>
    <t>11,card,27.92,Americano with Milk,Morning,Mon,Sep,1,9,2024-09-09,11:11:36.122000</t>
  </si>
  <si>
    <t>11,card,27.92,Americano with Milk,Morning,Mon,Sep,1,9,2024-09-09,11:12:50.640000</t>
  </si>
  <si>
    <t>11,card,32.82,Latte,Morning,Mon,Sep,1,9,2024-09-09,11:29:49.243000</t>
  </si>
  <si>
    <t>12,card,18.12,Espresso,Afternoon,Mon,Sep,1,9,2024-09-09,12:06:59.657000</t>
  </si>
  <si>
    <t>15,card,32.82,Latte,Afternoon,Mon,Sep,1,9,2024-09-09,15:12:13.766000</t>
  </si>
  <si>
    <t>15,card,23.02,Americano,Afternoon,Mon,Sep,1,9,2024-09-09,15:13:24.517000</t>
  </si>
  <si>
    <t>17,card,32.82,Latte,Night,Mon,Sep,1,9,2024-09-09,17:24:10.388000</t>
  </si>
  <si>
    <t>18,card,32.82,Latte,Night,Mon,Sep,1,9,2024-09-09,18:13:46.320000</t>
  </si>
  <si>
    <t>20,card,32.82,Cappuccino,Night,Mon,Sep,1,9,2024-09-09,20:07:36.198000</t>
  </si>
  <si>
    <t>20,card,32.82,Latte,Night,Mon,Sep,1,9,2024-09-09,20:13:43.524000</t>
  </si>
  <si>
    <t>8,card,32.82,Hot Chocolate,Morning,Tue,Sep,2,9,2024-09-10,08:12:02.450000</t>
  </si>
  <si>
    <t>9,card,32.82,Cappuccino,Morning,Tue,Sep,2,9,2024-09-10,09:32:46.786000</t>
  </si>
  <si>
    <t>15,card,23.02,Cortado,Afternoon,Tue,Sep,2,9,2024-09-10,15:21:54.387000</t>
  </si>
  <si>
    <t>15,card,23.02,Cortado,Afternoon,Tue,Sep,2,9,2024-09-10,15:23:05.946000</t>
  </si>
  <si>
    <t>18,card,32.82,Cappuccino,Night,Tue,Sep,2,9,2024-09-10,18:43:41.760000</t>
  </si>
  <si>
    <t>18,card,27.92,Americano with Milk,Night,Tue,Sep,2,9,2024-09-10,18:45:22.624000</t>
  </si>
  <si>
    <t>19,card,32.82,Latte,Night,Tue,Sep,2,9,2024-09-10,19:02:43.027000</t>
  </si>
  <si>
    <t>19,card,32.82,Latte,Night,Tue,Sep,2,9,2024-09-10,19:03:53.257000</t>
  </si>
  <si>
    <t>21,card,27.92,Americano with Milk,Night,Tue,Sep,2,9,2024-09-10,21:29:34.556000</t>
  </si>
  <si>
    <t>21,card,23.02,Americano,Night,Tue,Sep,2,9,2024-09-10,21:30:27.036000</t>
  </si>
  <si>
    <t>8,card,32.82,Latte,Morning,Wed,Sep,3,9,2024-09-11,08:47:22.305000</t>
  </si>
  <si>
    <t>9,card,27.92,Americano with Milk,Morning,Wed,Sep,3,9,2024-09-11,09:28:46.757000</t>
  </si>
  <si>
    <t>10,card,32.82,Latte,Morning,Wed,Sep,3,9,2024-09-11,10:52:09.177000</t>
  </si>
  <si>
    <t>19,card,32.82,Cappuccino,Night,Wed,Sep,3,9,2024-09-11,19:53:12.537000</t>
  </si>
  <si>
    <t>20,card,27.92,Americano with Milk,Night,Wed,Sep,3,9,2024-09-11,20:13:14.887000</t>
  </si>
  <si>
    <t>20,card,32.82,Latte,Night,Wed,Sep,3,9,2024-09-11,20:14:18.886000</t>
  </si>
  <si>
    <t>20,card,32.82,Latte,Night,Wed,Sep,3,9,2024-09-11,20:15:19.350000</t>
  </si>
  <si>
    <t>21,card,23.02,Cortado,Night,Wed,Sep,3,9,2024-09-11,21:01:34.225000</t>
  </si>
  <si>
    <t>10,card,18.12,Espresso,Morning,Thu,Sep,4,9,2024-09-12,10:57:25.619000</t>
  </si>
  <si>
    <t>10,card,27.92,Americano with Milk,Morning,Thu,Sep,4,9,2024-09-12,10:58:19.807000</t>
  </si>
  <si>
    <t>11,card,27.92,Americano with Milk,Morning,Thu,Sep,4,9,2024-09-12,11:27:36.065000</t>
  </si>
  <si>
    <t>12,card,32.82,Cappuccino,Afternoon,Thu,Sep,4,9,2024-09-12,12:08:22.158000</t>
  </si>
  <si>
    <t>12,card,23.02,Cortado,Afternoon,Thu,Sep,4,9,2024-09-12,12:31:06.997000</t>
  </si>
  <si>
    <t>12,card,23.02,Cortado,Afternoon,Thu,Sep,4,9,2024-09-12,12:32:22.981000</t>
  </si>
  <si>
    <t>12,card,23.02,Cortado,Afternoon,Thu,Sep,4,9,2024-09-12,12:37:20.423000</t>
  </si>
  <si>
    <t>12,card,23.02,Cortado,Afternoon,Thu,Sep,4,9,2024-09-12,12:38:09.735000</t>
  </si>
  <si>
    <t>17,card,32.82,Latte,Night,Thu,Sep,4,9,2024-09-12,17:01:25.224000</t>
  </si>
  <si>
    <t>21,card,23.02,Americano,Night,Thu,Sep,4,9,2024-09-12,21:09:10.412000</t>
  </si>
  <si>
    <t>21,card,32.82,Cappuccino,Night,Thu,Sep,4,9,2024-09-12,21:10:21.159000</t>
  </si>
  <si>
    <t>21,card,23.02,Cortado,Night,Thu,Sep,4,9,2024-09-12,21:13:16.808000</t>
  </si>
  <si>
    <t>7,card,32.82,Latte,Morning,Fri,Sep,5,9,2024-09-13,07:56:53.763000</t>
  </si>
  <si>
    <t>8,card,32.82,Latte,Morning,Fri,Sep,5,9,2024-09-13,08:41:02.985000</t>
  </si>
  <si>
    <t>8,card,32.82,Latte,Morning,Fri,Sep,5,9,2024-09-13,08:54:15.814000</t>
  </si>
  <si>
    <t>9,card,32.82,Latte,Morning,Fri,Sep,5,9,2024-09-13,09:51:19.387000</t>
  </si>
  <si>
    <t>15,card,27.92,Americano with Milk,Afternoon,Fri,Sep,5,9,2024-09-13,15:38:18.869000</t>
  </si>
  <si>
    <t>15,card,27.92,Americano with Milk,Afternoon,Fri,Sep,5,9,2024-09-13,15:50:53.892000</t>
  </si>
  <si>
    <t>16,card,32.82,Cappuccino,Afternoon,Sat,Sep,6,9,2024-09-14,16:29:19.359000</t>
  </si>
  <si>
    <t>16,card,32.82,Cappuccino,Afternoon,Sat,Sep,6,9,2024-09-14,16:30:16.873000</t>
  </si>
  <si>
    <t>8,card,18.12,Espresso,Morning,Sun,Sep,7,9,2024-09-15,08:42:40.941000</t>
  </si>
  <si>
    <t>9,card,27.92,Americano with Milk,Morning,Sun,Sep,7,9,2024-09-15,09:49:38.741000</t>
  </si>
  <si>
    <t>13,card,23.02,Americano,Afternoon,Sun,Sep,7,9,2024-09-15,13:49:37.387000</t>
  </si>
  <si>
    <t>14,card,23.02,Cortado,Afternoon,Sun,Sep,7,9,2024-09-15,14:36:19.287000</t>
  </si>
  <si>
    <t>14,card,23.02,Cortado,Afternoon,Sun,Sep,7,9,2024-09-15,14:37:20.597000</t>
  </si>
  <si>
    <t>14,card,32.82,Cappuccino,Afternoon,Sun,Sep,7,9,2024-09-15,14:53:18.708000</t>
  </si>
  <si>
    <t>13,card,32.82,Latte,Afternoon,Mon,Sep,1,9,2024-09-16,13:32:22.875000</t>
  </si>
  <si>
    <t>13,card,27.92,Americano with Milk,Afternoon,Mon,Sep,1,9,2024-09-16,13:33:36.767000</t>
  </si>
  <si>
    <t>15,card,32.82,Latte,Afternoon,Mon,Sep,1,9,2024-09-16,15:23:19.260000</t>
  </si>
  <si>
    <t>17,card,27.92,Americano with Milk,Night,Mon,Sep,1,9,2024-09-16,17:16:05.734000</t>
  </si>
  <si>
    <t>17,card,32.82,Latte,Night,Mon,Sep,1,9,2024-09-16,17:18:03.251000</t>
  </si>
  <si>
    <t>18,card,32.82,Latte,Night,Mon,Sep,1,9,2024-09-16,18:54:45.448000</t>
  </si>
  <si>
    <t>18,card,32.82,Latte,Night,Mon,Sep,1,9,2024-09-16,18:56:05.275000</t>
  </si>
  <si>
    <t>21,card,27.92,Americano with Milk,Night,Mon,Sep,1,9,2024-09-16,21:10:18.693000</t>
  </si>
  <si>
    <t>21,card,32.82,Latte,Night,Mon,Sep,1,9,2024-09-16,21:11:32.500000</t>
  </si>
  <si>
    <t>21,card,27.92,Americano with Milk,Night,Mon,Sep,1,9,2024-09-16,21:37:47.308000</t>
  </si>
  <si>
    <t>21,card,27.92,Americano with Milk,Night,Mon,Sep,1,9,2024-09-16,21:38:48.666000</t>
  </si>
  <si>
    <t>7,card,23.02,Cortado,Morning,Tue,Sep,2,9,2024-09-17,07:54:57.927000</t>
  </si>
  <si>
    <t>8,card,32.82,Latte,Morning,Tue,Sep,2,9,2024-09-17,08:09:00.896000</t>
  </si>
  <si>
    <t>8,card,27.92,Americano with Milk,Morning,Tue,Sep,2,9,2024-09-17,08:37:37.553000</t>
  </si>
  <si>
    <t>8,card,23.02,Cortado,Morning,Tue,Sep,2,9,2024-09-17,08:42:31.474000</t>
  </si>
  <si>
    <t>9,card,32.82,Cappuccino,Morning,Tue,Sep,2,9,2024-09-17,09:10:03.755000</t>
  </si>
  <si>
    <t>9,card,27.92,Americano with Milk,Morning,Tue,Sep,2,9,2024-09-17,09:11:08.221000</t>
  </si>
  <si>
    <t>9,card,27.92,Americano with Milk,Morning,Tue,Sep,2,9,2024-09-17,09:34:56.760000</t>
  </si>
  <si>
    <t>12,card,18.12,Espresso,Afternoon,Tue,Sep,2,9,2024-09-17,12:38:33.768000</t>
  </si>
  <si>
    <t>12,card,27.92,Americano with Milk,Afternoon,Tue,Sep,2,9,2024-09-17,12:39:33.682000</t>
  </si>
  <si>
    <t>12,card,32.82,Latte,Afternoon,Tue,Sep,2,9,2024-09-17,12:44:15.152000</t>
  </si>
  <si>
    <t>13,card,27.92,Americano with Milk,Afternoon,Tue,Sep,2,9,2024-09-17,13:54:23.032000</t>
  </si>
  <si>
    <t>13,card,23.02,Cortado,Afternoon,Tue,Sep,2,9,2024-09-17,13:55:31.241000</t>
  </si>
  <si>
    <t>16,card,32.82,Cappuccino,Afternoon,Tue,Sep,2,9,2024-09-17,16:29:37.216000</t>
  </si>
  <si>
    <t>16,card,32.82,Latte,Afternoon,Tue,Sep,2,9,2024-09-17,16:31:00.716000</t>
  </si>
  <si>
    <t>18,card,32.82,Hot Chocolate,Night,Tue,Sep,2,9,2024-09-17,18:54:23.783000</t>
  </si>
  <si>
    <t>19,card,27.92,Americano with Milk,Night,Tue,Sep,2,9,2024-09-17,19:00:45.913000</t>
  </si>
  <si>
    <t>19,card,27.92,Americano with Milk,Night,Tue,Sep,2,9,2024-09-17,19:03:53.274000</t>
  </si>
  <si>
    <t>19,card,32.82,Latte,Night,Tue,Sep,2,9,2024-09-17,19:12:47.905000</t>
  </si>
  <si>
    <t>19,card,27.92,Americano with Milk,Night,Tue,Sep,2,9,2024-09-17,19:13:59.742000</t>
  </si>
  <si>
    <t>19,card,27.92,Americano with Milk,Night,Tue,Sep,2,9,2024-09-17,19:14:59.513000</t>
  </si>
  <si>
    <t>19,card,27.92,Americano with Milk,Night,Tue,Sep,2,9,2024-09-17,19:31:57.368000</t>
  </si>
  <si>
    <t>22,card,32.82,Hot Chocolate,Night,Tue,Sep,2,9,2024-09-17,22:19:35.981000</t>
  </si>
  <si>
    <t>22,card,32.82,Hot Chocolate,Night,Tue,Sep,2,9,2024-09-17,22:20:19.450000</t>
  </si>
  <si>
    <t>14,card,32.82,Latte,Afternoon,Wed,Sep,3,9,2024-09-18,14:29:48.898000</t>
  </si>
  <si>
    <t>17,card,32.82,Latte,Night,Wed,Sep,3,9,2024-09-18,17:34:19.665000</t>
  </si>
  <si>
    <t>21,card,27.92,Americano with Milk,Night,Wed,Sep,3,9,2024-09-18,21:15:38.758000</t>
  </si>
  <si>
    <t>21,card,27.92,Americano with Milk,Night,Wed,Sep,3,9,2024-09-18,21:18:21.554000</t>
  </si>
  <si>
    <t>8,card,27.92,Americano with Milk,Morning,Thu,Sep,4,9,2024-09-19,08:17:18.665000</t>
  </si>
  <si>
    <t>8,card,23.02,Cortado,Morning,Thu,Sep,4,9,2024-09-19,08:30:29.047000</t>
  </si>
  <si>
    <t>10,card,32.82,Latte,Morning,Thu,Sep,4,9,2024-09-19,10:01:30.579000</t>
  </si>
  <si>
    <t>12,card,23.02,Americano,Afternoon,Thu,Sep,4,9,2024-09-19,12:59:33.614000</t>
  </si>
  <si>
    <t>13,card,27.92,Americano with Milk,Afternoon,Thu,Sep,4,9,2024-09-19,13:00:33.616000</t>
  </si>
  <si>
    <t>13,card,23.02,Cortado,Afternoon,Thu,Sep,4,9,2024-09-19,13:45:42.367000</t>
  </si>
  <si>
    <t>8,card,27.92,Americano with Milk,Morning,Fri,Sep,5,9,2024-09-20,08:34:56.930000</t>
  </si>
  <si>
    <t>9,card,27.92,Americano with Milk,Morning,Fri,Sep,5,9,2024-09-20,09:46:15.400000</t>
  </si>
  <si>
    <t>13,card,27.92,Americano with Milk,Afternoon,Fri,Sep,5,9,2024-09-20,13:39:55.465000</t>
  </si>
  <si>
    <t>16,card,32.82,Latte,Afternoon,Fri,Sep,5,9,2024-09-20,16:03:29.611000</t>
  </si>
  <si>
    <t>20,card,23.02,Americano,Night,Fri,Sep,5,9,2024-09-20,20:39:23.129000</t>
  </si>
  <si>
    <t>21,card,27.92,Americano with Milk,Night,Fri,Sep,5,9,2024-09-20,21:31:36.580000</t>
  </si>
  <si>
    <t>21,card,27.92,Americano with Milk,Night,Fri,Sep,5,9,2024-09-20,21:32:43.025000</t>
  </si>
  <si>
    <t>11,card,32.82,Latte,Morning,Sat,Sep,6,9,2024-09-21,11:01:14.948000</t>
  </si>
  <si>
    <t>11,card,32.82,Cocoa,Morning,Sat,Sep,6,9,2024-09-21,11:02:13.802000</t>
  </si>
  <si>
    <t>11,card,23.02,Cortado,Morning,Sat,Sep,6,9,2024-09-21,11:37:47.243000</t>
  </si>
  <si>
    <t>11,card,23.02,Cortado,Morning,Sat,Sep,6,9,2024-09-21,11:38:44.997000</t>
  </si>
  <si>
    <t>15,card,32.82,Cappuccino,Afternoon,Sat,Sep,6,9,2024-09-21,15:10:09.368000</t>
  </si>
  <si>
    <t>15,card,32.82,Latte,Afternoon,Sat,Sep,6,9,2024-09-21,15:36:13.609000</t>
  </si>
  <si>
    <t>18,card,32.82,Latte,Night,Sat,Sep,6,9,2024-09-21,18:16:28.701000</t>
  </si>
  <si>
    <t>18,card,32.82,Latte,Night,Sat,Sep,6,9,2024-09-21,18:17:30.686000</t>
  </si>
  <si>
    <t>20,card,23.02,Americano,Night,Sat,Sep,6,9,2024-09-21,20:29:42.939000</t>
  </si>
  <si>
    <t>20,card,23.02,Americano,Night,Sat,Sep,6,9,2024-09-21,20:30:38.882000</t>
  </si>
  <si>
    <t>20,card,32.82,Latte,Night,Sat,Sep,6,9,2024-09-21,20:33:58.175000</t>
  </si>
  <si>
    <t>20,card,32.82,Latte,Night,Sat,Sep,6,9,2024-09-21,20:35:30.169000</t>
  </si>
  <si>
    <t>22,card,27.92,Americano with Milk,Night,Sat,Sep,6,9,2024-09-21,22:18:46.088000</t>
  </si>
  <si>
    <t>22,card,23.02,Americano,Night,Sat,Sep,6,9,2024-09-21,22:19:50.128000</t>
  </si>
  <si>
    <t>22,card,23.02,Americano,Night,Sat,Sep,6,9,2024-09-21,22:20:48.360000</t>
  </si>
  <si>
    <t>8,card,23.02,Americano,Morning,Sun,Sep,7,9,2024-09-22,08:32:54.172000</t>
  </si>
  <si>
    <t>10,card,27.92,Americano with Milk,Morning,Sun,Sep,7,9,2024-09-22,10:12:09.764000</t>
  </si>
  <si>
    <t>10,card,32.82,Latte,Morning,Sun,Sep,7,9,2024-09-22,10:13:08.586000</t>
  </si>
  <si>
    <t>11,card,23.02,Cortado,Morning,Sun,Sep,7,9,2024-09-22,11:06:26.307000</t>
  </si>
  <si>
    <t>11,card,23.02,Cortado,Morning,Sun,Sep,7,9,2024-09-22,11:07:36.380000</t>
  </si>
  <si>
    <t>11,card,27.92,Americano with Milk,Morning,Sun,Sep,7,9,2024-09-22,11:51:59.888000</t>
  </si>
  <si>
    <t>11,card,23.02,Americano,Morning,Sun,Sep,7,9,2024-09-22,11:55:12.923000</t>
  </si>
  <si>
    <t>12,card,27.92,Americano with Milk,Afternoon,Sun,Sep,7,9,2024-09-22,12:07:20.767000</t>
  </si>
  <si>
    <t>13,card,27.92,Americano with Milk,Afternoon,Sun,Sep,7,9,2024-09-22,13:28:14.663000</t>
  </si>
  <si>
    <t>13,card,27.92,Americano with Milk,Afternoon,Sun,Sep,7,9,2024-09-22,13:29:35.917000</t>
  </si>
  <si>
    <t>13,card,27.92,Americano with Milk,Afternoon,Sun,Sep,7,9,2024-09-22,13:33:34.561000</t>
  </si>
  <si>
    <t>15,card,32.82,Latte,Afternoon,Sun,Sep,7,9,2024-09-22,15:34:10.099000</t>
  </si>
  <si>
    <t>15,card,27.92,Americano with Milk,Afternoon,Sun,Sep,7,9,2024-09-22,15:35:24.234000</t>
  </si>
  <si>
    <t>16,card,32.82,Cocoa,Afternoon,Sun,Sep,7,9,2024-09-22,16:25:03.468000</t>
  </si>
  <si>
    <t>20,card,32.82,Latte,Night,Sun,Sep,7,9,2024-09-22,20:19:10.082000</t>
  </si>
  <si>
    <t>20,card,32.82,Cappuccino,Night,Sun,Sep,7,9,2024-09-22,20:20:35.589000</t>
  </si>
  <si>
    <t>20,card,27.92,Americano with Milk,Night,Sun,Sep,7,9,2024-09-22,20:46:26.208000</t>
  </si>
  <si>
    <t>20,card,27.92,Americano with Milk,Night,Sun,Sep,7,9,2024-09-22,20:47:35.096000</t>
  </si>
  <si>
    <t>21,card,27.92,Americano with Milk,Night,Sun,Sep,7,9,2024-09-22,21:07:04.794000</t>
  </si>
  <si>
    <t>21,card,27.92,Americano with Milk,Night,Sun,Sep,7,9,2024-09-22,21:08:14.798000</t>
  </si>
  <si>
    <t>21,card,32.82,Hot Chocolate,Night,Sun,Sep,7,9,2024-09-22,21:54:04.098000</t>
  </si>
  <si>
    <t>21,card,32.82,Hot Chocolate,Night,Sun,Sep,7,9,2024-09-22,21:54:54.497000</t>
  </si>
  <si>
    <t>22,card,23.02,Americano,Night,Sun,Sep,7,9,2024-09-22,22:37:02.384000</t>
  </si>
  <si>
    <t>22,card,27.92,Americano with Milk,Night,Sun,Sep,7,9,2024-09-22,22:37:58.406000</t>
  </si>
  <si>
    <t>9,card,27.92,Americano with Milk,Morning,Mon,Sep,1,9,2024-09-23,09:03:36.954000</t>
  </si>
  <si>
    <t>10,card,23.02,Cortado,Morning,Mon,Sep,1,9,2024-09-23,10:04:17.268000</t>
  </si>
  <si>
    <t>12,card,23.02,Americano,Afternoon,Mon,Sep,1,9,2024-09-23,12:11:04.352000</t>
  </si>
  <si>
    <t>14,card,27.92,Americano with Milk,Afternoon,Mon,Sep,1,9,2024-09-23,14:08:51.946000</t>
  </si>
  <si>
    <t>17,card,32.82,Cappuccino,Night,Mon,Sep,1,9,2024-09-23,17:27:47.591000</t>
  </si>
  <si>
    <t>18,card,23.02,Americano,Night,Mon,Sep,1,9,2024-09-23,18:48:30.436000</t>
  </si>
  <si>
    <t>19,card,32.82,Latte,Night,Mon,Sep,1,9,2024-09-23,19:47:21.950000</t>
  </si>
  <si>
    <t>20,card,32.82,Cappuccino,Night,Mon,Sep,1,9,2024-09-23,20:09:45.867000</t>
  </si>
  <si>
    <t>22,card,27.92,Americano with Milk,Night,Mon,Sep,1,9,2024-09-23,22:13:30.513000</t>
  </si>
  <si>
    <t>22,card,27.92,Americano with Milk,Night,Mon,Sep,1,9,2024-09-23,22:15:14.958000</t>
  </si>
  <si>
    <t>8,card,27.92,Americano with Milk,Morning,Tue,Sep,2,9,2024-09-24,08:33:32.613000</t>
  </si>
  <si>
    <t>12,card,32.82,Latte,Afternoon,Tue,Sep,2,9,2024-09-24,12:23:56.963000</t>
  </si>
  <si>
    <t>12,card,32.82,Latte,Afternoon,Tue,Sep,2,9,2024-09-24,12:24:54.750000</t>
  </si>
  <si>
    <t>12,card,32.82,Latte,Afternoon,Tue,Sep,2,9,2024-09-24,12:46:44.403000</t>
  </si>
  <si>
    <t>12,card,32.82,Latte,Afternoon,Tue,Sep,2,9,2024-09-24,12:47:49.424000</t>
  </si>
  <si>
    <t>14,card,32.82,Latte,Afternoon,Tue,Sep,2,9,2024-09-24,14:11:39.339000</t>
  </si>
  <si>
    <t>14,card,23.02,Cortado,Afternoon,Tue,Sep,2,9,2024-09-24,14:31:28.741000</t>
  </si>
  <si>
    <t>15,card,32.82,Cappuccino,Afternoon,Tue,Sep,2,9,2024-09-24,15:37:23.698000</t>
  </si>
  <si>
    <t>16,card,32.82,Latte,Afternoon,Tue,Sep,2,9,2024-09-24,16:38:48.296000</t>
  </si>
  <si>
    <t>18,card,23.02,Americano,Night,Tue,Sep,2,9,2024-09-24,18:43:02.935000</t>
  </si>
  <si>
    <t>18,card,23.02,Americano,Night,Tue,Sep,2,9,2024-09-24,18:43:54.082000</t>
  </si>
  <si>
    <t>20,card,32.82,Hot Chocolate,Night,Tue,Sep,2,9,2024-09-24,20:15:50.396000</t>
  </si>
  <si>
    <t>21,card,32.82,Latte,Night,Tue,Sep,2,9,2024-09-24,21:05:14.190000</t>
  </si>
  <si>
    <t>21,card,27.92,Americano with Milk,Night,Tue,Sep,2,9,2024-09-24,21:06:32.402000</t>
  </si>
  <si>
    <t>21,card,27.92,Americano with Milk,Night,Tue,Sep,2,9,2024-09-24,21:07:34.965000</t>
  </si>
  <si>
    <t>7,card,32.82,Cappuccino,Morning,Wed,Sep,3,9,2024-09-25,07:51:21.100000</t>
  </si>
  <si>
    <t>11,card,23.02,Cortado,Morning,Wed,Sep,3,9,2024-09-25,11:35:32.533000</t>
  </si>
  <si>
    <t>11,card,27.92,Americano with Milk,Morning,Wed,Sep,3,9,2024-09-25,11:51:15.212000</t>
  </si>
  <si>
    <t>11,card,32.82,Latte,Morning,Wed,Sep,3,9,2024-09-25,11:52:53.371000</t>
  </si>
  <si>
    <t>13,card,27.92,Americano with Milk,Afternoon,Wed,Sep,3,9,2024-09-25,13:54:51.454000</t>
  </si>
  <si>
    <t>13,card,27.92,Americano with Milk,Afternoon,Wed,Sep,3,9,2024-09-25,13:55:59.258000</t>
  </si>
  <si>
    <t>17,card,27.92,Americano with Milk,Night,Wed,Sep,3,9,2024-09-25,17:36:37.182000</t>
  </si>
  <si>
    <t>17,card,27.92,Americano with Milk,Night,Wed,Sep,3,9,2024-09-25,17:37:31.840000</t>
  </si>
  <si>
    <t>21,card,23.02,Americano,Night,Wed,Sep,3,9,2024-09-25,21:34:41.289000</t>
  </si>
  <si>
    <t>22,card,27.92,Americano with Milk,Night,Wed,Sep,3,9,2024-09-25,22:18:51.754000</t>
  </si>
  <si>
    <t>8,card,32.82,Latte,Morning,Thu,Sep,4,9,2024-09-26,08:43:35.049000</t>
  </si>
  <si>
    <t>10,card,27.92,Americano with Milk,Morning,Thu,Sep,4,9,2024-09-26,10:37:06.485000</t>
  </si>
  <si>
    <t>10,card,18.12,Espresso,Morning,Thu,Sep,4,9,2024-09-26,10:55:52.407000</t>
  </si>
  <si>
    <t>11,card,32.82,Cappuccino,Morning,Thu,Sep,4,9,2024-09-26,11:34:48.571000</t>
  </si>
  <si>
    <t>12,card,32.82,Latte,Afternoon,Thu,Sep,4,9,2024-09-26,12:48:01.368000</t>
  </si>
  <si>
    <t>18,card,32.82,Latte,Night,Thu,Sep,4,9,2024-09-26,18:21:55.733000</t>
  </si>
  <si>
    <t>22,card,32.82,Latte,Night,Thu,Sep,4,9,2024-09-26,22:45:15.081000</t>
  </si>
  <si>
    <t>22,card,23.02,Cortado,Night,Thu,Sep,4,9,2024-09-26,22:46:17.637000</t>
  </si>
  <si>
    <t>22,card,27.92,Americano with Milk,Night,Thu,Sep,4,9,2024-09-26,22:47:24.867000</t>
  </si>
  <si>
    <t>9,card,27.92,Americano with Milk,Morning,Fri,Sep,5,9,2024-09-27,09:29:45.646000</t>
  </si>
  <si>
    <t>9,card,23.02,Cortado,Morning,Fri,Sep,5,9,2024-09-27,09:33:43.977000</t>
  </si>
  <si>
    <t>9,card,32.82,Cappuccino,Morning,Fri,Sep,5,9,2024-09-27,09:41:04.732000</t>
  </si>
  <si>
    <t>10,card,27.92,Americano with Milk,Morning,Fri,Sep,5,9,2024-09-27,10:46:56.620000</t>
  </si>
  <si>
    <t>11,card,27.92,Americano with Milk,Morning,Fri,Sep,5,9,2024-09-27,11:35:00.282000</t>
  </si>
  <si>
    <t>13,card,32.82,Cappuccino,Afternoon,Fri,Sep,5,9,2024-09-27,13:20:31.055000</t>
  </si>
  <si>
    <t>13,card,32.82,Cappuccino,Afternoon,Fri,Sep,5,9,2024-09-27,13:25:05.272000</t>
  </si>
  <si>
    <t>13,card,23.02,Americano,Afternoon,Fri,Sep,5,9,2024-09-27,13:28:33.107000</t>
  </si>
  <si>
    <t>13,card,27.92,Americano with Milk,Afternoon,Fri,Sep,5,9,2024-09-27,13:33:52.455000</t>
  </si>
  <si>
    <t>18,card,32.82,Latte,Night,Fri,Sep,5,9,2024-09-27,18:07:43.705000</t>
  </si>
  <si>
    <t>18,card,32.82,Latte,Night,Fri,Sep,5,9,2024-09-27,18:08:58.239000</t>
  </si>
  <si>
    <t>18,card,32.82,Cappuccino,Night,Fri,Sep,5,9,2024-09-27,18:37:45.891000</t>
  </si>
  <si>
    <t>18,card,32.82,Cappuccino,Night,Fri,Sep,5,9,2024-09-27,18:40:53.757000</t>
  </si>
  <si>
    <t>20,card,32.82,Cappuccino,Night,Fri,Sep,5,9,2024-09-27,20:18:13.287000</t>
  </si>
  <si>
    <t>20,card,32.82,Cappuccino,Night,Fri,Sep,5,9,2024-09-27,20:19:14.319000</t>
  </si>
  <si>
    <t>20,card,27.92,Americano with Milk,Night,Fri,Sep,5,9,2024-09-27,20:58:14.967000</t>
  </si>
  <si>
    <t>8,card,27.92,Americano with Milk,Morning,Sat,Sep,6,9,2024-09-28,08:06:45.469000</t>
  </si>
  <si>
    <t>9,card,27.92,Americano with Milk,Morning,Sat,Sep,6,9,2024-09-28,09:31:14.759000</t>
  </si>
  <si>
    <t>14,card,35.76,Latte,Afternoon,Sat,Sep,6,9,2024-09-28,14:25:47.337000</t>
  </si>
  <si>
    <t>16,card,35.76,Latte,Afternoon,Sat,Sep,6,9,2024-09-28,16:57:20.118000</t>
  </si>
  <si>
    <t>17,card,30.86,Americano with Milk,Night,Sat,Sep,6,9,2024-09-28,17:26:16.704000</t>
  </si>
  <si>
    <t>20,card,35.76,Latte,Night,Sat,Sep,6,9,2024-09-28,20:34:31.110000</t>
  </si>
  <si>
    <t>20,card,35.76,Latte,Night,Sat,Sep,6,9,2024-09-28,20:38:36.502000</t>
  </si>
  <si>
    <t>22,card,35.76,Cappuccino,Night,Sat,Sep,6,9,2024-09-28,22:16:36.777000</t>
  </si>
  <si>
    <t>22,card,35.76,Cocoa,Night,Sat,Sep,6,9,2024-09-28,22:17:29.587000</t>
  </si>
  <si>
    <t>22,card,25.96,Cortado,Night,Sat,Sep,6,9,2024-09-28,22:18:16.072000</t>
  </si>
  <si>
    <t>22,card,35.76,Hot Chocolate,Night,Sat,Sep,6,9,2024-09-28,22:19:13.029000</t>
  </si>
  <si>
    <t>10,card,25.96,Americano,Morning,Sun,Sep,7,9,2024-09-29,10:48:45.050000</t>
  </si>
  <si>
    <t>10,card,35.76,Cappuccino,Morning,Sun,Sep,7,9,2024-09-29,10:50:05.258000</t>
  </si>
  <si>
    <t>10,card,35.76,Cappuccino,Morning,Sun,Sep,7,9,2024-09-29,10:51:03.253000</t>
  </si>
  <si>
    <t>10,card,35.76,Cappuccino,Morning,Sun,Sep,7,9,2024-09-29,10:52:23.021000</t>
  </si>
  <si>
    <t>10,card,30.86,Americano with Milk,Morning,Sun,Sep,7,9,2024-09-29,10:53:42.331000</t>
  </si>
  <si>
    <t>12,card,35.76,Latte,Afternoon,Sun,Sep,7,9,2024-09-29,12:35:43.442000</t>
  </si>
  <si>
    <t>12,card,25.96,Cortado,Afternoon,Sun,Sep,7,9,2024-09-29,12:50:58.444000</t>
  </si>
  <si>
    <t>12,card,35.76,Latte,Afternoon,Sun,Sep,7,9,2024-09-29,12:54:15.385000</t>
  </si>
  <si>
    <t>12,card,35.76,Latte,Afternoon,Sun,Sep,7,9,2024-09-29,12:55:21.637000</t>
  </si>
  <si>
    <t>18,card,35.76,Cappuccino,Night,Sun,Sep,7,9,2024-09-29,18:02:27.296000</t>
  </si>
  <si>
    <t>22,card,35.76,Latte,Night,Sun,Sep,7,9,2024-09-29,22:31:02.815000</t>
  </si>
  <si>
    <t>8,card,25.96,Cortado,Morning,Mon,Sep,1,9,2024-09-30,08:08:47.516000</t>
  </si>
  <si>
    <t>8,card,25.96,Cortado,Morning,Mon,Sep,1,9,2024-09-30,08:58:54.669000</t>
  </si>
  <si>
    <t>9,card,35.76,Hot Chocolate,Morning,Mon,Sep,1,9,2024-09-30,09:00:04.917000</t>
  </si>
  <si>
    <t>10,card,30.86,Americano with Milk,Morning,Mon,Sep,1,9,2024-09-30,10:01:09.168000</t>
  </si>
  <si>
    <t>10,card,25.96,Cortado,Morning,Mon,Sep,1,9,2024-09-30,10:05:18.351000</t>
  </si>
  <si>
    <t>11,card,30.86,Americano with Milk,Morning,Mon,Sep,1,9,2024-09-30,11:32:54.558000</t>
  </si>
  <si>
    <t>16,card,30.86,Americano with Milk,Afternoon,Mon,Sep,1,9,2024-09-30,16:45:44.460000</t>
  </si>
  <si>
    <t>19,card,35.76,Latte,Night,Mon,Sep,1,9,2024-09-30,19:32:18.200000</t>
  </si>
  <si>
    <t>19,card,30.86,Americano with Milk,Night,Mon,Sep,1,9,2024-09-30,19:53:14.092000</t>
  </si>
  <si>
    <t>19,card,25.96,Cortado,Night,Mon,Sep,1,9,2024-09-30,19:54:17.620000</t>
  </si>
  <si>
    <t>19,card,35.76,Latte,Night,Mon,Sep,1,9,2024-09-30,19:59:18.993000</t>
  </si>
  <si>
    <t>20,card,30.86,Americano with Milk,Night,Mon,Sep,1,9,2024-09-30,20:00:42.135000</t>
  </si>
  <si>
    <t>20,card,30.86,Americano with Milk,Night,Mon,Sep,1,9,2024-09-30,20:01:42.191000</t>
  </si>
  <si>
    <t>21,card,30.86,Americano with Milk,Night,Mon,Sep,1,9,2024-09-30,21:41:07.527000</t>
  </si>
  <si>
    <t>7,card,35.76,Latte,Morning,Tue,Oct,2,10,2024-10-01,07:47:08.449000</t>
  </si>
  <si>
    <t>9,card,30.86,Americano with Milk,Morning,Tue,Oct,2,10,2024-10-01,09:48:30.777000</t>
  </si>
  <si>
    <t>10,card,30.86,Americano with Milk,Morning,Tue,Oct,2,10,2024-10-01,10:02:26.778000</t>
  </si>
  <si>
    <t>10,card,30.86,Americano with Milk,Morning,Tue,Oct,2,10,2024-10-01,10:03:47.115000</t>
  </si>
  <si>
    <t>11,card,30.86,Americano with Milk,Morning,Tue,Oct,2,10,2024-10-01,11:55:31.853000</t>
  </si>
  <si>
    <t>12,card,30.86,Americano with Milk,Afternoon,Tue,Oct,2,10,2024-10-01,12:12:48.446000</t>
  </si>
  <si>
    <t>12,card,30.86,Americano with Milk,Afternoon,Tue,Oct,2,10,2024-10-01,12:14:23.382000</t>
  </si>
  <si>
    <t>14,card,25.96,Americano,Afternoon,Tue,Oct,2,10,2024-10-01,14:17:34.957000</t>
  </si>
  <si>
    <t>14,card,30.86,Americano with Milk,Afternoon,Tue,Oct,2,10,2024-10-01,14:18:52.558000</t>
  </si>
  <si>
    <t>16,card,35.76,Hot Chocolate,Afternoon,Tue,Oct,2,10,2024-10-01,16:08:38.999000</t>
  </si>
  <si>
    <t>16,card,25.96,Americano,Afternoon,Tue,Oct,2,10,2024-10-01,16:41:54.481000</t>
  </si>
  <si>
    <t>18,card,35.76,Latte,Night,Tue,Oct,2,10,2024-10-01,18:08:26.545000</t>
  </si>
  <si>
    <t>18,card,35.76,Latte,Night,Tue,Oct,2,10,2024-10-01,18:23:11.460000</t>
  </si>
  <si>
    <t>18,card,35.76,Hot Chocolate,Night,Tue,Oct,2,10,2024-10-01,18:24:14.252000</t>
  </si>
  <si>
    <t>20,card,35.76,Hot Chocolate,Night,Tue,Oct,2,10,2024-10-01,20:03:22.143000</t>
  </si>
  <si>
    <t>7,card,35.76,Latte,Morning,Wed,Oct,3,10,2024-10-02,07:57:18.793000</t>
  </si>
  <si>
    <t>8,card,25.96,Cortado,Morning,Wed,Oct,3,10,2024-10-02,08:42:44.642000</t>
  </si>
  <si>
    <t>9,card,30.86,Americano with Milk,Morning,Wed,Oct,3,10,2024-10-02,09:19:17.053000</t>
  </si>
  <si>
    <t>10,card,35.76,Latte,Morning,Wed,Oct,3,10,2024-10-02,10:22:01.523000</t>
  </si>
  <si>
    <t>10,card,30.86,Americano with Milk,Morning,Wed,Oct,3,10,2024-10-02,10:23:55.272000</t>
  </si>
  <si>
    <t>11,card,35.76,Cappuccino,Morning,Wed,Oct,3,10,2024-10-02,11:28:53.893000</t>
  </si>
  <si>
    <t>15,card,35.76,Cappuccino,Afternoon,Wed,Oct,3,10,2024-10-02,15:13:42.142000</t>
  </si>
  <si>
    <t>18,card,35.76,Hot Chocolate,Night,Wed,Oct,3,10,2024-10-02,18:31:07.153000</t>
  </si>
  <si>
    <t>22,card,35.76,Hot Chocolate,Night,Wed,Oct,3,10,2024-10-02,22:18:55.379000</t>
  </si>
  <si>
    <t>22,card,35.76,Hot Chocolate,Night,Wed,Oct,3,10,2024-10-02,22:19:40.694000</t>
  </si>
  <si>
    <t>22,card,35.76,Hot Chocolate,Night,Wed,Oct,3,10,2024-10-02,22:20:23.651000</t>
  </si>
  <si>
    <t>13,card,35.76,Cocoa,Afternoon,Thu,Oct,4,10,2024-10-03,13:47:35.922000</t>
  </si>
  <si>
    <t>15,card,30.86,Americano with Milk,Afternoon,Thu,Oct,4,10,2024-10-03,15:12:05.160000</t>
  </si>
  <si>
    <t>20,card,25.96,Cortado,Night,Thu,Oct,4,10,2024-10-03,20:12:57.761000</t>
  </si>
  <si>
    <t>20,card,35.76,Hot Chocolate,Night,Thu,Oct,4,10,2024-10-03,20:14:04.781000</t>
  </si>
  <si>
    <t>21,card,35.76,Hot Chocolate,Night,Thu,Oct,4,10,2024-10-03,21:21:06.296000</t>
  </si>
  <si>
    <t>21,card,35.76,Hot Chocolate,Night,Thu,Oct,4,10,2024-10-03,21:21:46.778000</t>
  </si>
  <si>
    <t>21,card,35.76,Cappuccino,Night,Thu,Oct,4,10,2024-10-03,21:29:03.390000</t>
  </si>
  <si>
    <t>21,card,35.76,Hot Chocolate,Night,Thu,Oct,4,10,2024-10-03,21:31:00.451000</t>
  </si>
  <si>
    <t>8,card,25.96,Americano,Morning,Fri,Oct,5,10,2024-10-04,08:44:00.873000</t>
  </si>
  <si>
    <t>8,card,25.96,Americano,Morning,Fri,Oct,5,10,2024-10-04,08:45:38.952000</t>
  </si>
  <si>
    <t>9,card,30.86,Americano with Milk,Morning,Fri,Oct,5,10,2024-10-04,09:30:22.038000</t>
  </si>
  <si>
    <t>9,card,25.96,Americano,Morning,Fri,Oct,5,10,2024-10-04,09:31:27.071000</t>
  </si>
  <si>
    <t>9,card,25.96,Cortado,Morning,Fri,Oct,5,10,2024-10-04,09:53:58.577000</t>
  </si>
  <si>
    <t>9,card,25.96,Cortado,Morning,Fri,Oct,5,10,2024-10-04,09:55:04.557000</t>
  </si>
  <si>
    <t>17,card,35.76,Latte,Night,Fri,Oct,5,10,2024-10-04,17:35:14.809000</t>
  </si>
  <si>
    <t>17,card,35.76,Hot Chocolate,Night,Fri,Oct,5,10,2024-10-04,17:42:22.181000</t>
  </si>
  <si>
    <t>17,card,35.76,Cocoa,Night,Fri,Oct,5,10,2024-10-04,17:44:36.370000</t>
  </si>
  <si>
    <t>9,card,25.96,Cortado,Morning,Sat,Oct,6,10,2024-10-05,09:00:46.861000</t>
  </si>
  <si>
    <t>9,card,25.96,Cortado,Morning,Sat,Oct,6,10,2024-10-05,09:01:42.669000</t>
  </si>
  <si>
    <t>9,card,35.76,Cocoa,Morning,Sat,Oct,6,10,2024-10-05,09:35:44.903000</t>
  </si>
  <si>
    <t>13,card,35.76,Cappuccino,Afternoon,Sat,Oct,6,10,2024-10-05,13:12:13.285000</t>
  </si>
  <si>
    <t>20,card,25.96,Americano,Night,Sat,Oct,6,10,2024-10-05,20:08:38.058000</t>
  </si>
  <si>
    <t>20,card,25.96,Americano,Night,Sat,Oct,6,10,2024-10-05,20:09:33.647000</t>
  </si>
  <si>
    <t>8,card,25.96,Cortado,Morning,Sun,Oct,7,10,2024-10-06,08:22:56.721000</t>
  </si>
  <si>
    <t>10,card,35.76,Cappuccino,Morning,Sun,Oct,7,10,2024-10-06,10:05:43.642000</t>
  </si>
  <si>
    <t>10,card,25.96,Cortado,Morning,Sun,Oct,7,10,2024-10-06,10:06:47.136000</t>
  </si>
  <si>
    <t>11,card,35.76,Latte,Morning,Sun,Oct,7,10,2024-10-06,11:55:28.846000</t>
  </si>
  <si>
    <t>12,card,35.76,Latte,Afternoon,Sun,Oct,7,10,2024-10-06,12:09:03.852000</t>
  </si>
  <si>
    <t>12,card,35.76,Cappuccino,Afternoon,Sun,Oct,7,10,2024-10-06,12:10:17.343000</t>
  </si>
  <si>
    <t>12,card,30.86,Americano with Milk,Afternoon,Sun,Oct,7,10,2024-10-06,12:11:43.360000</t>
  </si>
  <si>
    <t>13,card,25.96,Americano,Afternoon,Sun,Oct,7,10,2024-10-06,13:46:03.675000</t>
  </si>
  <si>
    <t>13,card,35.76,Cappuccino,Afternoon,Sun,Oct,7,10,2024-10-06,13:47:01.953000</t>
  </si>
  <si>
    <t>13,card,30.86,Americano with Milk,Afternoon,Sun,Oct,7,10,2024-10-06,13:50:00.140000</t>
  </si>
  <si>
    <t>13,card,35.76,Latte,Afternoon,Sun,Oct,7,10,2024-10-06,13:51:04.250000</t>
  </si>
  <si>
    <t>13,card,35.76,Cappuccino,Afternoon,Sun,Oct,7,10,2024-10-06,13:51:56.283000</t>
  </si>
  <si>
    <t>16,card,35.76,Cappuccino,Afternoon,Sun,Oct,7,10,2024-10-06,16:31:33.588000</t>
  </si>
  <si>
    <t>16,card,21.06,Espresso,Afternoon,Sun,Oct,7,10,2024-10-06,16:35:45.625000</t>
  </si>
  <si>
    <t>18,card,30.86,Americano with Milk,Night,Sun,Oct,7,10,2024-10-06,18:17:44.975000</t>
  </si>
  <si>
    <t>18,card,35.76,Hot Chocolate,Night,Sun,Oct,7,10,2024-10-06,18:35:16.468000</t>
  </si>
  <si>
    <t>21,card,35.76,Hot Chocolate,Night,Sun,Oct,7,10,2024-10-06,21:09:12.889000</t>
  </si>
  <si>
    <t>21,card,35.76,Hot Chocolate,Night,Sun,Oct,7,10,2024-10-06,21:10:00.476000</t>
  </si>
  <si>
    <t>21,card,35.76,Hot Chocolate,Night,Sun,Oct,7,10,2024-10-06,21:10:45.254000</t>
  </si>
  <si>
    <t>21,card,35.76,Latte,Night,Sun,Oct,7,10,2024-10-06,21:16:48.876000</t>
  </si>
  <si>
    <t>8,card,35.76,Latte,Morning,Mon,Oct,1,10,2024-10-07,08:33:36.423000</t>
  </si>
  <si>
    <t>8,card,35.76,Latte,Morning,Mon,Oct,1,10,2024-10-07,08:49:36.477000</t>
  </si>
  <si>
    <t>8,card,30.86,Americano with Milk,Morning,Mon,Oct,1,10,2024-10-07,08:50:41.668000</t>
  </si>
  <si>
    <t>9,card,35.76,Cocoa,Morning,Mon,Oct,1,10,2024-10-07,09:05:28.091000</t>
  </si>
  <si>
    <t>9,card,35.76,Latte,Morning,Mon,Oct,1,10,2024-10-07,09:09:58.323000</t>
  </si>
  <si>
    <t>12,card,30.86,Americano with Milk,Afternoon,Mon,Oct,1,10,2024-10-07,12:17:56.717000</t>
  </si>
  <si>
    <t>14,card,25.96,Americano,Afternoon,Mon,Oct,1,10,2024-10-07,14:31:45.258000</t>
  </si>
  <si>
    <t>14,card,25.96,Americano,Afternoon,Mon,Oct,1,10,2024-10-07,14:32:38.765000</t>
  </si>
  <si>
    <t>17,card,35.76,Latte,Night,Mon,Oct,1,10,2024-10-07,17:48:55.006000</t>
  </si>
  <si>
    <t>21,card,35.76,Hot Chocolate,Night,Mon,Oct,1,10,2024-10-07,21:14:42.130000</t>
  </si>
  <si>
    <t>21,card,35.76,Hot Chocolate,Night,Mon,Oct,1,10,2024-10-07,21:15:20.122000</t>
  </si>
  <si>
    <t>21,card,35.76,Latte,Night,Mon,Oct,1,10,2024-10-07,21:40:48.515000</t>
  </si>
  <si>
    <t>8,card,35.76,Latte,Morning,Tue,Oct,2,10,2024-10-08,08:11:50.884000</t>
  </si>
  <si>
    <t>9,card,30.86,Americano with Milk,Morning,Tue,Oct,2,10,2024-10-08,09:05:14.027000</t>
  </si>
  <si>
    <t>10,card,25.96,Americano,Morning,Tue,Oct,2,10,2024-10-08,10:22:31.374000</t>
  </si>
  <si>
    <t>10,card,35.76,Latte,Morning,Tue,Oct,2,10,2024-10-08,10:27:08.817000</t>
  </si>
  <si>
    <t>11,card,35.76,Latte,Morning,Tue,Oct,2,10,2024-10-08,11:30:10.253000</t>
  </si>
  <si>
    <t>12,card,25.96,Americano,Afternoon,Tue,Oct,2,10,2024-10-08,12:48:04.520000</t>
  </si>
  <si>
    <t>12,card,25.96,Americano,Afternoon,Tue,Oct,2,10,2024-10-08,12:49:04.581000</t>
  </si>
  <si>
    <t>13,card,35.76,Latte,Afternoon,Tue,Oct,2,10,2024-10-08,13:04:00.905000</t>
  </si>
  <si>
    <t>13,card,35.76,Latte,Afternoon,Tue,Oct,2,10,2024-10-08,13:04:59.444000</t>
  </si>
  <si>
    <t>14,card,35.76,Latte,Afternoon,Tue,Oct,2,10,2024-10-08,14:42:52.425000</t>
  </si>
  <si>
    <t>15,card,35.76,Latte,Afternoon,Tue,Oct,2,10,2024-10-08,15:13:41.150000</t>
  </si>
  <si>
    <t>15,card,25.96,Americano,Afternoon,Tue,Oct,2,10,2024-10-08,15:19:52.103000</t>
  </si>
  <si>
    <t>15,card,30.86,Americano with Milk,Afternoon,Tue,Oct,2,10,2024-10-08,15:50:43.122000</t>
  </si>
  <si>
    <t>20,card,35.76,Hot Chocolate,Night,Tue,Oct,2,10,2024-10-08,20:40:40.459000</t>
  </si>
  <si>
    <t>20,card,35.76,Cappuccino,Night,Tue,Oct,2,10,2024-10-08,20:41:33.464000</t>
  </si>
  <si>
    <t>20,card,35.76,Latte,Night,Tue,Oct,2,10,2024-10-08,20:51:08.722000</t>
  </si>
  <si>
    <t>21,card,30.86,Americano with Milk,Night,Tue,Oct,2,10,2024-10-08,21:24:32.037000</t>
  </si>
  <si>
    <t>21,card,30.86,Americano with Milk,Night,Tue,Oct,2,10,2024-10-08,21:25:32</t>
  </si>
  <si>
    <t>7,card,35.76,Latte,Morning,Wed,Oct,3,10,2024-10-09,07:54:42.599000</t>
  </si>
  <si>
    <t>8,card,30.86,Americano with Milk,Morning,Wed,Oct,3,10,2024-10-09,08:25:57.509000</t>
  </si>
  <si>
    <t>9,card,30.86,Americano with Milk,Morning,Wed,Oct,3,10,2024-10-09,09:43:21.029000</t>
  </si>
  <si>
    <t>9,card,35.76,Latte,Morning,Wed,Oct,3,10,2024-10-09,09:59:39.971000</t>
  </si>
  <si>
    <t>10,card,21.06,Espresso,Morning,Wed,Oct,3,10,2024-10-09,10:37:56.926000</t>
  </si>
  <si>
    <t>11,card,25.96,Americano,Morning,Wed,Oct,3,10,2024-10-09,11:18:02.138000</t>
  </si>
  <si>
    <t>13,card,35.76,Latte,Afternoon,Wed,Oct,3,10,2024-10-09,13:03:08.514000</t>
  </si>
  <si>
    <t>13,card,30.86,Americano with Milk,Afternoon,Wed,Oct,3,10,2024-10-09,13:52:34.736000</t>
  </si>
  <si>
    <t>17,card,35.76,Cappuccino,Night,Wed,Oct,3,10,2024-10-09,17:26:44.371000</t>
  </si>
  <si>
    <t>17,card,25.96,Americano,Night,Wed,Oct,3,10,2024-10-09,17:27:48.880000</t>
  </si>
  <si>
    <t>17,card,21.06,Espresso,Night,Wed,Oct,3,10,2024-10-09,17:49:59.552000</t>
  </si>
  <si>
    <t>20,card,35.76,Cappuccino,Night,Wed,Oct,3,10,2024-10-09,20:49:12.500000</t>
  </si>
  <si>
    <t>8,card,25.96,Americano,Morning,Thu,Oct,4,10,2024-10-10,08:48:06.900000</t>
  </si>
  <si>
    <t>9,card,30.86,Americano with Milk,Morning,Thu,Oct,4,10,2024-10-10,09:23:20.118000</t>
  </si>
  <si>
    <t>9,card,35.76,Hot Chocolate,Morning,Thu,Oct,4,10,2024-10-10,09:51:44.211000</t>
  </si>
  <si>
    <t>10,card,35.76,Latte,Morning,Thu,Oct,4,10,2024-10-10,10:05:09.494000</t>
  </si>
  <si>
    <t>10,card,25.96,Cortado,Morning,Thu,Oct,4,10,2024-10-10,10:42:43.045000</t>
  </si>
  <si>
    <t>10,card,25.96,Cortado,Morning,Thu,Oct,4,10,2024-10-10,10:43:30.026000</t>
  </si>
  <si>
    <t>10,card,35.76,Latte,Morning,Thu,Oct,4,10,2024-10-10,10:55:32.616000</t>
  </si>
  <si>
    <t>11,card,35.76,Latte,Morning,Thu,Oct,4,10,2024-10-10,11:04:19.349000</t>
  </si>
  <si>
    <t>15,card,35.76,Cappuccino,Afternoon,Thu,Oct,4,10,2024-10-10,15:05:42.898000</t>
  </si>
  <si>
    <t>17,card,35.76,Latte,Night,Thu,Oct,4,10,2024-10-10,17:40:44.384000</t>
  </si>
  <si>
    <t>18,card,25.96,Americano,Night,Thu,Oct,4,10,2024-10-10,18:18:32.711000</t>
  </si>
  <si>
    <t>18,card,30.86,Americano with Milk,Night,Thu,Oct,4,10,2024-10-10,18:56:30.698000</t>
  </si>
  <si>
    <t>18,card,35.76,Latte,Night,Thu,Oct,4,10,2024-10-10,18:57:35.249000</t>
  </si>
  <si>
    <t>22,card,35.76,Hot Chocolate,Night,Thu,Oct,4,10,2024-10-10,22:33:16.976000</t>
  </si>
  <si>
    <t>22,card,35.76,Hot Chocolate,Night,Thu,Oct,4,10,2024-10-10,22:33:59.729000</t>
  </si>
  <si>
    <t>7,card,30.86,Americano with Milk,Morning,Fri,Oct,5,10,2024-10-11,07:54:51.580000</t>
  </si>
  <si>
    <t>8,card,35.76,Latte,Morning,Fri,Oct,5,10,2024-10-11,08:00:50.938000</t>
  </si>
  <si>
    <t>8,card,25.96,Cortado,Morning,Fri,Oct,5,10,2024-10-11,08:12:20.254000</t>
  </si>
  <si>
    <t>8,card,35.76,Latte,Morning,Fri,Oct,5,10,2024-10-11,08:28:18.876000</t>
  </si>
  <si>
    <t>8,card,35.76,Cocoa,Morning,Fri,Oct,5,10,2024-10-11,08:29:22.390000</t>
  </si>
  <si>
    <t>8,card,35.76,Cocoa,Morning,Fri,Oct,5,10,2024-10-11,08:55:43.787000</t>
  </si>
  <si>
    <t>8,card,30.86,Americano with Milk,Morning,Fri,Oct,5,10,2024-10-11,08:56:58.778000</t>
  </si>
  <si>
    <t>8,card,35.76,Hot Chocolate,Morning,Fri,Oct,5,10,2024-10-11,08:58:09.102000</t>
  </si>
  <si>
    <t>9,card,30.86,Americano with Milk,Morning,Fri,Oct,5,10,2024-10-11,09:31:42.338000</t>
  </si>
  <si>
    <t>9,card,25.96,Cortado,Morning,Fri,Oct,5,10,2024-10-11,09:38:46.927000</t>
  </si>
  <si>
    <t>10,card,25.96,Americano,Morning,Fri,Oct,5,10,2024-10-11,10:00:40.375000</t>
  </si>
  <si>
    <t>10,card,25.96,Americano,Morning,Fri,Oct,5,10,2024-10-11,10:01:54.873000</t>
  </si>
  <si>
    <t>10,card,30.86,Americano with Milk,Morning,Fri,Oct,5,10,2024-10-11,10:30:35.971000</t>
  </si>
  <si>
    <t>13,card,35.76,Latte,Afternoon,Fri,Oct,5,10,2024-10-11,13:05:01.403000</t>
  </si>
  <si>
    <t>13,card,25.96,Americano,Afternoon,Fri,Oct,5,10,2024-10-11,13:29:02.457000</t>
  </si>
  <si>
    <t>13,card,25.96,Americano,Afternoon,Fri,Oct,5,10,2024-10-11,13:30:09.021000</t>
  </si>
  <si>
    <t>14,card,35.76,Cocoa,Afternoon,Fri,Oct,5,10,2024-10-11,14:33:40.535000</t>
  </si>
  <si>
    <t>14,card,25.96,Americano,Afternoon,Fri,Oct,5,10,2024-10-11,14:35:29.312000</t>
  </si>
  <si>
    <t>14,card,35.76,Cappuccino,Afternoon,Fri,Oct,5,10,2024-10-11,14:50:08.761000</t>
  </si>
  <si>
    <t>17,card,35.76,Latte,Night,Fri,Oct,5,10,2024-10-11,17:12:07.333000</t>
  </si>
  <si>
    <t>17,card,35.76,Hot Chocolate,Night,Fri,Oct,5,10,2024-10-11,17:13:21.597000</t>
  </si>
  <si>
    <t>17,card,35.76,Hot Chocolate,Night,Fri,Oct,5,10,2024-10-11,17:26:11.166000</t>
  </si>
  <si>
    <t>21,card,35.76,Latte,Night,Fri,Oct,5,10,2024-10-11,21:48:37.720000</t>
  </si>
  <si>
    <t>21,card,30.86,Americano with Milk,Night,Fri,Oct,5,10,2024-10-11,21:53:53.607000</t>
  </si>
  <si>
    <t>22,card,35.76,Hot Chocolate,Night,Fri,Oct,5,10,2024-10-11,22:36:27.633000</t>
  </si>
  <si>
    <t>22,card,35.76,Hot Chocolate,Night,Fri,Oct,5,10,2024-10-11,22:37:26.701000</t>
  </si>
  <si>
    <t>8,card,25.96,Cortado,Morning,Sat,Oct,6,10,2024-10-12,08:28:15.518000</t>
  </si>
  <si>
    <t>10,card,25.96,Cortado,Morning,Sat,Oct,6,10,2024-10-12,10:31:38.899000</t>
  </si>
  <si>
    <t>10,card,25.96,Cortado,Morning,Sat,Oct,6,10,2024-10-12,10:32:55.522000</t>
  </si>
  <si>
    <t>11,card,35.76,Latte,Morning,Sat,Oct,6,10,2024-10-12,11:52:15.499000</t>
  </si>
  <si>
    <t>11,card,30.86,Americano with Milk,Morning,Sat,Oct,6,10,2024-10-12,11:53:41.093000</t>
  </si>
  <si>
    <t>13,card,35.76,Cappuccino,Afternoon,Sat,Oct,6,10,2024-10-12,13:18:47.055000</t>
  </si>
  <si>
    <t>20,card,35.76,Latte,Night,Sat,Oct,6,10,2024-10-12,20:10:53.912000</t>
  </si>
  <si>
    <t>9,card,25.96,Cortado,Morning,Sun,Oct,7,10,2024-10-13,09:54:55.187000</t>
  </si>
  <si>
    <t>12,card,30.86,Americano with Milk,Afternoon,Sun,Oct,7,10,2024-10-13,12:20:46.595000</t>
  </si>
  <si>
    <t>13,card,25.96,Cortado,Afternoon,Sun,Oct,7,10,2024-10-13,13:32:29.520000</t>
  </si>
  <si>
    <t>13,card,21.06,Espresso,Afternoon,Sun,Oct,7,10,2024-10-13,13:33:29.385000</t>
  </si>
  <si>
    <t>13,card,25.96,Cortado,Afternoon,Sun,Oct,7,10,2024-10-13,13:34:25.907000</t>
  </si>
  <si>
    <t>17,card,35.76,Latte,Night,Sun,Oct,7,10,2024-10-13,17:53:20.717000</t>
  </si>
  <si>
    <t>17,card,35.76,Latte,Night,Sun,Oct,7,10,2024-10-13,17:54:22.430000</t>
  </si>
  <si>
    <t>18,card,35.76,Cappuccino,Night,Sun,Oct,7,10,2024-10-13,18:22:58.819000</t>
  </si>
  <si>
    <t>20,card,35.76,Cappuccino,Night,Sun,Oct,7,10,2024-10-13,20:43:04.928000</t>
  </si>
  <si>
    <t>8,card,30.86,Americano with Milk,Morning,Mon,Oct,1,10,2024-10-14,08:26:54.639000</t>
  </si>
  <si>
    <t>9,card,35.76,Cocoa,Morning,Mon,Oct,1,10,2024-10-14,09:49:54.551000</t>
  </si>
  <si>
    <t>10,card,25.96,Cortado,Morning,Mon,Oct,1,10,2024-10-14,10:27:51.106000</t>
  </si>
  <si>
    <t>10,card,35.76,Latte,Morning,Mon,Oct,1,10,2024-10-14,10:38:06.758000</t>
  </si>
  <si>
    <t>10,card,35.76,Latte,Morning,Mon,Oct,1,10,2024-10-14,10:39:13.716000</t>
  </si>
  <si>
    <t>11,card,35.76,Cappuccino,Morning,Mon,Oct,1,10,2024-10-14,11:23:50.576000</t>
  </si>
  <si>
    <t>11,card,25.96,Americano,Morning,Mon,Oct,1,10,2024-10-14,11:25:37.299000</t>
  </si>
  <si>
    <t>11,card,25.96,Americano,Morning,Mon,Oct,1,10,2024-10-14,11:26:45.245000</t>
  </si>
  <si>
    <t>14,card,35.76,Latte,Afternoon,Mon,Oct,1,10,2024-10-14,14:36:07.136000</t>
  </si>
  <si>
    <t>14,card,35.76,Latte,Afternoon,Mon,Oct,1,10,2024-10-14,14:49:51.462000</t>
  </si>
  <si>
    <t>16,card,25.96,Americano,Afternoon,Mon,Oct,1,10,2024-10-14,16:37:47.466000</t>
  </si>
  <si>
    <t>18,card,35.76,Latte,Night,Mon,Oct,1,10,2024-10-14,18:19:19.191000</t>
  </si>
  <si>
    <t>18,card,35.76,Cappuccino,Night,Mon,Oct,1,10,2024-10-14,18:20:20.584000</t>
  </si>
  <si>
    <t>22,card,35.76,Latte,Night,Mon,Oct,1,10,2024-10-14,22:08:53.730000</t>
  </si>
  <si>
    <t>22,card,35.76,Latte,Night,Mon,Oct,1,10,2024-10-14,22:10:23.672000</t>
  </si>
  <si>
    <t>22,card,35.76,Latte,Night,Mon,Oct,1,10,2024-10-14,22:21:53.865000</t>
  </si>
  <si>
    <t>8,card,25.96,Cortado,Morning,Tue,Oct,2,10,2024-10-15,08:14:28.667000</t>
  </si>
  <si>
    <t>8,card,21.06,Espresso,Morning,Tue,Oct,2,10,2024-10-15,08:34:17.867000</t>
  </si>
  <si>
    <t>11,card,35.76,Hot Chocolate,Morning,Tue,Oct,2,10,2024-10-15,11:13:21.963000</t>
  </si>
  <si>
    <t>11,card,35.76,Latte,Morning,Tue,Oct,2,10,2024-10-15,11:15:20.622000</t>
  </si>
  <si>
    <t>11,card,35.76,Hot Chocolate,Morning,Tue,Oct,2,10,2024-10-15,11:16:27.469000</t>
  </si>
  <si>
    <t>13,card,35.76,Latte,Afternoon,Tue,Oct,2,10,2024-10-15,13:00:43.233000</t>
  </si>
  <si>
    <t>13,card,30.86,Americano with Milk,Afternoon,Tue,Oct,2,10,2024-10-15,13:15:44.836000</t>
  </si>
  <si>
    <t>15,card,35.76,Latte,Afternoon,Tue,Oct,2,10,2024-10-15,15:32:11.278000</t>
  </si>
  <si>
    <t>15,card,25.96,Americano,Afternoon,Tue,Oct,2,10,2024-10-15,15:54:16.513000</t>
  </si>
  <si>
    <t>15,card,21.06,Espresso,Afternoon,Tue,Oct,2,10,2024-10-15,15:55:19.039000</t>
  </si>
  <si>
    <t>17,card,35.76,Hot Chocolate,Night,Tue,Oct,2,10,2024-10-15,17:04:11.335000</t>
  </si>
  <si>
    <t>19,card,25.96,Americano,Night,Tue,Oct,2,10,2024-10-15,19:22:21.379000</t>
  </si>
  <si>
    <t>19,card,35.76,Cocoa,Night,Tue,Oct,2,10,2024-10-15,19:23:17.353000</t>
  </si>
  <si>
    <t>20,card,35.76,Latte,Night,Tue,Oct,2,10,2024-10-15,20:11:14.884000</t>
  </si>
  <si>
    <t>20,card,35.76,Latte,Night,Tue,Oct,2,10,2024-10-15,20:12:28.631000</t>
  </si>
  <si>
    <t>21,card,35.76,Hot Chocolate,Night,Tue,Oct,2,10,2024-10-15,21:18:08.409000</t>
  </si>
  <si>
    <t>21,card,35.76,Hot Chocolate,Night,Tue,Oct,2,10,2024-10-15,21:35:19.943000</t>
  </si>
  <si>
    <t>22,card,35.76,Latte,Night,Tue,Oct,2,10,2024-10-15,22:15:19.653000</t>
  </si>
  <si>
    <t>8,card,30.86,Americano with Milk,Morning,Wed,Oct,3,10,2024-10-16,08:21:26.013000</t>
  </si>
  <si>
    <t>8,card,35.76,Hot Chocolate,Morning,Wed,Oct,3,10,2024-10-16,08:36:23.588000</t>
  </si>
  <si>
    <t>9,card,35.76,Latte,Morning,Wed,Oct,3,10,2024-10-16,09:25:51.175000</t>
  </si>
  <si>
    <t>10,card,30.86,Americano with Milk,Morning,Wed,Oct,3,10,2024-10-16,10:15:47.944000</t>
  </si>
  <si>
    <t>10,card,30.86,Americano with Milk,Morning,Wed,Oct,3,10,2024-10-16,10:16:53.739000</t>
  </si>
  <si>
    <t>10,card,30.86,Americano with Milk,Morning,Wed,Oct,3,10,2024-10-16,10:45:24.963000</t>
  </si>
  <si>
    <t>11,card,25.96,Americano,Morning,Wed,Oct,3,10,2024-10-16,11:49:44.633000</t>
  </si>
  <si>
    <t>12,card,30.86,Americano with Milk,Afternoon,Wed,Oct,3,10,2024-10-16,12:29:44.254000</t>
  </si>
  <si>
    <t>13,card,25.96,Americano,Afternoon,Wed,Oct,3,10,2024-10-16,13:20:10.470000</t>
  </si>
  <si>
    <t>16,card,35.76,Latte,Afternoon,Wed,Oct,3,10,2024-10-16,16:45:29.537000</t>
  </si>
  <si>
    <t>17,card,30.86,Americano with Milk,Night,Wed,Oct,3,10,2024-10-16,17:43:20.657000</t>
  </si>
  <si>
    <t>19,card,30.86,Americano with Milk,Night,Wed,Oct,3,10,2024-10-16,19:37:42.411000</t>
  </si>
  <si>
    <t>19,card,30.86,Americano with Milk,Night,Wed,Oct,3,10,2024-10-16,19:38:36.648000</t>
  </si>
  <si>
    <t>21,card,35.76,Hot Chocolate,Night,Wed,Oct,3,10,2024-10-16,21:20:28.533000</t>
  </si>
  <si>
    <t>7,card,35.76,Latte,Morning,Thu,Oct,4,10,2024-10-17,07:47:00.921000</t>
  </si>
  <si>
    <t>7,card,35.76,Latte,Morning,Thu,Oct,4,10,2024-10-17,07:58:06.763000</t>
  </si>
  <si>
    <t>9,card,30.86,Americano with Milk,Morning,Thu,Oct,4,10,2024-10-17,09:24:27.162000</t>
  </si>
  <si>
    <t>10,card,35.76,Latte,Morning,Thu,Oct,4,10,2024-10-17,10:26:37.790000</t>
  </si>
  <si>
    <t>10,card,35.76,Hot Chocolate,Morning,Thu,Oct,4,10,2024-10-17,10:44:54.232000</t>
  </si>
  <si>
    <t>11,card,30.86,Americano with Milk,Morning,Thu,Oct,4,10,2024-10-17,11:59:26.853000</t>
  </si>
  <si>
    <t>13,card,35.76,Latte,Afternoon,Thu,Oct,4,10,2024-10-17,13:57:24.895000</t>
  </si>
  <si>
    <t>14,card,25.96,Americano,Afternoon,Thu,Oct,4,10,2024-10-17,14:34:42.598000</t>
  </si>
  <si>
    <t>16,card,35.76,Hot Chocolate,Afternoon,Thu,Oct,4,10,2024-10-17,16:37:12.586000</t>
  </si>
  <si>
    <t>16,card,35.76,Hot Chocolate,Afternoon,Thu,Oct,4,10,2024-10-17,16:38:17.969000</t>
  </si>
  <si>
    <t>16,card,35.76,Latte,Afternoon,Thu,Oct,4,10,2024-10-17,16:39:09.606000</t>
  </si>
  <si>
    <t>16,card,35.76,Hot Chocolate,Afternoon,Thu,Oct,4,10,2024-10-17,16:48:35.857000</t>
  </si>
  <si>
    <t>16,card,35.76,Hot Chocolate,Afternoon,Thu,Oct,4,10,2024-10-17,16:49:33.156000</t>
  </si>
  <si>
    <t>17,card,35.76,Cappuccino,Night,Thu,Oct,4,10,2024-10-17,17:08:27.751000</t>
  </si>
  <si>
    <t>17,card,35.76,Hot Chocolate,Night,Thu,Oct,4,10,2024-10-17,17:09:30.303000</t>
  </si>
  <si>
    <t>19,card,35.76,Latte,Night,Thu,Oct,4,10,2024-10-17,19:43:12.167000</t>
  </si>
  <si>
    <t>20,card,30.86,Americano with Milk,Night,Thu,Oct,4,10,2024-10-17,20:11:36.404000</t>
  </si>
  <si>
    <t>21,card,35.76,Latte,Night,Thu,Oct,4,10,2024-10-17,21:46:12.945000</t>
  </si>
  <si>
    <t>21,card,35.76,Latte,Night,Thu,Oct,4,10,2024-10-17,21:47:20.461000</t>
  </si>
  <si>
    <t>21,card,35.76,Latte,Night,Thu,Oct,4,10,2024-10-17,21:48:31.699000</t>
  </si>
  <si>
    <t>21,card,35.76,Hot Chocolate,Night,Thu,Oct,4,10,2024-10-17,21:49:54.619000</t>
  </si>
  <si>
    <t>8,card,35.76,Cocoa,Morning,Fri,Oct,5,10,2024-10-18,08:41:59.489000</t>
  </si>
  <si>
    <t>8,card,35.76,Cocoa,Morning,Fri,Oct,5,10,2024-10-18,08:42:59.176000</t>
  </si>
  <si>
    <t>9,card,35.76,Cocoa,Morning,Fri,Oct,5,10,2024-10-18,09:32:41.501000</t>
  </si>
  <si>
    <t>9,card,35.76,Cocoa,Morning,Fri,Oct,5,10,2024-10-18,09:34:08.021000</t>
  </si>
  <si>
    <t>9,card,35.76,Cappuccino,Morning,Fri,Oct,5,10,2024-10-18,09:55:20.229000</t>
  </si>
  <si>
    <t>11,card,35.76,Cappuccino,Morning,Fri,Oct,5,10,2024-10-18,11:54:58.816000</t>
  </si>
  <si>
    <t>14,card,35.76,Latte,Afternoon,Fri,Oct,5,10,2024-10-18,14:51:04.117000</t>
  </si>
  <si>
    <t>14,card,35.76,Cappuccino,Afternoon,Fri,Oct,5,10,2024-10-18,14:52:15.325000</t>
  </si>
  <si>
    <t>15,card,25.96,Americano,Afternoon,Fri,Oct,5,10,2024-10-18,15:39:19.970000</t>
  </si>
  <si>
    <t>16,card,35.76,Latte,Afternoon,Fri,Oct,5,10,2024-10-18,16:09:57.876000</t>
  </si>
  <si>
    <t>17,card,35.76,Hot Chocolate,Night,Fri,Oct,5,10,2024-10-18,17:45:38.978000</t>
  </si>
  <si>
    <t>21,card,35.76,Cocoa,Night,Fri,Oct,5,10,2024-10-18,21:14:40.243000</t>
  </si>
  <si>
    <t>21,card,35.76,Cocoa,Night,Fri,Oct,5,10,2024-10-18,21:15:22.513000</t>
  </si>
  <si>
    <t>21,card,30.86,Americano with Milk,Night,Fri,Oct,5,10,2024-10-18,21:52:23.408000</t>
  </si>
  <si>
    <t>22,card,35.76,Latte,Night,Fri,Oct,5,10,2024-10-18,22:03:26.964000</t>
  </si>
  <si>
    <t>8,card,30.86,Americano with Milk,Morning,Sat,Oct,6,10,2024-10-19,08:34:13.654000</t>
  </si>
  <si>
    <t>13,card,35.76,Latte,Afternoon,Sat,Oct,6,10,2024-10-19,13:22:06.088000</t>
  </si>
  <si>
    <t>14,card,35.76,Cappuccino,Afternoon,Sat,Oct,6,10,2024-10-19,14:10:32.609000</t>
  </si>
  <si>
    <t>15,card,35.76,Hot Chocolate,Afternoon,Sat,Oct,6,10,2024-10-19,15:56:55.218000</t>
  </si>
  <si>
    <t>15,card,35.76,Latte,Afternoon,Sat,Oct,6,10,2024-10-19,15:59:24.076000</t>
  </si>
  <si>
    <t>16,card,35.76,Latte,Afternoon,Sat,Oct,6,10,2024-10-19,16:02:45.831000</t>
  </si>
  <si>
    <t>16,card,35.76,Latte,Afternoon,Sat,Oct,6,10,2024-10-19,16:17:42.515000</t>
  </si>
  <si>
    <t>21,card,35.76,Cocoa,Night,Sat,Oct,6,10,2024-10-19,21:46:45.517000</t>
  </si>
  <si>
    <t>22,card,35.76,Cappuccino,Night,Sat,Oct,6,10,2024-10-19,22:46:37.697000</t>
  </si>
  <si>
    <t>8,card,35.76,Latte,Morning,Sun,Oct,7,10,2024-10-20,08:40:43.966000</t>
  </si>
  <si>
    <t>8,card,35.76,Cocoa,Morning,Sun,Oct,7,10,2024-10-20,08:41:50.471000</t>
  </si>
  <si>
    <t>11,card,35.76,Latte,Morning,Sun,Oct,7,10,2024-10-20,11:16:51.841000</t>
  </si>
  <si>
    <t>14,card,35.76,Hot Chocolate,Afternoon,Sun,Oct,7,10,2024-10-20,14:28:46.044000</t>
  </si>
  <si>
    <t>14,card,25.96,Cortado,Afternoon,Sun,Oct,7,10,2024-10-20,14:29:43.545000</t>
  </si>
  <si>
    <t>15,card,30.86,Americano with Milk,Afternoon,Sun,Oct,7,10,2024-10-20,15:52:45.055000</t>
  </si>
  <si>
    <t>16,card,35.76,Latte,Afternoon,Sun,Oct,7,10,2024-10-20,16:45:09.783000</t>
  </si>
  <si>
    <t>16,card,35.76,Latte,Afternoon,Sun,Oct,7,10,2024-10-20,16:46:04.815000</t>
  </si>
  <si>
    <t>17,card,35.76,Latte,Night,Sun,Oct,7,10,2024-10-20,17:27:05.827000</t>
  </si>
  <si>
    <t>18,card,35.76,Cocoa,Night,Sun,Oct,7,10,2024-10-20,18:34:16.387000</t>
  </si>
  <si>
    <t>18,card,35.76,Cocoa,Night,Sun,Oct,7,10,2024-10-20,18:35:08.162000</t>
  </si>
  <si>
    <t>21,card,35.76,Hot Chocolate,Night,Sun,Oct,7,10,2024-10-20,21:14:18.045000</t>
  </si>
  <si>
    <t>21,card,25.96,Cortado,Night,Sun,Oct,7,10,2024-10-20,21:15:17.780000</t>
  </si>
  <si>
    <t>21,card,35.76,Cocoa,Night,Sun,Oct,7,10,2024-10-20,21:17:26.865000</t>
  </si>
  <si>
    <t>21,card,35.76,Latte,Night,Sun,Oct,7,10,2024-10-20,21:25:00.085000</t>
  </si>
  <si>
    <t>22,card,35.76,Cappuccino,Night,Sun,Oct,7,10,2024-10-20,22:17:29.041000</t>
  </si>
  <si>
    <t>7,card,35.76,Latte,Morning,Mon,Oct,1,10,2024-10-21,07:48:43.087000</t>
  </si>
  <si>
    <t>8,card,35.76,Latte,Morning,Mon,Oct,1,10,2024-10-21,08:19:56.383000</t>
  </si>
  <si>
    <t>9,card,30.86,Americano with Milk,Morning,Mon,Oct,1,10,2024-10-21,09:04:54.434000</t>
  </si>
  <si>
    <t>9,card,35.76,Latte,Morning,Mon,Oct,1,10,2024-10-21,09:34:25.547000</t>
  </si>
  <si>
    <t>10,card,25.96,Americano,Morning,Mon,Oct,1,10,2024-10-21,10:25:09.344000</t>
  </si>
  <si>
    <t>10,card,25.96,Cortado,Morning,Mon,Oct,1,10,2024-10-21,10:41:44.725000</t>
  </si>
  <si>
    <t>10,card,25.96,Cortado,Morning,Mon,Oct,1,10,2024-10-21,10:42:35.555000</t>
  </si>
  <si>
    <t>11,card,21.06,Espresso,Morning,Mon,Oct,1,10,2024-10-21,11:27:41.654000</t>
  </si>
  <si>
    <t>12,card,35.76,Cappuccino,Afternoon,Mon,Oct,1,10,2024-10-21,12:40:24.294000</t>
  </si>
  <si>
    <t>14,card,35.76,Latte,Afternoon,Mon,Oct,1,10,2024-10-21,14:42:56.049000</t>
  </si>
  <si>
    <t>14,card,35.76,Latte,Afternoon,Mon,Oct,1,10,2024-10-21,14:43:58.047000</t>
  </si>
  <si>
    <t>15,card,30.86,Americano with Milk,Afternoon,Mon,Oct,1,10,2024-10-21,15:27:02.441000</t>
  </si>
  <si>
    <t>15,card,25.96,Cortado,Afternoon,Mon,Oct,1,10,2024-10-21,15:39:04.686000</t>
  </si>
  <si>
    <t>16,card,35.76,Cocoa,Afternoon,Mon,Oct,1,10,2024-10-21,16:42:57.468000</t>
  </si>
  <si>
    <t>16,card,35.76,Latte,Afternoon,Mon,Oct,1,10,2024-10-21,16:55:22.549000</t>
  </si>
  <si>
    <t>19,card,35.76,Hot Chocolate,Night,Mon,Oct,1,10,2024-10-21,19:21:13.352000</t>
  </si>
  <si>
    <t>21,card,35.76,Latte,Night,Mon,Oct,1,10,2024-10-21,21:05:36.106000</t>
  </si>
  <si>
    <t>22,card,35.76,Cocoa,Night,Mon,Oct,1,10,2024-10-21,22:30:44.450000</t>
  </si>
  <si>
    <t>22,card,35.76,Hot Chocolate,Night,Mon,Oct,1,10,2024-10-21,22:31:33.966000</t>
  </si>
  <si>
    <t>7,card,35.76,Latte,Morning,Tue,Oct,2,10,2024-10-22,07:32:59.530000</t>
  </si>
  <si>
    <t>7,card,35.76,Cappuccino,Morning,Tue,Oct,2,10,2024-10-22,07:34:00.044000</t>
  </si>
  <si>
    <t>8,card,30.86,Americano with Milk,Morning,Tue,Oct,2,10,2024-10-22,08:25:32.220000</t>
  </si>
  <si>
    <t>9,card,25.96,Cortado,Morning,Tue,Oct,2,10,2024-10-22,09:17:50.407000</t>
  </si>
  <si>
    <t>10,card,21.06,Espresso,Morning,Tue,Oct,2,10,2024-10-22,10:51:32.286000</t>
  </si>
  <si>
    <t>10,card,25.96,Cortado,Morning,Tue,Oct,2,10,2024-10-22,10:52:17.101000</t>
  </si>
  <si>
    <t>18,card,25.96,Americano,Night,Tue,Oct,2,10,2024-10-22,18:07:02.574000</t>
  </si>
  <si>
    <t>19,card,35.76,Hot Chocolate,Night,Tue,Oct,2,10,2024-10-22,19:46:39.213000</t>
  </si>
  <si>
    <t>19,card,35.76,Latte,Night,Tue,Oct,2,10,2024-10-22,19:47:50.466000</t>
  </si>
  <si>
    <t>7,card,35.76,Latte,Morning,Wed,Oct,3,10,2024-10-23,07:58:06.767000</t>
  </si>
  <si>
    <t>8,card,30.86,Americano with Milk,Morning,Wed,Oct,3,10,2024-10-23,08:45:14.798000</t>
  </si>
  <si>
    <t>10,card,25.96,Cortado,Morning,Wed,Oct,3,10,2024-10-23,10:24:57.789000</t>
  </si>
  <si>
    <t>12,card,30.86,Americano with Milk,Afternoon,Wed,Oct,3,10,2024-10-23,12:31:05.425000</t>
  </si>
  <si>
    <t>16,card,30.86,Americano with Milk,Afternoon,Wed,Oct,3,10,2024-10-23,16:20:02.262000</t>
  </si>
  <si>
    <t>16,card,30.86,Americano with Milk,Afternoon,Wed,Oct,3,10,2024-10-23,16:21:09.035000</t>
  </si>
  <si>
    <t>16,card,35.76,Cappuccino,Afternoon,Wed,Oct,3,10,2024-10-23,16:42:30.220000</t>
  </si>
  <si>
    <t>17,card,21.06,Espresso,Night,Wed,Oct,3,10,2024-10-23,17:02:46.329000</t>
  </si>
  <si>
    <t>18,card,35.76,Cocoa,Night,Wed,Oct,3,10,2024-10-23,18:58:58.511000</t>
  </si>
  <si>
    <t>19,card,35.76,Cappuccino,Night,Wed,Oct,3,10,2024-10-23,19:00:43.029000</t>
  </si>
  <si>
    <t>21,card,30.86,Americano with Milk,Night,Wed,Oct,3,10,2024-10-23,21:57:20.745000</t>
  </si>
  <si>
    <t>21,card,35.76,Hot Chocolate,Night,Wed,Oct,3,10,2024-10-23,21:58:23.747000</t>
  </si>
  <si>
    <t>22,card,35.76,Latte,Night,Wed,Oct,3,10,2024-10-23,22:23:38.310000</t>
  </si>
  <si>
    <t>12,card,25.96,Americano,Afternoon,Thu,Oct,4,10,2024-10-24,12:07:46.562000</t>
  </si>
  <si>
    <t>13,card,35.76,Cappuccino,Afternoon,Thu,Oct,4,10,2024-10-24,13:23:59.581000</t>
  </si>
  <si>
    <t>14,card,35.76,Cappuccino,Afternoon,Thu,Oct,4,10,2024-10-24,14:09:46.711000</t>
  </si>
  <si>
    <t>14,card,35.76,Hot Chocolate,Afternoon,Thu,Oct,4,10,2024-10-24,14:49:01.859000</t>
  </si>
  <si>
    <t>14,card,35.76,Latte,Afternoon,Thu,Oct,4,10,2024-10-24,14:49:49.340000</t>
  </si>
  <si>
    <t>15,card,35.76,Latte,Afternoon,Thu,Oct,4,10,2024-10-24,15:47:32.792000</t>
  </si>
  <si>
    <t>15,card,35.76,Latte,Afternoon,Thu,Oct,4,10,2024-10-24,15:48:29.937000</t>
  </si>
  <si>
    <t>18,card,25.96,Americano,Night,Thu,Oct,4,10,2024-10-24,18:53:47.318000</t>
  </si>
  <si>
    <t>18,card,25.96,Americano,Night,Thu,Oct,4,10,2024-10-24,18:55:07.574000</t>
  </si>
  <si>
    <t>19,card,35.76,Latte,Night,Thu,Oct,4,10,2024-10-24,19:50:18.736000</t>
  </si>
  <si>
    <t>20,card,25.96,Americano,Night,Thu,Oct,4,10,2024-10-24,20:44:11.476000</t>
  </si>
  <si>
    <t>21,card,35.76,Hot Chocolate,Night,Thu,Oct,4,10,2024-10-24,21:14:44.888000</t>
  </si>
  <si>
    <t>21,card,35.76,Hot Chocolate,Night,Thu,Oct,4,10,2024-10-24,21:15:29.126000</t>
  </si>
  <si>
    <t>21,card,35.76,Hot Chocolate,Night,Thu,Oct,4,10,2024-10-24,21:56:20.063000</t>
  </si>
  <si>
    <t>21,card,35.76,Cappuccino,Night,Thu,Oct,4,10,2024-10-24,21:57:10.028000</t>
  </si>
  <si>
    <t>7,card,35.76,Cappuccino,Morning,Fri,Oct,5,10,2024-10-25,07:38:11.145000</t>
  </si>
  <si>
    <t>7,card,21.06,Espresso,Morning,Fri,Oct,5,10,2024-10-25,07:45:22.853000</t>
  </si>
  <si>
    <t>8,card,35.76,Cocoa,Morning,Fri,Oct,5,10,2024-10-25,08:10:04.813000</t>
  </si>
  <si>
    <t>8,card,35.76,Latte,Morning,Fri,Oct,5,10,2024-10-25,08:10:54.567000</t>
  </si>
  <si>
    <t>8,card,35.76,Cocoa,Morning,Fri,Oct,5,10,2024-10-25,08:18:49.780000</t>
  </si>
  <si>
    <t>10,card,25.96,Americano,Morning,Fri,Oct,5,10,2024-10-25,10:03:28.304000</t>
  </si>
  <si>
    <t>10,card,25.96,Americano,Morning,Fri,Oct,5,10,2024-10-25,10:05:21.012000</t>
  </si>
  <si>
    <t>10,card,30.86,Americano with Milk,Morning,Fri,Oct,5,10,2024-10-25,10:51:01.298000</t>
  </si>
  <si>
    <t>11,card,35.76,Cocoa,Morning,Fri,Oct,5,10,2024-10-25,11:49:42.876000</t>
  </si>
  <si>
    <t>11,card,35.76,Cocoa,Morning,Fri,Oct,5,10,2024-10-25,11:50:30.398000</t>
  </si>
  <si>
    <t>12,card,25.96,Cortado,Afternoon,Fri,Oct,5,10,2024-10-25,12:06:50.176000</t>
  </si>
  <si>
    <t>12,card,35.76,Latte,Afternoon,Fri,Oct,5,10,2024-10-25,12:40:37.466000</t>
  </si>
  <si>
    <t>14,card,35.76,Cappuccino,Afternoon,Fri,Oct,5,10,2024-10-25,14:23:16.568000</t>
  </si>
  <si>
    <t>22,card,35.76,Hot Chocolate,Night,Fri,Oct,5,10,2024-10-25,22:19:23.959000</t>
  </si>
  <si>
    <t>22,card,21.06,Espresso,Night,Fri,Oct,5,10,2024-10-25,22:22:31.745000</t>
  </si>
  <si>
    <t>7,card,35.76,Cappuccino,Morning,Sat,Oct,6,10,2024-10-26,07:49:59.226000</t>
  </si>
  <si>
    <t>8,card,25.96,Cortado,Morning,Sat,Oct,6,10,2024-10-26,08:41:44.502000</t>
  </si>
  <si>
    <t>8,card,35.76,Cappuccino,Morning,Sat,Oct,6,10,2024-10-26,08:52:59.556000</t>
  </si>
  <si>
    <t>10,card,25.96,Americano,Morning,Sat,Oct,6,10,2024-10-26,10:24:38.301000</t>
  </si>
  <si>
    <t>12,card,35.76,Cocoa,Afternoon,Sat,Oct,6,10,2024-10-26,12:18:09.342000</t>
  </si>
  <si>
    <t>13,card,35.76,Latte,Afternoon,Sat,Oct,6,10,2024-10-26,13:03:31.039000</t>
  </si>
  <si>
    <t>14,card,35.76,Latte,Afternoon,Sat,Oct,6,10,2024-10-26,14:34:58.654000</t>
  </si>
  <si>
    <t>14,card,30.86,Americano with Milk,Afternoon,Sat,Oct,6,10,2024-10-26,14:36:14.943000</t>
  </si>
  <si>
    <t>15,card,25.96,Cortado,Afternoon,Sat,Oct,6,10,2024-10-26,15:05:22.072000</t>
  </si>
  <si>
    <t>15,card,25.96,Cortado,Afternoon,Sat,Oct,6,10,2024-10-26,15:06:19.074000</t>
  </si>
  <si>
    <t>15,card,35.76,Latte,Afternoon,Sat,Oct,6,10,2024-10-26,15:38:28.729000</t>
  </si>
  <si>
    <t>15,card,35.76,Latte,Afternoon,Sat,Oct,6,10,2024-10-26,15:39:29.573000</t>
  </si>
  <si>
    <t>15,card,30.86,Americano with Milk,Afternoon,Sat,Oct,6,10,2024-10-26,15:52:01.660000</t>
  </si>
  <si>
    <t>15,card,30.86,Americano with Milk,Afternoon,Sat,Oct,6,10,2024-10-26,15:53:21.506000</t>
  </si>
  <si>
    <t>19,card,35.76,Cappuccino,Night,Sat,Oct,6,10,2024-10-26,19:19:21.305000</t>
  </si>
  <si>
    <t>20,card,30.86,Americano with Milk,Night,Sat,Oct,6,10,2024-10-26,20:34:46.718000</t>
  </si>
  <si>
    <t>11,card,30.86,Americano with Milk,Morning,Sun,Oct,7,10,2024-10-27,11:01:56.902000</t>
  </si>
  <si>
    <t>12,card,35.76,Latte,Afternoon,Sun,Oct,7,10,2024-10-27,12:53:25.989000</t>
  </si>
  <si>
    <t>12,card,30.86,Americano with Milk,Afternoon,Sun,Oct,7,10,2024-10-27,12:54:27.511000</t>
  </si>
  <si>
    <t>13,card,35.76,Cappuccino,Afternoon,Sun,Oct,7,10,2024-10-27,13:43:46.609000</t>
  </si>
  <si>
    <t>16,card,35.76,Latte,Afternoon,Sun,Oct,7,10,2024-10-27,16:17:06.175000</t>
  </si>
  <si>
    <t>7,card,35.76,Cappuccino,Morning,Mon,Oct,1,10,2024-10-28,07:46:28.187000</t>
  </si>
  <si>
    <t>8,card,25.96,Americano,Morning,Mon,Oct,1,10,2024-10-28,08:01:12.299000</t>
  </si>
  <si>
    <t>8,card,35.76,Latte,Morning,Mon,Oct,1,10,2024-10-28,08:35:02.901000</t>
  </si>
  <si>
    <t>9,card,30.86,Americano with Milk,Morning,Mon,Oct,1,10,2024-10-28,09:15:42.781000</t>
  </si>
  <si>
    <t>11,card,35.76,Latte,Morning,Mon,Oct,1,10,2024-10-28,11:42:36.495000</t>
  </si>
  <si>
    <t>11,card,35.76,Latte,Morning,Mon,Oct,1,10,2024-10-28,11:43:43.322000</t>
  </si>
  <si>
    <t>12,card,35.76,Hot Chocolate,Afternoon,Mon,Oct,1,10,2024-10-28,12:01:36.054000</t>
  </si>
  <si>
    <t>12,card,30.86,Americano with Milk,Afternoon,Mon,Oct,1,10,2024-10-28,12:02:34.807000</t>
  </si>
  <si>
    <t>12,card,35.76,Cappuccino,Afternoon,Mon,Oct,1,10,2024-10-28,12:21:30.418000</t>
  </si>
  <si>
    <t>14,card,30.86,Americano with Milk,Afternoon,Mon,Oct,1,10,2024-10-28,14:10:54.611000</t>
  </si>
  <si>
    <t>14,card,30.86,Americano with Milk,Afternoon,Mon,Oct,1,10,2024-10-28,14:11:56.316000</t>
  </si>
  <si>
    <t>14,card,30.86,Americano with Milk,Afternoon,Mon,Oct,1,10,2024-10-28,14:30:59.561000</t>
  </si>
  <si>
    <t>16,card,35.76,Latte,Afternoon,Mon,Oct,1,10,2024-10-28,16:01:20.507000</t>
  </si>
  <si>
    <t>17,card,35.76,Cocoa,Night,Mon,Oct,1,10,2024-10-28,17:55:18.119000</t>
  </si>
  <si>
    <t>17,card,35.76,Cocoa,Night,Mon,Oct,1,10,2024-10-28,17:56:02.397000</t>
  </si>
  <si>
    <t>19,card,35.76,Cappuccino,Night,Mon,Oct,1,10,2024-10-28,19:10:25.255000</t>
  </si>
  <si>
    <t>21,card,30.86,Americano with Milk,Night,Mon,Oct,1,10,2024-10-28,21:20:03.622000</t>
  </si>
  <si>
    <t>22,card,30.86,Americano with Milk,Night,Mon,Oct,1,10,2024-10-28,22:05:50.772000</t>
  </si>
  <si>
    <t>8,card,35.76,Latte,Morning,Tue,Oct,2,10,2024-10-29,08:40:52.355000</t>
  </si>
  <si>
    <t>8,card,35.76,Latte,Morning,Tue,Oct,2,10,2024-10-29,08:47:05.646000</t>
  </si>
  <si>
    <t>9,card,35.76,Latte,Morning,Tue,Oct,2,10,2024-10-29,09:31:57.680000</t>
  </si>
  <si>
    <t>11,card,30.86,Americano with Milk,Morning,Tue,Oct,2,10,2024-10-29,11:59:46.680000</t>
  </si>
  <si>
    <t>12,card,21.06,Espresso,Afternoon,Tue,Oct,2,10,2024-10-29,12:21:36.806000</t>
  </si>
  <si>
    <t>14,card,25.96,Cortado,Afternoon,Tue,Oct,2,10,2024-10-29,14:15:43.838000</t>
  </si>
  <si>
    <t>14,card,25.96,Cortado,Afternoon,Tue,Oct,2,10,2024-10-29,14:17:00.697000</t>
  </si>
  <si>
    <t>14,card,35.76,Cappuccino,Afternoon,Tue,Oct,2,10,2024-10-29,14:37:35.961000</t>
  </si>
  <si>
    <t>16,card,35.76,Hot Chocolate,Afternoon,Tue,Oct,2,10,2024-10-29,16:09:33.742000</t>
  </si>
  <si>
    <t>16,card,35.76,Cocoa,Afternoon,Tue,Oct,2,10,2024-10-29,16:10:56.815000</t>
  </si>
  <si>
    <t>16,card,35.76,Cocoa,Afternoon,Tue,Oct,2,10,2024-10-29,16:17:33.443000</t>
  </si>
  <si>
    <t>18,card,30.86,Americano with Milk,Night,Tue,Oct,2,10,2024-10-29,18:02:04.368000</t>
  </si>
  <si>
    <t>18,card,30.86,Americano with Milk,Night,Tue,Oct,2,10,2024-10-29,18:02:57.432000</t>
  </si>
  <si>
    <t>19,card,30.86,Americano with Milk,Night,Tue,Oct,2,10,2024-10-29,19:02:05.362000</t>
  </si>
  <si>
    <t>19,card,35.76,Cappuccino,Night,Tue,Oct,2,10,2024-10-29,19:05:44.436000</t>
  </si>
  <si>
    <t>19,card,35.76,Hot Chocolate,Night,Tue,Oct,2,10,2024-10-29,19:51:12.926000</t>
  </si>
  <si>
    <t>19,card,35.76,Latte,Night,Tue,Oct,2,10,2024-10-29,19:54:02.389000</t>
  </si>
  <si>
    <t>20,card,35.76,Latte,Night,Tue,Oct,2,10,2024-10-29,20:07:35.659000</t>
  </si>
  <si>
    <t>7,card,35.76,Latte,Morning,Wed,Oct,3,10,2024-10-30,07:52:05.489000</t>
  </si>
  <si>
    <t>8,card,30.86,Americano with Milk,Morning,Wed,Oct,3,10,2024-10-30,08:46:26.777000</t>
  </si>
  <si>
    <t>8,card,30.86,Americano with Milk,Morning,Wed,Oct,3,10,2024-10-30,08:47:29.281000</t>
  </si>
  <si>
    <t>9,card,35.76,Latte,Morning,Wed,Oct,3,10,2024-10-30,09:11:29.359000</t>
  </si>
  <si>
    <t>10,card,35.76,Latte,Morning,Wed,Oct,3,10,2024-10-30,10:31:53.151000</t>
  </si>
  <si>
    <t>10,card,35.76,Latte,Morning,Wed,Oct,3,10,2024-10-30,10:33:07.699000</t>
  </si>
  <si>
    <t>12,card,35.76,Latte,Afternoon,Wed,Oct,3,10,2024-10-30,12:08:45.933000</t>
  </si>
  <si>
    <t>12,card,25.96,Americano,Afternoon,Wed,Oct,3,10,2024-10-30,12:09:46.789000</t>
  </si>
  <si>
    <t>12,card,30.86,Americano with Milk,Afternoon,Wed,Oct,3,10,2024-10-30,12:10:58.391000</t>
  </si>
  <si>
    <t>12,card,25.96,Americano,Afternoon,Wed,Oct,3,10,2024-10-30,12:37:00.765000</t>
  </si>
  <si>
    <t>15,card,35.76,Latte,Afternoon,Wed,Oct,3,10,2024-10-30,15:05:15.193000</t>
  </si>
  <si>
    <t>15,card,35.76,Latte,Afternoon,Wed,Oct,3,10,2024-10-30,15:07:03.043000</t>
  </si>
  <si>
    <t>16,card,30.86,Americano with Milk,Afternoon,Wed,Oct,3,10,2024-10-30,16:04:48.375000</t>
  </si>
  <si>
    <t>18,card,35.76,Hot Chocolate,Night,Wed,Oct,3,10,2024-10-30,18:08:12.493000</t>
  </si>
  <si>
    <t>19,card,30.86,Americano with Milk,Night,Wed,Oct,3,10,2024-10-30,19:18:31.485000</t>
  </si>
  <si>
    <t>19,card,30.86,Americano with Milk,Night,Wed,Oct,3,10,2024-10-30,19:43:21.190000</t>
  </si>
  <si>
    <t>7,card,35.76,Latte,Morning,Thu,Oct,4,10,2024-10-31,07:54:17.331000</t>
  </si>
  <si>
    <t>8,card,35.76,Latte,Morning,Thu,Oct,4,10,2024-10-31,08:38:53.898000</t>
  </si>
  <si>
    <t>9,card,30.86,Americano with Milk,Morning,Thu,Oct,4,10,2024-10-31,09:18:19.100000</t>
  </si>
  <si>
    <t>15,card,35.76,Latte,Afternoon,Thu,Oct,4,10,2024-10-31,15:59:26.688000</t>
  </si>
  <si>
    <t>16,card,30.86,Americano with Milk,Afternoon,Thu,Oct,4,10,2024-10-31,16:00:30.983000</t>
  </si>
  <si>
    <t>8,card,35.76,Cocoa,Morning,Fri,Nov,5,11,2024-11-01,08:24:03.401000</t>
  </si>
  <si>
    <t>8,card,25.96,Americano,Morning,Fri,Nov,5,11,2024-11-01,08:30:57.642000</t>
  </si>
  <si>
    <t>10,card,35.76,Latte,Morning,Fri,Nov,5,11,2024-11-01,10:54:50.375000</t>
  </si>
  <si>
    <t>12,card,35.76,Cocoa,Afternoon,Fri,Nov,5,11,2024-11-01,12:41:26.535000</t>
  </si>
  <si>
    <t>12,card,35.76,Cocoa,Afternoon,Fri,Nov,5,11,2024-11-01,12:42:18.438000</t>
  </si>
  <si>
    <t>15,card,25.96,Cortado,Afternoon,Fri,Nov,5,11,2024-11-01,15:55:42.424000</t>
  </si>
  <si>
    <t>22,card,30.86,Americano with Milk,Night,Fri,Nov,5,11,2024-11-01,22:41:55.896000</t>
  </si>
  <si>
    <t>8,card,25.96,Cortado,Morning,Sat,Nov,6,11,2024-11-02,08:19:44.324000</t>
  </si>
  <si>
    <t>10,card,35.76,Cocoa,Morning,Sat,Nov,6,11,2024-11-02,10:25:45.967000</t>
  </si>
  <si>
    <t>10,card,30.86,Americano with Milk,Morning,Sat,Nov,6,11,2024-11-02,10:33:09.562000</t>
  </si>
  <si>
    <t>14,card,30.86,Americano with Milk,Afternoon,Sat,Nov,6,11,2024-11-02,14:54:14.648000</t>
  </si>
  <si>
    <t>16,card,35.76,Hot Chocolate,Afternoon,Sat,Nov,6,11,2024-11-02,16:24:15.855000</t>
  </si>
  <si>
    <t>16,card,35.76,Latte,Afternoon,Sat,Nov,6,11,2024-11-02,16:25:57.012000</t>
  </si>
  <si>
    <t>16,card,35.76,Latte,Afternoon,Sat,Nov,6,11,2024-11-02,16:37:05.005000</t>
  </si>
  <si>
    <t>18,card,30.86,Americano with Milk,Night,Sat,Nov,6,11,2024-11-02,18:18:27.180000</t>
  </si>
  <si>
    <t>18,card,25.96,Americano,Night,Sat,Nov,6,11,2024-11-02,18:58:23.522000</t>
  </si>
  <si>
    <t>8,card,25.96,Cortado,Morning,Sun,Nov,7,11,2024-11-03,08:23:00.362000</t>
  </si>
  <si>
    <t>9,card,30.86,Americano with Milk,Morning,Sun,Nov,7,11,2024-11-03,09:47:06.025000</t>
  </si>
  <si>
    <t>9,card,30.86,Americano with Milk,Morning,Sun,Nov,7,11,2024-11-03,09:48:12.017000</t>
  </si>
  <si>
    <t>13,card,35.76,Latte,Afternoon,Sun,Nov,7,11,2024-11-03,13:13:51.404000</t>
  </si>
  <si>
    <t>13,card,30.86,Americano with Milk,Afternoon,Sun,Nov,7,11,2024-11-03,13:14:56.673000</t>
  </si>
  <si>
    <t>13,card,35.76,Cocoa,Afternoon,Sun,Nov,7,11,2024-11-03,13:18:24.742000</t>
  </si>
  <si>
    <t>13,card,25.96,Americano,Afternoon,Sun,Nov,7,11,2024-11-03,13:44:18.516000</t>
  </si>
  <si>
    <t>13,card,30.86,Americano with Milk,Afternoon,Sun,Nov,7,11,2024-11-03,13:59:01.077000</t>
  </si>
  <si>
    <t>16,card,35.76,Hot Chocolate,Afternoon,Sun,Nov,7,11,2024-11-03,16:15:17.705000</t>
  </si>
  <si>
    <t>16,card,35.76,Hot Chocolate,Afternoon,Sun,Nov,7,11,2024-11-03,16:16:43.547000</t>
  </si>
  <si>
    <t>16,card,25.96,Americano,Afternoon,Sun,Nov,7,11,2024-11-03,16:20:37.116000</t>
  </si>
  <si>
    <t>16,card,25.96,Americano,Afternoon,Sun,Nov,7,11,2024-11-03,16:21:46.055000</t>
  </si>
  <si>
    <t>20,card,35.76,Cocoa,Night,Sun,Nov,7,11,2024-11-03,20:26:14.631000</t>
  </si>
  <si>
    <t>7,card,35.76,Latte,Morning,Mon,Nov,1,11,2024-11-04,07:43:36.879000</t>
  </si>
  <si>
    <t>8,card,35.76,Latte,Morning,Mon,Nov,1,11,2024-11-04,08:37:33.340000</t>
  </si>
  <si>
    <t>8,card,30.86,Americano with Milk,Morning,Mon,Nov,1,11,2024-11-04,08:38:58.864000</t>
  </si>
  <si>
    <t>12,card,25.96,Americano,Afternoon,Mon,Nov,1,11,2024-11-04,12:33:35.786000</t>
  </si>
  <si>
    <t>12,card,30.86,Americano with Milk,Afternoon,Mon,Nov,1,11,2024-11-04,12:35:06.061000</t>
  </si>
  <si>
    <t>14,card,35.76,Cocoa,Afternoon,Mon,Nov,1,11,2024-11-04,14:44:38.053000</t>
  </si>
  <si>
    <t>14,card,35.76,Cocoa,Afternoon,Mon,Nov,1,11,2024-11-04,14:45:20.025000</t>
  </si>
  <si>
    <t>7,card,35.76,Cocoa,Morning,Tue,Nov,2,11,2024-11-05,07:49:31.614000</t>
  </si>
  <si>
    <t>9,card,30.86,Americano with Milk,Morning,Tue,Nov,2,11,2024-11-05,09:05:41.810000</t>
  </si>
  <si>
    <t>9,card,35.76,Cappuccino,Morning,Tue,Nov,2,11,2024-11-05,09:12:12.324000</t>
  </si>
  <si>
    <t>9,card,30.86,Americano with Milk,Morning,Tue,Nov,2,11,2024-11-05,09:13:40.356000</t>
  </si>
  <si>
    <t>10,card,30.86,Americano with Milk,Morning,Tue,Nov,2,11,2024-11-05,10:41:44.251000</t>
  </si>
  <si>
    <t>11,card,35.76,Cocoa,Morning,Tue,Nov,2,11,2024-11-05,11:47:29.859000</t>
  </si>
  <si>
    <t>11,card,35.76,Latte,Morning,Tue,Nov,2,11,2024-11-05,11:48:22.484000</t>
  </si>
  <si>
    <t>14,card,35.76,Latte,Afternoon,Tue,Nov,2,11,2024-11-05,14:36:37.856000</t>
  </si>
  <si>
    <t>14,card,35.76,Latte,Afternoon,Tue,Nov,2,11,2024-11-05,14:41:48.048000</t>
  </si>
  <si>
    <t>18,card,35.76,Cappuccino,Night,Tue,Nov,2,11,2024-11-05,18:52:56.274000</t>
  </si>
  <si>
    <t>18,card,35.76,Cappuccino,Night,Tue,Nov,2,11,2024-11-05,18:54:10.727000</t>
  </si>
  <si>
    <t>18,card,35.76,Cappuccino,Night,Tue,Nov,2,11,2024-11-05,18:55:18.626000</t>
  </si>
  <si>
    <t>21,card,35.76,Cocoa,Night,Tue,Nov,2,11,2024-11-05,21:40:44.746000</t>
  </si>
  <si>
    <t>21,card,35.76,Cocoa,Night,Tue,Nov,2,11,2024-11-05,21:42:02.751000</t>
  </si>
  <si>
    <t>21,card,35.76,Hot Chocolate,Night,Tue,Nov,2,11,2024-11-05,21:54:19.647000</t>
  </si>
  <si>
    <t>22,card,35.76,Hot Chocolate,Night,Tue,Nov,2,11,2024-11-05,22:05:50.601000</t>
  </si>
  <si>
    <t>22,card,30.86,Americano with Milk,Night,Tue,Nov,2,11,2024-11-05,22:06:38.973000</t>
  </si>
  <si>
    <t>8,card,35.76,Latte,Morning,Wed,Nov,3,11,2024-11-06,08:11:25.120000</t>
  </si>
  <si>
    <t>11,card,21.06,Espresso,Morning,Wed,Nov,3,11,2024-11-06,11:45:31.173000</t>
  </si>
  <si>
    <t>13,card,25.96,Americano,Afternoon,Wed,Nov,3,11,2024-11-06,13:15:32.862000</t>
  </si>
  <si>
    <t>15,card,35.76,Cappuccino,Afternoon,Wed,Nov,3,11,2024-11-06,15:44:16.495000</t>
  </si>
  <si>
    <t>16,card,35.76,Latte,Afternoon,Wed,Nov,3,11,2024-11-06,16:00:43.813000</t>
  </si>
  <si>
    <t>16,card,35.76,Cappuccino,Afternoon,Wed,Nov,3,11,2024-11-06,16:02:05.113000</t>
  </si>
  <si>
    <t>18,card,35.76,Hot Chocolate,Night,Wed,Nov,3,11,2024-11-06,18:40:42.855000</t>
  </si>
  <si>
    <t>18,card,35.76,Hot Chocolate,Night,Wed,Nov,3,11,2024-11-06,18:41:30.653000</t>
  </si>
  <si>
    <t>12,card,35.76,Latte,Afternoon,Thu,Nov,4,11,2024-11-07,12:17:15.993000</t>
  </si>
  <si>
    <t>15,card,25.96,Americano,Afternoon,Thu,Nov,4,11,2024-11-07,15:50:10.558000</t>
  </si>
  <si>
    <t>16,card,25.96,Americano,Afternoon,Thu,Nov,4,11,2024-11-07,16:39:39.407000</t>
  </si>
  <si>
    <t>18,card,35.76,Cocoa,Night,Thu,Nov,4,11,2024-11-07,18:17:33.734000</t>
  </si>
  <si>
    <t>19,card,35.76,Hot Chocolate,Night,Thu,Nov,4,11,2024-11-07,19:20:14.752000</t>
  </si>
  <si>
    <t>19,card,35.76,Latte,Night,Thu,Nov,4,11,2024-11-07,19:21:38.023000</t>
  </si>
  <si>
    <t>20,card,35.76,Latte,Night,Thu,Nov,4,11,2024-11-07,20:02:30.672000</t>
  </si>
  <si>
    <t>9,card,30.86,Americano with Milk,Morning,Fri,Nov,5,11,2024-11-08,09:05:42.114000</t>
  </si>
  <si>
    <t>9,card,25.96,Americano,Morning,Fri,Nov,5,11,2024-11-08,09:47:30.900000</t>
  </si>
  <si>
    <t>9,card,25.96,Americano,Morning,Fri,Nov,5,11,2024-11-08,09:48:59.733000</t>
  </si>
  <si>
    <t>11,card,35.76,Cappuccino,Morning,Fri,Nov,5,11,2024-11-08,11:47:11.390000</t>
  </si>
  <si>
    <t>13,card,35.76,Latte,Afternoon,Fri,Nov,5,11,2024-11-08,13:25:13.447000</t>
  </si>
  <si>
    <t>13,card,35.76,Latte,Afternoon,Fri,Nov,5,11,2024-11-08,13:26:17.612000</t>
  </si>
  <si>
    <t>16,card,30.86,Americano with Milk,Afternoon,Fri,Nov,5,11,2024-11-08,16:33:02.884000</t>
  </si>
  <si>
    <t>16,card,30.86,Americano with Milk,Afternoon,Fri,Nov,5,11,2024-11-08,16:55:28.043000</t>
  </si>
  <si>
    <t>20,card,35.76,Hot Chocolate,Night,Fri,Nov,5,11,2024-11-08,20:13:32.167000</t>
  </si>
  <si>
    <t>20,card,35.76,Hot Chocolate,Night,Fri,Nov,5,11,2024-11-08,20:14:24.290000</t>
  </si>
  <si>
    <t>20,card,35.76,Hot Chocolate,Night,Fri,Nov,5,11,2024-11-08,20:15:20</t>
  </si>
  <si>
    <t>22,card,35.76,Latte,Night,Fri,Nov,5,11,2024-11-08,22:27:09.667000</t>
  </si>
  <si>
    <t>10,card,30.86,Americano with Milk,Morning,Sat,Nov,6,11,2024-11-09,10:08:18.836000</t>
  </si>
  <si>
    <t>11,card,25.96,Cortado,Morning,Sat,Nov,6,11,2024-11-09,11:02:08.001000</t>
  </si>
  <si>
    <t>11,card,25.96,Cortado,Morning,Sat,Nov,6,11,2024-11-09,11:03:00.584000</t>
  </si>
  <si>
    <t>11,card,35.76,Latte,Morning,Sat,Nov,6,11,2024-11-09,11:08:44.219000</t>
  </si>
  <si>
    <t>13,card,35.76,Hot Chocolate,Afternoon,Sat,Nov,6,11,2024-11-09,13:50:14.679000</t>
  </si>
  <si>
    <t>13,card,35.76,Hot Chocolate,Afternoon,Sat,Nov,6,11,2024-11-09,13:50:55.154000</t>
  </si>
  <si>
    <t>14,card,35.76,Hot Chocolate,Afternoon,Sat,Nov,6,11,2024-11-09,14:21:51.604000</t>
  </si>
  <si>
    <t>14,card,35.76,Hot Chocolate,Afternoon,Sat,Nov,6,11,2024-11-09,14:22:50.440000</t>
  </si>
  <si>
    <t>14,card,25.96,Americano,Afternoon,Sat,Nov,6,11,2024-11-09,14:37:33.151000</t>
  </si>
  <si>
    <t>15,card,30.86,Americano with Milk,Afternoon,Sat,Nov,6,11,2024-11-09,15:29:50.944000</t>
  </si>
  <si>
    <t>16,card,35.76,Latte,Afternoon,Sat,Nov,6,11,2024-11-09,16:15:47.842000</t>
  </si>
  <si>
    <t>16,card,35.76,Cocoa,Afternoon,Sat,Nov,6,11,2024-11-09,16:16:52.424000</t>
  </si>
  <si>
    <t>20,card,25.96,Americano,Night,Sat,Nov,6,11,2024-11-09,20:42:04.523000</t>
  </si>
  <si>
    <t>20,card,35.76,Latte,Night,Sat,Nov,6,11,2024-11-09,20:43:27.537000</t>
  </si>
  <si>
    <t>22,card,35.76,Cocoa,Night,Sat,Nov,6,11,2024-11-09,22:13:27.653000</t>
  </si>
  <si>
    <t>22,card,25.96,Americano,Night,Sat,Nov,6,11,2024-11-09,22:52:58.089000</t>
  </si>
  <si>
    <t>22,card,25.96,Americano,Night,Sat,Nov,6,11,2024-11-09,22:54:19.107000</t>
  </si>
  <si>
    <t>9,card,25.96,Americano,Morning,Sun,Nov,7,11,2024-11-10,09:46:21.800000</t>
  </si>
  <si>
    <t>17,card,35.76,Cocoa,Night,Sun,Nov,7,11,2024-11-10,17:52:47.887000</t>
  </si>
  <si>
    <t>18,card,35.76,Hot Chocolate,Night,Sun,Nov,7,11,2024-11-10,18:12:53.359000</t>
  </si>
  <si>
    <t>18,card,35.76,Hot Chocolate,Night,Sun,Nov,7,11,2024-11-10,18:14:03.644000</t>
  </si>
  <si>
    <t>20,card,35.76,Cappuccino,Night,Sun,Nov,7,11,2024-11-10,20:38:08.127000</t>
  </si>
  <si>
    <t>20,card,35.76,Cappuccino,Night,Sun,Nov,7,11,2024-11-10,20:39:06.846000</t>
  </si>
  <si>
    <t>7,card,35.76,Cappuccino,Morning,Mon,Nov,1,11,2024-11-11,07:48:26.804000</t>
  </si>
  <si>
    <t>9,card,30.86,Americano with Milk,Morning,Mon,Nov,1,11,2024-11-11,09:52:25.783000</t>
  </si>
  <si>
    <t>10,card,25.96,Cortado,Morning,Mon,Nov,1,11,2024-11-11,10:19:09.500000</t>
  </si>
  <si>
    <t>16,card,35.76,Cappuccino,Afternoon,Mon,Nov,1,11,2024-11-11,16:18:44</t>
  </si>
  <si>
    <t>16,card,35.76,Hot Chocolate,Afternoon,Mon,Nov,1,11,2024-11-11,16:19:52.667000</t>
  </si>
  <si>
    <t>17,card,35.76,Cappuccino,Night,Mon,Nov,1,11,2024-11-11,17:33:32.053000</t>
  </si>
  <si>
    <t>19,card,35.76,Latte,Night,Mon,Nov,1,11,2024-11-11,19:00:46.910000</t>
  </si>
  <si>
    <t>19,card,35.76,Hot Chocolate,Night,Mon,Nov,1,11,2024-11-11,19:04:15.528000</t>
  </si>
  <si>
    <t>21,card,35.76,Latte,Night,Mon,Nov,1,11,2024-11-11,21:08:31.681000</t>
  </si>
  <si>
    <t>21,card,35.76,Latte,Night,Mon,Nov,1,11,2024-11-11,21:09:46.953000</t>
  </si>
  <si>
    <t>10,card,35.76,Latte,Morning,Tue,Nov,2,11,2024-11-12,10:03:08.572000</t>
  </si>
  <si>
    <t>13,card,35.76,Latte,Afternoon,Tue,Nov,2,11,2024-11-12,13:15:45.394000</t>
  </si>
  <si>
    <t>14,card,35.76,Latte,Afternoon,Tue,Nov,2,11,2024-11-12,14:39:14.888000</t>
  </si>
  <si>
    <t>16,card,35.76,Hot Chocolate,Afternoon,Tue,Nov,2,11,2024-11-12,16:47:14.364000</t>
  </si>
  <si>
    <t>16,card,35.76,Hot Chocolate,Afternoon,Tue,Nov,2,11,2024-11-12,16:48:04.898000</t>
  </si>
  <si>
    <t>16,card,35.76,Cocoa,Afternoon,Tue,Nov,2,11,2024-11-12,16:49:03.924000</t>
  </si>
  <si>
    <t>18,card,35.76,Cappuccino,Night,Tue,Nov,2,11,2024-11-12,18:45:14.343000</t>
  </si>
  <si>
    <t>20,card,35.76,Latte,Night,Tue,Nov,2,11,2024-11-12,20:07:57.816000</t>
  </si>
  <si>
    <t>20,card,35.76,Cocoa,Night,Tue,Nov,2,11,2024-11-12,20:09:21.803000</t>
  </si>
  <si>
    <t>8,card,30.86,Americano with Milk,Morning,Wed,Nov,3,11,2024-11-13,08:09:10.852000</t>
  </si>
  <si>
    <t>10,card,35.76,Latte,Morning,Wed,Nov,3,11,2024-11-13,10:37:43.252000</t>
  </si>
  <si>
    <t>13,card,30.86,Americano with Milk,Afternoon,Wed,Nov,3,11,2024-11-13,13:19:54.570000</t>
  </si>
  <si>
    <t>13,card,30.86,Americano with Milk,Afternoon,Wed,Nov,3,11,2024-11-13,13:20:58.477000</t>
  </si>
  <si>
    <t>14,card,30.86,Americano with Milk,Afternoon,Wed,Nov,3,11,2024-11-13,14:17:30.240000</t>
  </si>
  <si>
    <t>14,card,35.76,Latte,Afternoon,Wed,Nov,3,11,2024-11-13,14:46:58.381000</t>
  </si>
  <si>
    <t>9,card,35.76,Latte,Morning,Thu,Nov,4,11,2024-11-14,09:36:27.778000</t>
  </si>
  <si>
    <t>10,card,25.96,Americano,Morning,Thu,Nov,4,11,2024-11-14,10:06:42.680000</t>
  </si>
  <si>
    <t>12,card,21.06,Espresso,Afternoon,Thu,Nov,4,11,2024-11-14,12:48:50.479000</t>
  </si>
  <si>
    <t>15,card,35.76,Cappuccino,Afternoon,Thu,Nov,4,11,2024-11-14,15:03:45.413000</t>
  </si>
  <si>
    <t>15,card,35.76,Latte,Afternoon,Thu,Nov,4,11,2024-11-14,15:04:56.749000</t>
  </si>
  <si>
    <t>15,card,35.76,Cappuccino,Afternoon,Thu,Nov,4,11,2024-11-14,15:05:49.793000</t>
  </si>
  <si>
    <t>16,card,30.86,Americano with Milk,Afternoon,Thu,Nov,4,11,2024-11-14,16:13:08.309000</t>
  </si>
  <si>
    <t>16,card,35.76,Cappuccino,Afternoon,Thu,Nov,4,11,2024-11-14,16:14:21.556000</t>
  </si>
  <si>
    <t>19,card,35.76,Hot Chocolate,Night,Thu,Nov,4,11,2024-11-14,19:43:26.494000</t>
  </si>
  <si>
    <t>19,card,35.76,Hot Chocolate,Night,Thu,Nov,4,11,2024-11-14,19:46:37.139000</t>
  </si>
  <si>
    <t>20,card,35.76,Cocoa,Night,Thu,Nov,4,11,2024-11-14,20:31:30.027000</t>
  </si>
  <si>
    <t>20,card,35.76,Hot Chocolate,Night,Thu,Nov,4,11,2024-11-14,20:32:30.550000</t>
  </si>
  <si>
    <t>21,card,35.76,Latte,Night,Thu,Nov,4,11,2024-11-14,21:24:31.586000</t>
  </si>
  <si>
    <t>22,card,35.76,Latte,Night,Thu,Nov,4,11,2024-11-14,22:40:42.347000</t>
  </si>
  <si>
    <t>8,card,30.86,Americano with Milk,Morning,Fri,Nov,5,11,2024-11-15,08:45:51.139000</t>
  </si>
  <si>
    <t>11,card,30.86,Americano with Milk,Morning,Fri,Nov,5,11,2024-11-15,11:05:53.035000</t>
  </si>
  <si>
    <t>12,card,35.76,Cocoa,Afternoon,Fri,Nov,5,11,2024-11-15,12:09:00.460000</t>
  </si>
  <si>
    <t>12,card,35.76,Cocoa,Afternoon,Fri,Nov,5,11,2024-11-15,12:14:18.551000</t>
  </si>
  <si>
    <t>13,card,35.76,Latte,Afternoon,Fri,Nov,5,11,2024-11-15,13:57:33.894000</t>
  </si>
  <si>
    <t>15,card,25.96,Americano,Afternoon,Fri,Nov,5,11,2024-11-15,15:19:50.632000</t>
  </si>
  <si>
    <t>17,card,30.86,Americano with Milk,Night,Fri,Nov,5,11,2024-11-15,17:35:41.053000</t>
  </si>
  <si>
    <t>17,card,35.76,Latte,Night,Fri,Nov,5,11,2024-11-15,17:55:01.487000</t>
  </si>
  <si>
    <t>18,card,35.76,Hot Chocolate,Night,Fri,Nov,5,11,2024-11-15,18:12:44.931000</t>
  </si>
  <si>
    <t>18,card,30.86,Americano with Milk,Night,Fri,Nov,5,11,2024-11-15,18:42:21.930000</t>
  </si>
  <si>
    <t>18,card,30.86,Americano with Milk,Night,Fri,Nov,5,11,2024-11-15,18:43:21.160000</t>
  </si>
  <si>
    <t>10,card,25.96,Cortado,Morning,Sat,Nov,6,11,2024-11-16,10:21:34.870000</t>
  </si>
  <si>
    <t>10,card,25.96,Cortado,Morning,Sat,Nov,6,11,2024-11-16,10:45:51.380000</t>
  </si>
  <si>
    <t>11,card,35.76,Hot Chocolate,Morning,Sat,Nov,6,11,2024-11-16,11:02:00.746000</t>
  </si>
  <si>
    <t>11,card,35.76,Latte,Morning,Sat,Nov,6,11,2024-11-16,11:03:06.575000</t>
  </si>
  <si>
    <t>11,card,25.96,Americano,Morning,Sat,Nov,6,11,2024-11-16,11:39:24.973000</t>
  </si>
  <si>
    <t>12,card,35.76,Cappuccino,Afternoon,Sat,Nov,6,11,2024-11-16,12:30:14.984000</t>
  </si>
  <si>
    <t>12,card,30.86,Americano with Milk,Afternoon,Sat,Nov,6,11,2024-11-16,12:31:50.556000</t>
  </si>
  <si>
    <t>12,card,35.76,Latte,Afternoon,Sat,Nov,6,11,2024-11-16,12:48:35.846000</t>
  </si>
  <si>
    <t>12,card,35.76,Latte,Afternoon,Sat,Nov,6,11,2024-11-16,12:49:35.127000</t>
  </si>
  <si>
    <t>13,card,30.86,Americano with Milk,Afternoon,Sat,Nov,6,11,2024-11-16,13:16:55.479000</t>
  </si>
  <si>
    <t>13,card,35.76,Latte,Afternoon,Sat,Nov,6,11,2024-11-16,13:18:00.476000</t>
  </si>
  <si>
    <t>13,card,35.76,Latte,Afternoon,Sat,Nov,6,11,2024-11-16,13:19:09.028000</t>
  </si>
  <si>
    <t>14,card,30.86,Americano with Milk,Afternoon,Sat,Nov,6,11,2024-11-16,14:25:47.388000</t>
  </si>
  <si>
    <t>10,card,30.86,Americano with Milk,Morning,Sun,Nov,7,11,2024-11-17,10:29:36.983000</t>
  </si>
  <si>
    <t>13,card,30.86,Americano with Milk,Afternoon,Sun,Nov,7,11,2024-11-17,13:35:19.695000</t>
  </si>
  <si>
    <t>14,card,25.96,Americano,Afternoon,Sun,Nov,7,11,2024-11-17,14:18:41.797000</t>
  </si>
  <si>
    <t>14,card,30.86,Americano with Milk,Afternoon,Sun,Nov,7,11,2024-11-17,14:33:40.247000</t>
  </si>
  <si>
    <t>16,card,35.76,Latte,Afternoon,Sun,Nov,7,11,2024-11-17,16:27:26.184000</t>
  </si>
  <si>
    <t>16,card,35.76,Latte,Afternoon,Sun,Nov,7,11,2024-11-17,16:28:35.779000</t>
  </si>
  <si>
    <t>18,card,35.76,Hot Chocolate,Night,Sun,Nov,7,11,2024-11-17,18:10:06.641000</t>
  </si>
  <si>
    <t>19,card,35.76,Hot Chocolate,Night,Sun,Nov,7,11,2024-11-17,19:17:34.289000</t>
  </si>
  <si>
    <t>19,card,35.76,Hot Chocolate,Night,Sun,Nov,7,11,2024-11-17,19:18:27.520000</t>
  </si>
  <si>
    <t>7,card,30.86,Americano with Milk,Morning,Mon,Nov,1,11,2024-11-18,07:52:19.619000</t>
  </si>
  <si>
    <t>7,card,30.86,Americano with Milk,Morning,Mon,Nov,1,11,2024-11-18,07:53:16.351000</t>
  </si>
  <si>
    <t>7,card,35.76,Latte,Morning,Mon,Nov,1,11,2024-11-18,07:57:22.198000</t>
  </si>
  <si>
    <t>16,card,35.76,Latte,Afternoon,Mon,Nov,1,11,2024-11-18,16:44:49.074000</t>
  </si>
  <si>
    <t>16,card,35.76,Latte,Afternoon,Mon,Nov,1,11,2024-11-18,16:46:52.894000</t>
  </si>
  <si>
    <t>18,card,35.76,Latte,Night,Mon,Nov,1,11,2024-11-18,18:50:54.137000</t>
  </si>
  <si>
    <t>7,card,35.76,Cocoa,Morning,Tue,Nov,2,11,2024-11-19,07:49:00.628000</t>
  </si>
  <si>
    <t>7,card,30.86,Americano with Milk,Morning,Tue,Nov,2,11,2024-11-19,07:51:13.678000</t>
  </si>
  <si>
    <t>7,card,35.76,Latte,Morning,Tue,Nov,2,11,2024-11-19,07:52:13.414000</t>
  </si>
  <si>
    <t>7,card,21.06,Espresso,Morning,Tue,Nov,2,11,2024-11-19,07:53:38.393000</t>
  </si>
  <si>
    <t>7,card,35.76,Latte,Morning,Tue,Nov,2,11,2024-11-19,07:54:46.893000</t>
  </si>
  <si>
    <t>10,card,30.86,Americano with Milk,Morning,Tue,Nov,2,11,2024-11-19,10:29:23.369000</t>
  </si>
  <si>
    <t>11,card,35.76,Latte,Morning,Tue,Nov,2,11,2024-11-19,11:07:09.017000</t>
  </si>
  <si>
    <t>16,card,35.76,Cocoa,Afternoon,Tue,Nov,2,11,2024-11-19,16:22:40.481000</t>
  </si>
  <si>
    <t>16,card,35.76,Cocoa,Afternoon,Tue,Nov,2,11,2024-11-19,16:23:59.438000</t>
  </si>
  <si>
    <t>16,card,35.76,Cappuccino,Afternoon,Tue,Nov,2,11,2024-11-19,16:41:03.671000</t>
  </si>
  <si>
    <t>16,card,35.76,Cappuccino,Afternoon,Tue,Nov,2,11,2024-11-19,16:47:41.234000</t>
  </si>
  <si>
    <t>13,card,30.86,Americano with Milk,Afternoon,Wed,Nov,3,11,2024-11-20,13:29:38.737000</t>
  </si>
  <si>
    <t>16,card,35.76,Latte,Afternoon,Wed,Nov,3,11,2024-11-20,16:34:50.147000</t>
  </si>
  <si>
    <t>17,card,35.76,Cappuccino,Night,Wed,Nov,3,11,2024-11-20,17:49:51.721000</t>
  </si>
  <si>
    <t>17,card,35.76,Hot Chocolate,Night,Wed,Nov,3,11,2024-11-20,17:50:49.760000</t>
  </si>
  <si>
    <t>11,card,25.96,Cortado,Morning,Thu,Nov,4,11,2024-11-21,11:06:11.028000</t>
  </si>
  <si>
    <t>12,card,35.76,Latte,Afternoon,Thu,Nov,4,11,2024-11-21,12:33:36.082000</t>
  </si>
  <si>
    <t>12,card,35.76,Cocoa,Afternoon,Thu,Nov,4,11,2024-11-21,12:59:45.342000</t>
  </si>
  <si>
    <t>13,card,35.76,Cocoa,Afternoon,Thu,Nov,4,11,2024-11-21,13:00:47.390000</t>
  </si>
  <si>
    <t>16,card,35.76,Latte,Afternoon,Thu,Nov,4,11,2024-11-21,16:14:13.567000</t>
  </si>
  <si>
    <t>17,card,30.86,Americano with Milk,Night,Thu,Nov,4,11,2024-11-21,17:35:27.351000</t>
  </si>
  <si>
    <t>17,card,25.96,Cortado,Night,Thu,Nov,4,11,2024-11-21,17:39:22.972000</t>
  </si>
  <si>
    <t>19,card,35.76,Hot Chocolate,Night,Thu,Nov,4,11,2024-11-21,19:01:02.947000</t>
  </si>
  <si>
    <t>7,card,35.76,Latte,Morning,Fri,Nov,5,11,2024-11-22,07:50:36.322000</t>
  </si>
  <si>
    <t>10,card,35.76,Cappuccino,Morning,Fri,Nov,5,11,2024-11-22,10:03:42.504000</t>
  </si>
  <si>
    <t>11,card,35.76,Latte,Morning,Fri,Nov,5,11,2024-11-22,11:02:32.401000</t>
  </si>
  <si>
    <t>11,card,35.76,Cocoa,Morning,Fri,Nov,5,11,2024-11-22,11:24:26.431000</t>
  </si>
  <si>
    <t>16,card,35.76,Hot Chocolate,Afternoon,Fri,Nov,5,11,2024-11-22,16:33:05.324000</t>
  </si>
  <si>
    <t>16,card,35.76,Latte,Afternoon,Fri,Nov,5,11,2024-11-22,16:33:49.898000</t>
  </si>
  <si>
    <t>9,card,25.96,Cortado,Morning,Sat,Nov,6,11,2024-11-23,09:10:46.265000</t>
  </si>
  <si>
    <t>9,card,25.96,Cortado,Morning,Sat,Nov,6,11,2024-11-23,09:11:48.979000</t>
  </si>
  <si>
    <t>10,card,35.76,Latte,Morning,Sat,Nov,6,11,2024-11-23,10:05:15.754000</t>
  </si>
  <si>
    <t>11,card,35.76,Cappuccino,Morning,Sat,Nov,6,11,2024-11-23,11:02:59.642000</t>
  </si>
  <si>
    <t>11,card,25.96,Americano,Morning,Sat,Nov,6,11,2024-11-23,11:09:28.024000</t>
  </si>
  <si>
    <t>11,card,25.96,Americano,Morning,Sat,Nov,6,11,2024-11-23,11:10:25.846000</t>
  </si>
  <si>
    <t>11,card,35.76,Hot Chocolate,Morning,Sat,Nov,6,11,2024-11-23,11:41:27.467000</t>
  </si>
  <si>
    <t>22,card,35.76,Latte,Night,Sat,Nov,6,11,2024-11-23,22:37:04.182000</t>
  </si>
  <si>
    <t>8,card,35.76,Latte,Morning,Sun,Nov,7,11,2024-11-24,08:17:07.492000</t>
  </si>
  <si>
    <t>7,card,35.76,Cappuccino,Morning,Mon,Nov,1,11,2024-11-25,07:49:17.954000</t>
  </si>
  <si>
    <t>7,card,35.76,Latte,Morning,Mon,Nov,1,11,2024-11-25,07:54:23.504000</t>
  </si>
  <si>
    <t>9,card,30.86,Americano with Milk,Morning,Mon,Nov,1,11,2024-11-25,09:12:20.988000</t>
  </si>
  <si>
    <t>10,card,25.96,Cortado,Morning,Mon,Nov,1,11,2024-11-25,10:38:08.041000</t>
  </si>
  <si>
    <t>12,card,35.76,Latte,Afternoon,Mon,Nov,1,11,2024-11-25,12:50:58.199000</t>
  </si>
  <si>
    <t>12,card,35.76,Latte,Afternoon,Mon,Nov,1,11,2024-11-25,12:52:41.053000</t>
  </si>
  <si>
    <t>16,card,35.76,Hot Chocolate,Afternoon,Mon,Nov,1,11,2024-11-25,16:30:56.470000</t>
  </si>
  <si>
    <t>19,card,30.86,Americano with Milk,Night,Mon,Nov,1,11,2024-11-25,19:01:59.097000</t>
  </si>
  <si>
    <t>19,card,35.76,Hot Chocolate,Night,Mon,Nov,1,11,2024-11-25,19:37:58.489000</t>
  </si>
  <si>
    <t>21,card,35.76,Hot Chocolate,Night,Mon,Nov,1,11,2024-11-25,21:42:15.215000</t>
  </si>
  <si>
    <t>21,card,35.76,Cappuccino,Night,Mon,Nov,1,11,2024-11-25,21:43:00.450000</t>
  </si>
  <si>
    <t>7,card,35.76,Latte,Morning,Tue,Nov,2,11,2024-11-26,07:54:37.946000</t>
  </si>
  <si>
    <t>11,card,35.76,Cocoa,Morning,Tue,Nov,2,11,2024-11-26,11:02:56.269000</t>
  </si>
  <si>
    <t>11,card,25.96,Americano,Morning,Tue,Nov,2,11,2024-11-26,11:03:47.275000</t>
  </si>
  <si>
    <t>11,card,35.76,Cocoa,Morning,Tue,Nov,2,11,2024-11-26,11:06:09.088000</t>
  </si>
  <si>
    <t>11,card,35.76,Cocoa,Morning,Tue,Nov,2,11,2024-11-26,11:07:09.966000</t>
  </si>
  <si>
    <t>16,card,35.76,Latte,Afternoon,Tue,Nov,2,11,2024-11-26,16:03:54.304000</t>
  </si>
  <si>
    <t>16,card,35.76,Latte,Afternoon,Tue,Nov,2,11,2024-11-26,16:05:00.555000</t>
  </si>
  <si>
    <t>17,card,25.96,Americano,Night,Tue,Nov,2,11,2024-11-26,17:11:37.726000</t>
  </si>
  <si>
    <t>17,card,30.86,Americano with Milk,Night,Tue,Nov,2,11,2024-11-26,17:12:34.437000</t>
  </si>
  <si>
    <t>19,card,35.76,Cocoa,Night,Tue,Nov,2,11,2024-11-26,19:47:24.665000</t>
  </si>
  <si>
    <t>8,card,35.76,Cappuccino,Morning,Thu,Nov,4,11,2024-11-28,08:41:16.925000</t>
  </si>
  <si>
    <t>9,card,30.86,Americano with Milk,Morning,Thu,Nov,4,11,2024-11-28,09:14:00.906000</t>
  </si>
  <si>
    <t>20,card,30.86,Americano with Milk,Night,Thu,Nov,4,11,2024-11-28,20:24:42.030000</t>
  </si>
  <si>
    <t>20,card,35.76,Latte,Night,Thu,Nov,4,11,2024-11-28,20:25:45.523000</t>
  </si>
  <si>
    <t>20,card,35.76,Latte,Night,Thu,Nov,4,11,2024-11-28,20:54:59.668000</t>
  </si>
  <si>
    <t>22,card,35.76,Cappuccino,Night,Thu,Nov,4,11,2024-11-28,22:00:15.694000</t>
  </si>
  <si>
    <t>7,card,35.76,Cocoa,Morning,Fri,Nov,5,11,2024-11-29,07:53:15.838000</t>
  </si>
  <si>
    <t>7,card,35.76,Latte,Morning,Fri,Nov,5,11,2024-11-29,07:57:42.151000</t>
  </si>
  <si>
    <t>9,card,30.86,Americano with Milk,Morning,Fri,Nov,5,11,2024-11-29,09:07:31.505000</t>
  </si>
  <si>
    <t>9,card,30.86,Americano with Milk,Morning,Fri,Nov,5,11,2024-11-29,09:08:30.245000</t>
  </si>
  <si>
    <t>15,card,30.86,Americano with Milk,Afternoon,Fri,Nov,5,11,2024-11-29,15:18:06.860000</t>
  </si>
  <si>
    <t>15,card,35.76,Latte,Afternoon,Fri,Nov,5,11,2024-11-29,15:19:20.348000</t>
  </si>
  <si>
    <t>20,card,35.76,Cocoa,Night,Fri,Nov,5,11,2024-11-29,20:57:54.667000</t>
  </si>
  <si>
    <t>12,card,35.76,Cocoa,Afternoon,Sat,Nov,6,11,2024-11-30,12:58:12.142000</t>
  </si>
  <si>
    <t>14,card,25.96,Americano,Afternoon,Sat,Nov,6,11,2024-11-30,14:04:55.814000</t>
  </si>
  <si>
    <t>14,card,35.76,Hot Chocolate,Afternoon,Sat,Nov,6,11,2024-11-30,14:05:58.078000</t>
  </si>
  <si>
    <t>14,card,35.76,Cocoa,Afternoon,Sat,Nov,6,11,2024-11-30,14:16:52.019000</t>
  </si>
  <si>
    <t>15,card,30.86,Americano with Milk,Afternoon,Sat,Nov,6,11,2024-11-30,15:33:44.296000</t>
  </si>
  <si>
    <t>22,card,30.86,Americano with Milk,Night,Sat,Nov,6,11,2024-11-30,22:03:48.484000</t>
  </si>
  <si>
    <t>10,card,30.86,Americano with Milk,Morning,Sun,Dec,7,12,2024-12-01,10:15:31.697000</t>
  </si>
  <si>
    <t>10,card,30.86,Americano with Milk,Morning,Sun,Dec,7,12,2024-12-01,10:16:31.924000</t>
  </si>
  <si>
    <t>10,card,30.86,Americano with Milk,Morning,Sun,Dec,7,12,2024-12-01,10:22:46.588000</t>
  </si>
  <si>
    <t>14,card,30.86,Americano with Milk,Afternoon,Sun,Dec,7,12,2024-12-01,14:34:22.870000</t>
  </si>
  <si>
    <t>15,card,35.76,Cocoa,Afternoon,Sun,Dec,7,12,2024-12-01,15:09:12.653000</t>
  </si>
  <si>
    <t>15,card,35.76,Cocoa,Afternoon,Sun,Dec,7,12,2024-12-01,15:09:56.961000</t>
  </si>
  <si>
    <t>15,card,35.76,Cappuccino,Afternoon,Sun,Dec,7,12,2024-12-01,15:43:02.293000</t>
  </si>
  <si>
    <t>15,card,35.76,Latte,Afternoon,Sun,Dec,7,12,2024-12-01,15:56:31.215000</t>
  </si>
  <si>
    <t>15,card,35.76,Latte,Afternoon,Sun,Dec,7,12,2024-12-01,15:57:49.366000</t>
  </si>
  <si>
    <t>16,card,35.76,Latte,Afternoon,Sun,Dec,7,12,2024-12-01,16:32:59.481000</t>
  </si>
  <si>
    <t>16,card,35.76,Latte,Afternoon,Sun,Dec,7,12,2024-12-01,16:34:30.047000</t>
  </si>
  <si>
    <t>17,card,30.86,Americano with Milk,Night,Sun,Dec,7,12,2024-12-01,17:10:23.576000</t>
  </si>
  <si>
    <t>17,card,30.86,Americano with Milk,Night,Sun,Dec,7,12,2024-12-01,17:11:32.019000</t>
  </si>
  <si>
    <t>18,card,30.86,Americano with Milk,Night,Sun,Dec,7,12,2024-12-01,18:38:28.685000</t>
  </si>
  <si>
    <t>7,card,35.76,Latte,Morning,Mon,Dec,1,12,2024-12-02,07:50:36.572000</t>
  </si>
  <si>
    <t>7,card,25.96,Americano,Morning,Mon,Dec,1,12,2024-12-02,07:51:59.373000</t>
  </si>
  <si>
    <t>8,card,30.86,Americano with Milk,Morning,Mon,Dec,1,12,2024-12-02,08:21:29.576000</t>
  </si>
  <si>
    <t>8,card,35.76,Cocoa,Morning,Mon,Dec,1,12,2024-12-02,08:53:14.454000</t>
  </si>
  <si>
    <t>11,card,25.96,Cortado,Morning,Mon,Dec,1,12,2024-12-02,11:04:25.197000</t>
  </si>
  <si>
    <t>15,card,21.06,Espresso,Afternoon,Mon,Dec,1,12,2024-12-02,15:28:23.946000</t>
  </si>
  <si>
    <t>16,card,35.76,Cappuccino,Afternoon,Mon,Dec,1,12,2024-12-02,16:12:23.920000</t>
  </si>
  <si>
    <t>17,card,25.96,Americano,Night,Mon,Dec,1,12,2024-12-02,17:34:21.695000</t>
  </si>
  <si>
    <t>18,card,35.76,Cappuccino,Night,Mon,Dec,1,12,2024-12-02,18:00:32.300000</t>
  </si>
  <si>
    <t>8,card,35.76,Latte,Morning,Tue,Dec,2,12,2024-12-03,08:11:19.139000</t>
  </si>
  <si>
    <t>9,card,30.86,Americano with Milk,Morning,Tue,Dec,2,12,2024-12-03,09:23:30.556000</t>
  </si>
  <si>
    <t>9,card,30.86,Americano with Milk,Morning,Tue,Dec,2,12,2024-12-03,09:24:27.071000</t>
  </si>
  <si>
    <t>11,card,25.96,Americano,Morning,Tue,Dec,2,12,2024-12-03,11:17:58.416000</t>
  </si>
  <si>
    <t>11,card,30.86,Americano with Milk,Morning,Tue,Dec,2,12,2024-12-03,11:42:07.580000</t>
  </si>
  <si>
    <t>11,card,30.86,Americano with Milk,Morning,Tue,Dec,2,12,2024-12-03,11:43:15.634000</t>
  </si>
  <si>
    <t>11,card,30.86,Americano with Milk,Morning,Tue,Dec,2,12,2024-12-03,11:45:54.433000</t>
  </si>
  <si>
    <t>20,card,35.76,Cocoa,Night,Tue,Dec,2,12,2024-12-03,20:50:55.752000</t>
  </si>
  <si>
    <t>21,card,35.76,Latte,Night,Tue,Dec,2,12,2024-12-03,21:33:16.867000</t>
  </si>
  <si>
    <t>21,card,35.76,Cappuccino,Night,Tue,Dec,2,12,2024-12-03,21:34:13.125000</t>
  </si>
  <si>
    <t>21,card,35.76,Hot Chocolate,Night,Tue,Dec,2,12,2024-12-03,21:35:18.853000</t>
  </si>
  <si>
    <t>22,card,30.86,Americano with Milk,Night,Tue,Dec,2,12,2024-12-03,22:19:13.773000</t>
  </si>
  <si>
    <t>22,card,35.76,Cappuccino,Night,Tue,Dec,2,12,2024-12-03,22:21:42.084000</t>
  </si>
  <si>
    <t>8,card,25.96,Cortado,Morning,Wed,Dec,3,12,2024-12-04,08:32:47.920000</t>
  </si>
  <si>
    <t>8,card,35.76,Latte,Morning,Wed,Dec,3,12,2024-12-04,08:50:30.264000</t>
  </si>
  <si>
    <t>8,card,35.76,Latte,Morning,Wed,Dec,3,12,2024-12-04,08:52:15.008000</t>
  </si>
  <si>
    <t>9,card,25.96,Americano,Morning,Wed,Dec,3,12,2024-12-04,09:04:14.145000</t>
  </si>
  <si>
    <t>10,card,30.86,Americano with Milk,Morning,Wed,Dec,3,12,2024-12-04,10:23:01.388000</t>
  </si>
  <si>
    <t>10,card,30.86,Americano with Milk,Morning,Wed,Dec,3,12,2024-12-04,10:24:07.990000</t>
  </si>
  <si>
    <t>10,card,30.86,Americano with Milk,Morning,Wed,Dec,3,12,2024-12-04,10:26:57.751000</t>
  </si>
  <si>
    <t>10,card,35.76,Hot Chocolate,Morning,Wed,Dec,3,12,2024-12-04,10:29:47.597000</t>
  </si>
  <si>
    <t>11,card,30.86,Americano with Milk,Morning,Wed,Dec,3,12,2024-12-04,11:45:57.723000</t>
  </si>
  <si>
    <t>14,card,35.76,Hot Chocolate,Afternoon,Wed,Dec,3,12,2024-12-04,14:33:54.707000</t>
  </si>
  <si>
    <t>8,card,25.96,Americano,Morning,Thu,Dec,4,12,2024-12-05,08:53:48.287000</t>
  </si>
  <si>
    <t>9,card,25.96,Cortado,Morning,Thu,Dec,4,12,2024-12-05,09:20:28.835000</t>
  </si>
  <si>
    <t>10,card,30.86,Americano with Milk,Morning,Thu,Dec,4,12,2024-12-05,10:02:51.253000</t>
  </si>
  <si>
    <t>10,card,30.86,Americano with Milk,Morning,Thu,Dec,4,12,2024-12-05,10:05:05.538000</t>
  </si>
  <si>
    <t>11,card,35.76,Latte,Morning,Thu,Dec,4,12,2024-12-05,11:31:58.259000</t>
  </si>
  <si>
    <t>11,card,25.96,Americano,Morning,Thu,Dec,4,12,2024-12-05,11:50:44.557000</t>
  </si>
  <si>
    <t>14,card,35.76,Cappuccino,Afternoon,Thu,Dec,4,12,2024-12-05,14:30:58.342000</t>
  </si>
  <si>
    <t>15,card,35.76,Latte,Afternoon,Thu,Dec,4,12,2024-12-05,15:21:19.466000</t>
  </si>
  <si>
    <t>16,card,35.76,Latte,Afternoon,Thu,Dec,4,12,2024-12-05,16:02:10.015000</t>
  </si>
  <si>
    <t>11,card,35.76,Latte,Morning,Fri,Dec,5,12,2024-12-06,11:42:18.498000</t>
  </si>
  <si>
    <t>16,card,35.76,Hot Chocolate,Afternoon,Fri,Dec,5,12,2024-12-06,16:31:58.025000</t>
  </si>
  <si>
    <t>22,card,35.76,Latte,Night,Fri,Dec,5,12,2024-12-06,22:30:33.276000</t>
  </si>
  <si>
    <t>22,card,35.76,Hot Chocolate,Night,Fri,Dec,5,12,2024-12-06,22:31:30.002000</t>
  </si>
  <si>
    <t>11,card,30.86,Americano with Milk,Morning,Sat,Dec,6,12,2024-12-07,11:17:10.143000</t>
  </si>
  <si>
    <t>14,card,25.96,Americano,Afternoon,Sat,Dec,6,12,2024-12-07,14:16:42.893000</t>
  </si>
  <si>
    <t>15,card,35.76,Latte,Afternoon,Sat,Dec,6,12,2024-12-07,15:44:04.861000</t>
  </si>
  <si>
    <t>19,card,35.76,Cappuccino,Night,Sat,Dec,6,12,2024-12-07,19:11:13.492000</t>
  </si>
  <si>
    <t>22,card,30.86,Americano with Milk,Night,Sat,Dec,6,12,2024-12-07,22:00:09.994000</t>
  </si>
  <si>
    <t>22,card,25.96,Americano,Night,Sat,Dec,6,12,2024-12-07,22:28:17.088000</t>
  </si>
  <si>
    <t>8,card,25.96,Cortado,Morning,Sun,Dec,7,12,2024-12-08,08:29:25.273000</t>
  </si>
  <si>
    <t>10,card,35.76,Latte,Morning,Sun,Dec,7,12,2024-12-08,10:42:38.160000</t>
  </si>
  <si>
    <t>10,card,35.76,Cappuccino,Morning,Sun,Dec,7,12,2024-12-08,10:43:42.726000</t>
  </si>
  <si>
    <t>12,card,25.96,Cortado,Afternoon,Sun,Dec,7,12,2024-12-08,12:51:40.875000</t>
  </si>
  <si>
    <t>13,card,30.86,Americano with Milk,Afternoon,Sun,Dec,7,12,2024-12-08,13:02:36.202000</t>
  </si>
  <si>
    <t>13,card,30.86,Americano with Milk,Afternoon,Sun,Dec,7,12,2024-12-08,13:03:38.720000</t>
  </si>
  <si>
    <t>17,card,35.76,Cappuccino,Night,Sun,Dec,7,12,2024-12-08,17:26:29.292000</t>
  </si>
  <si>
    <t>18,card,21.06,Espresso,Night,Sun,Dec,7,12,2024-12-08,18:41:48.753000</t>
  </si>
  <si>
    <t>20,card,35.76,Cappuccino,Night,Sun,Dec,7,12,2024-12-08,20:47:18.935000</t>
  </si>
  <si>
    <t>21,card,30.86,Americano with Milk,Night,Sun,Dec,7,12,2024-12-08,21:28:30.079000</t>
  </si>
  <si>
    <t>21,card,30.86,Americano with Milk,Night,Sun,Dec,7,12,2024-12-08,21:41:23.523000</t>
  </si>
  <si>
    <t>8,card,35.76,Cappuccino,Morning,Mon,Dec,1,12,2024-12-09,08:32:40.810000</t>
  </si>
  <si>
    <t>9,card,25.96,Americano,Morning,Mon,Dec,1,12,2024-12-09,09:12:25.172000</t>
  </si>
  <si>
    <t>9,card,30.86,Americano with Milk,Morning,Mon,Dec,1,12,2024-12-09,09:33:57.417000</t>
  </si>
  <si>
    <t>13,card,25.96,Cortado,Afternoon,Mon,Dec,1,12,2024-12-09,13:00:54.913000</t>
  </si>
  <si>
    <t>21,card,35.76,Cocoa,Night,Mon,Dec,1,12,2024-12-09,21:21:51.269000</t>
  </si>
  <si>
    <t>12,card,25.96,Cortado,Afternoon,Tue,Dec,2,12,2024-12-10,12:25:49.755000</t>
  </si>
  <si>
    <t>18,card,35.76,Hot Chocolate,Night,Tue,Dec,2,12,2024-12-10,18:21:57.841000</t>
  </si>
  <si>
    <t>7,card,35.76,Latte,Morning,Wed,Dec,3,12,2024-12-11,07:49:45.989000</t>
  </si>
  <si>
    <t>10,card,25.96,Cortado,Morning,Wed,Dec,3,12,2024-12-11,10:45:47.919000</t>
  </si>
  <si>
    <t>12,card,35.76,Hot Chocolate,Afternoon,Wed,Dec,3,12,2024-12-11,12:13:06.273000</t>
  </si>
  <si>
    <t>12,card,21.06,Espresso,Afternoon,Wed,Dec,3,12,2024-12-11,12:56:47.765000</t>
  </si>
  <si>
    <t>17,card,35.76,Cocoa,Night,Wed,Dec,3,12,2024-12-11,17:59:25.455000</t>
  </si>
  <si>
    <t>21,card,35.76,Latte,Night,Wed,Dec,3,12,2024-12-11,21:01:07.579000</t>
  </si>
  <si>
    <t>21,card,35.76,Latte,Night,Wed,Dec,3,12,2024-12-11,21:18:17.192000</t>
  </si>
  <si>
    <t>7,card,30.86,Americano with Milk,Morning,Thu,Dec,4,12,2024-12-12,07:58:31.186000</t>
  </si>
  <si>
    <t>12,card,25.96,Americano,Afternoon,Thu,Dec,4,12,2024-12-12,12:49:23.672000</t>
  </si>
  <si>
    <t>16,card,21.06,Espresso,Afternoon,Thu,Dec,4,12,2024-12-12,16:55:02.108000</t>
  </si>
  <si>
    <t>16,card,21.06,Espresso,Afternoon,Thu,Dec,4,12,2024-12-12,16:55:49.129000</t>
  </si>
  <si>
    <t>16,card,25.96,Americano,Afternoon,Thu,Dec,4,12,2024-12-12,16:57:01.116000</t>
  </si>
  <si>
    <t>19,card,35.76,Cocoa,Night,Thu,Dec,4,12,2024-12-12,19:50:00.934000</t>
  </si>
  <si>
    <t>19,card,35.76,Cocoa,Night,Thu,Dec,4,12,2024-12-12,19:50:57.734000</t>
  </si>
  <si>
    <t>12,card,25.96,Americano,Afternoon,Fri,Dec,5,12,2024-12-13,12:27:25.453000</t>
  </si>
  <si>
    <t>12,card,25.96,Americano,Afternoon,Fri,Dec,5,12,2024-12-13,12:53:05.572000</t>
  </si>
  <si>
    <t>12,card,35.76,Hot Chocolate,Afternoon,Fri,Dec,5,12,2024-12-13,12:54:40.166000</t>
  </si>
  <si>
    <t>14,card,35.76,Hot Chocolate,Afternoon,Fri,Dec,5,12,2024-12-13,14:01:58.063000</t>
  </si>
  <si>
    <t>16,card,35.76,Cocoa,Afternoon,Fri,Dec,5,12,2024-12-13,16:23:23.898000</t>
  </si>
  <si>
    <t>19,card,35.76,Cappuccino,Night,Fri,Dec,5,12,2024-12-13,19:19:03.811000</t>
  </si>
  <si>
    <t>19,card,35.76,Cappuccino,Night,Fri,Dec,5,12,2024-12-13,19:20:10.119000</t>
  </si>
  <si>
    <t>21,card,35.76,Latte,Night,Fri,Dec,5,12,2024-12-13,21:35:41.955000</t>
  </si>
  <si>
    <t>8,card,30.86,Americano with Milk,Morning,Sat,Dec,6,12,2024-12-14,08:27:32.054000</t>
  </si>
  <si>
    <t>9,card,35.76,Cocoa,Morning,Sat,Dec,6,12,2024-12-14,09:03:05.572000</t>
  </si>
  <si>
    <t>11,card,35.76,Cappuccino,Morning,Sat,Dec,6,12,2024-12-14,11:41:57.820000</t>
  </si>
  <si>
    <t>13,card,25.96,Americano,Afternoon,Sat,Dec,6,12,2024-12-14,13:19:07.033000</t>
  </si>
  <si>
    <t>13,card,35.76,Latte,Afternoon,Sat,Dec,6,12,2024-12-14,13:20:08.603000</t>
  </si>
  <si>
    <t>16,card,35.76,Cocoa,Afternoon,Sat,Dec,6,12,2024-12-14,16:10:29.983000</t>
  </si>
  <si>
    <t>16,card,25.96,Americano,Afternoon,Sat,Dec,6,12,2024-12-14,16:29:58.935000</t>
  </si>
  <si>
    <t>16,card,25.96,Americano,Afternoon,Sat,Dec,6,12,2024-12-14,16:30:49.780000</t>
  </si>
  <si>
    <t>17,card,25.96,Americano,Night,Sat,Dec,6,12,2024-12-14,17:00:15.899000</t>
  </si>
  <si>
    <t>17,card,25.96,Americano,Night,Sat,Dec,6,12,2024-12-14,17:01:29.185000</t>
  </si>
  <si>
    <t>18,card,30.86,Americano with Milk,Night,Sat,Dec,6,12,2024-12-14,18:23:44.156000</t>
  </si>
  <si>
    <t>11,card,35.76,Latte,Morning,Sun,Dec,7,12,2024-12-15,11:09:24.807000</t>
  </si>
  <si>
    <t>11,card,35.76,Cocoa,Morning,Sun,Dec,7,12,2024-12-15,11:10:25.693000</t>
  </si>
  <si>
    <t>17,card,35.76,Hot Chocolate,Night,Sun,Dec,7,12,2024-12-15,17:58:05.386000</t>
  </si>
  <si>
    <t>7,card,35.76,Latte,Morning,Mon,Dec,1,12,2024-12-16,07:52:18.379000</t>
  </si>
  <si>
    <t>8,card,35.76,Hot Chocolate,Morning,Mon,Dec,1,12,2024-12-16,08:03:31.099000</t>
  </si>
  <si>
    <t>8,card,35.76,Cocoa,Morning,Mon,Dec,1,12,2024-12-16,08:46:53.826000</t>
  </si>
  <si>
    <t>12,card,30.86,Americano with Milk,Afternoon,Mon,Dec,1,12,2024-12-16,12:19:08.131000</t>
  </si>
  <si>
    <t>13,card,35.76,Latte,Afternoon,Mon,Dec,1,12,2024-12-16,13:08:52.577000</t>
  </si>
  <si>
    <t>14,card,35.76,Hot Chocolate,Afternoon,Mon,Dec,1,12,2024-12-16,14:13:18.149000</t>
  </si>
  <si>
    <t>18,card,35.76,Latte,Night,Mon,Dec,1,12,2024-12-16,18:23:07.045000</t>
  </si>
  <si>
    <t>18,card,30.86,Americano with Milk,Night,Mon,Dec,1,12,2024-12-16,18:24:01.414000</t>
  </si>
  <si>
    <t>8,card,25.96,Cortado,Morning,Tue,Dec,2,12,2024-12-17,08:48:18.158000</t>
  </si>
  <si>
    <t>8,card,35.76,Cappuccino,Morning,Tue,Dec,2,12,2024-12-17,08:52:32.631000</t>
  </si>
  <si>
    <t>10,card,30.86,Americano with Milk,Morning,Tue,Dec,2,12,2024-12-17,10:49:05.535000</t>
  </si>
  <si>
    <t>16,card,25.96,Americano,Afternoon,Tue,Dec,2,12,2024-12-17,16:22:35.059000</t>
  </si>
  <si>
    <t>16,card,35.76,Cocoa,Afternoon,Tue,Dec,2,12,2024-12-17,16:23:36.605000</t>
  </si>
  <si>
    <t>17,card,35.76,Cappuccino,Night,Tue,Dec,2,12,2024-12-17,17:14:22.065000</t>
  </si>
  <si>
    <t>18,card,35.76,Cocoa,Night,Tue,Dec,2,12,2024-12-17,18:54:57.302000</t>
  </si>
  <si>
    <t>9,card,35.76,Latte,Morning,Wed,Dec,3,12,2024-12-18,09:30:28.285000</t>
  </si>
  <si>
    <t>10,card,30.86,Americano with Milk,Morning,Wed,Dec,3,12,2024-12-18,10:01:21.491000</t>
  </si>
  <si>
    <t>10,card,35.76,Latte,Morning,Wed,Dec,3,12,2024-12-18,10:03:02.068000</t>
  </si>
  <si>
    <t>10,card,35.76,Cappuccino,Morning,Wed,Dec,3,12,2024-12-18,10:04:03.380000</t>
  </si>
  <si>
    <t>10,card,35.76,Hot Chocolate,Morning,Thu,Dec,4,12,2024-12-19,10:12:11.185000</t>
  </si>
  <si>
    <t>11,card,30.86,Americano with Milk,Morning,Thu,Dec,4,12,2024-12-19,11:25:43.942000</t>
  </si>
  <si>
    <t>12,card,21.06,Espresso,Afternoon,Thu,Dec,4,12,2024-12-19,12:10:52.329000</t>
  </si>
  <si>
    <t>13,card,35.76,Hot Chocolate,Afternoon,Thu,Dec,4,12,2024-12-19,13:38:56.787000</t>
  </si>
  <si>
    <t>19,card,35.76,Cappuccino,Night,Thu,Dec,4,12,2024-12-19,19:00:56.263000</t>
  </si>
  <si>
    <t>19,card,35.76,Cappuccino,Night,Thu,Dec,4,12,2024-12-19,19:10:40.561000</t>
  </si>
  <si>
    <t>19,card,30.86,Americano with Milk,Night,Thu,Dec,4,12,2024-12-19,19:48:18.022000</t>
  </si>
  <si>
    <t>19,card,35.76,Hot Chocolate,Night,Thu,Dec,4,12,2024-12-19,19:49:42.574000</t>
  </si>
  <si>
    <t>21,card,35.76,Latte,Night,Thu,Dec,4,12,2024-12-19,21:08:11.811000</t>
  </si>
  <si>
    <t>21,card,35.76,Cappuccino,Night,Thu,Dec,4,12,2024-12-19,21:09:15.719000</t>
  </si>
  <si>
    <t>8,card,25.96,Cortado,Morning,Fri,Dec,5,12,2024-12-20,08:14:51.955000</t>
  </si>
  <si>
    <t>9,card,30.86,Americano with Milk,Morning,Fri,Dec,5,12,2024-12-20,09:39:29.862000</t>
  </si>
  <si>
    <t>10,card,35.76,Cappuccino,Morning,Fri,Dec,5,12,2024-12-20,10:12:42.831000</t>
  </si>
  <si>
    <t>10,card,25.96,Cortado,Morning,Fri,Dec,5,12,2024-12-20,10:55:29.127000</t>
  </si>
  <si>
    <t>12,card,21.06,Espresso,Afternoon,Fri,Dec,5,12,2024-12-20,12:21:17.233000</t>
  </si>
  <si>
    <t>12,card,30.86,Americano with Milk,Afternoon,Fri,Dec,5,12,2024-12-20,12:22:49.372000</t>
  </si>
  <si>
    <t>14,card,25.96,Cortado,Afternoon,Fri,Dec,5,12,2024-12-20,14:58:20.349000</t>
  </si>
  <si>
    <t>18,card,35.76,Cappuccino,Night,Fri,Dec,5,12,2024-12-20,18:28:22.151000</t>
  </si>
  <si>
    <t>18,card,35.76,Cappuccino,Night,Fri,Dec,5,12,2024-12-20,18:57:13.326000</t>
  </si>
  <si>
    <t>10,card,35.76,Cappuccino,Morning,Sat,Dec,6,12,2024-12-21,10:19:23.875000</t>
  </si>
  <si>
    <t>10,card,35.76,Latte,Morning,Sat,Dec,6,12,2024-12-21,10:20:41.106000</t>
  </si>
  <si>
    <t>10,card,25.96,Americano,Morning,Sat,Dec,6,12,2024-12-21,10:32:02.796000</t>
  </si>
  <si>
    <t>15,card,35.76,Hot Chocolate,Afternoon,Sat,Dec,6,12,2024-12-21,15:33:03.629000</t>
  </si>
  <si>
    <t>15,card,35.76,Latte,Afternoon,Sat,Dec,6,12,2024-12-21,15:33:49.614000</t>
  </si>
  <si>
    <t>15,card,30.86,Americano with Milk,Afternoon,Sat,Dec,6,12,2024-12-21,15:35:29.373000</t>
  </si>
  <si>
    <t>15,card,35.76,Latte,Afternoon,Sat,Dec,6,12,2024-12-21,15:58:07.022000</t>
  </si>
  <si>
    <t>17,card,35.76,Cocoa,Night,Sat,Dec,6,12,2024-12-21,17:47:27.852000</t>
  </si>
  <si>
    <t>18,card,35.76,Hot Chocolate,Night,Sat,Dec,6,12,2024-12-21,18:02:36.869000</t>
  </si>
  <si>
    <t>18,card,25.96,Cortado,Night,Sat,Dec,6,12,2024-12-21,18:08:17.169000</t>
  </si>
  <si>
    <t>19,card,30.86,Americano with Milk,Night,Sat,Dec,6,12,2024-12-21,19:48:13.454000</t>
  </si>
  <si>
    <t>19,card,25.96,Cortado,Night,Sat,Dec,6,12,2024-12-21,19:49:45.769000</t>
  </si>
  <si>
    <t>21,card,25.96,Cortado,Night,Sat,Dec,6,12,2024-12-21,21:49:47.313000</t>
  </si>
  <si>
    <t>21,card,35.76,Latte,Night,Sat,Dec,6,12,2024-12-21,21:58:48.754000</t>
  </si>
  <si>
    <t>22,card,25.96,Cortado,Night,Sat,Dec,6,12,2024-12-21,22:16:14.139000</t>
  </si>
  <si>
    <t>10,card,35.76,Cappuccino,Morning,Sun,Dec,7,12,2024-12-22,10:42:56.126000</t>
  </si>
  <si>
    <t>18,card,35.76,Cappuccino,Night,Sun,Dec,7,12,2024-12-22,18:55:44.510000</t>
  </si>
  <si>
    <t>19,card,35.76,Hot Chocolate,Night,Sun,Dec,7,12,2024-12-22,19:35:45.848000</t>
  </si>
  <si>
    <t>19,card,35.76,Hot Chocolate,Night,Sun,Dec,7,12,2024-12-22,19:36:29.863000</t>
  </si>
  <si>
    <t>20,card,35.76,Hot Chocolate,Night,Sun,Dec,7,12,2024-12-22,20:26:36.732000</t>
  </si>
  <si>
    <t>21,card,35.76,Cocoa,Night,Sun,Dec,7,12,2024-12-22,21:55:18.754000</t>
  </si>
  <si>
    <t>21,card,25.96,Cortado,Night,Sun,Dec,7,12,2024-12-22,21:56:56.296000</t>
  </si>
  <si>
    <t>9,card,25.96,Cortado,Morning,Mon,Dec,1,12,2024-12-23,09:03:21.025000</t>
  </si>
  <si>
    <t>9,card,30.86,Americano with Milk,Morning,Mon,Dec,1,12,2024-12-23,09:22:17.895000</t>
  </si>
  <si>
    <t>10,card,30.86,Americano with Milk,Morning,Mon,Dec,1,12,2024-12-23,10:42:03.416000</t>
  </si>
  <si>
    <t>11,card,35.76,Cappuccino,Morning,Mon,Dec,1,12,2024-12-23,11:35:54.428000</t>
  </si>
  <si>
    <t>14,card,35.76,Latte,Afternoon,Mon,Dec,1,12,2024-12-23,14:05:31.735000</t>
  </si>
  <si>
    <t>15,card,30.86,Americano with Milk,Afternoon,Mon,Dec,1,12,2024-12-23,15:00:23.679000</t>
  </si>
  <si>
    <t>16,card,35.76,Latte,Afternoon,Mon,Dec,1,12,2024-12-23,16:14:50.443000</t>
  </si>
  <si>
    <t>17,card,25.96,Cortado,Night,Mon,Dec,1,12,2024-12-23,17:21:20.495000</t>
  </si>
  <si>
    <t>17,card,35.76,Latte,Night,Mon,Dec,1,12,2024-12-23,17:22:40.297000</t>
  </si>
  <si>
    <t>20,card,25.96,Cortado,Night,Mon,Dec,1,12,2024-12-23,20:46:07.226000</t>
  </si>
  <si>
    <t>15,card,30.86,Americano with Milk,Afternoon,Tue,Dec,2,12,2024-12-24,15:10:43.421000</t>
  </si>
  <si>
    <t>16,card,35.76,Hot Chocolate,Afternoon,Tue,Dec,2,12,2024-12-24,16:08:38.130000</t>
  </si>
  <si>
    <t>17,card,25.96,Cortado,Night,Tue,Dec,2,12,2024-12-24,17:55:28.559000</t>
  </si>
  <si>
    <t>19,card,35.76,Hot Chocolate,Night,Tue,Dec,2,12,2024-12-24,19:10:36.272000</t>
  </si>
  <si>
    <t>19,card,35.76,Latte,Night,Tue,Dec,2,12,2024-12-24,19:11:36.864000</t>
  </si>
  <si>
    <t>19,card,21.06,Espresso,Night,Tue,Dec,2,12,2024-12-24,19:12:34.982000</t>
  </si>
  <si>
    <t>19,card,35.76,Cappuccino,Night,Tue,Dec,2,12,2024-12-24,19:36:02.332000</t>
  </si>
  <si>
    <t>10,card,35.76,Latte,Morning,Wed,Dec,3,12,2024-12-25,10:43:56.819000</t>
  </si>
  <si>
    <t>10,card,35.76,Latte,Morning,Wed,Dec,3,12,2024-12-25,10:45:02.380000</t>
  </si>
  <si>
    <t>12,card,30.86,Americano with Milk,Afternoon,Wed,Dec,3,12,2024-12-25,12:35:03.285000</t>
  </si>
  <si>
    <t>12,card,25.96,Americano,Afternoon,Wed,Dec,3,12,2024-12-25,12:36:00.079000</t>
  </si>
  <si>
    <t>13,card,30.86,Americano with Milk,Afternoon,Wed,Dec,3,12,2024-12-25,13:17:11.399000</t>
  </si>
  <si>
    <t>13,card,25.96,Americano,Afternoon,Wed,Dec,3,12,2024-12-25,13:32:47.545000</t>
  </si>
  <si>
    <t>20,card,35.76,Cappuccino,Night,Wed,Dec,3,12,2024-12-25,20:02:40.331000</t>
  </si>
  <si>
    <t>21,card,35.76,Cocoa,Night,Wed,Dec,3,12,2024-12-25,21:18:49.844000</t>
  </si>
  <si>
    <t>21,card,35.76,Cocoa,Night,Wed,Dec,3,12,2024-12-25,21:19:42.093000</t>
  </si>
  <si>
    <t>21,card,35.76,Latte,Night,Wed,Dec,3,12,2024-12-25,21:57:30.270000</t>
  </si>
  <si>
    <t>22,card,35.76,Cappuccino,Night,Wed,Dec,3,12,2024-12-25,22:51:02.901000</t>
  </si>
  <si>
    <t>22,card,30.86,Americano with Milk,Night,Wed,Dec,3,12,2024-12-25,22:53:06.426000</t>
  </si>
  <si>
    <t>13,card,35.76,Cappuccino,Afternoon,Thu,Dec,4,12,2024-12-26,13:12:37.940000</t>
  </si>
  <si>
    <t>15,card,21.06,Espresso,Afternoon,Thu,Dec,4,12,2024-12-26,15:04:34.471000</t>
  </si>
  <si>
    <t>7,card,25.96,Americano,Morning,Fri,Dec,5,12,2024-12-27,07:50:20.711000</t>
  </si>
  <si>
    <t>8,card,25.96,Cortado,Morning,Fri,Dec,5,12,2024-12-27,08:57:38.912000</t>
  </si>
  <si>
    <t>9,card,25.96,Cortado,Morning,Fri,Dec,5,12,2024-12-27,09:09:55.226000</t>
  </si>
  <si>
    <t>10,card,30.86,Americano with Milk,Morning,Fri,Dec,5,12,2024-12-27,10:12:53.425000</t>
  </si>
  <si>
    <t>17,card,35.76,Latte,Night,Fri,Dec,5,12,2024-12-27,17:12:04.641000</t>
  </si>
  <si>
    <t>19,card,25.96,Americano,Night,Fri,Dec,5,12,2024-12-27,19:47:27.855000</t>
  </si>
  <si>
    <t>19,card,30.86,Americano with Milk,Night,Fri,Dec,5,12,2024-12-27,19:48:21.643000</t>
  </si>
  <si>
    <t>22,card,35.76,Cocoa,Night,Fri,Dec,5,12,2024-12-27,22:54:32.893000</t>
  </si>
  <si>
    <t>9,card,25.96,Cortado,Morning,Sat,Dec,6,12,2024-12-28,09:00:23.465000</t>
  </si>
  <si>
    <t>9,card,25.96,Cortado,Morning,Sat,Dec,6,12,2024-12-28,09:50:37.949000</t>
  </si>
  <si>
    <t>10,card,30.86,Americano with Milk,Morning,Sat,Dec,6,12,2024-12-28,10:18:44.226000</t>
  </si>
  <si>
    <t>10,card,35.76,Latte,Morning,Sat,Dec,6,12,2024-12-28,10:52:03.125000</t>
  </si>
  <si>
    <t>14,card,35.76,Cappuccino,Afternoon,Sat,Dec,6,12,2024-12-28,14:10:01.286000</t>
  </si>
  <si>
    <t>14,card,35.76,Hot Chocolate,Afternoon,Sat,Dec,6,12,2024-12-28,14:13:17.359000</t>
  </si>
  <si>
    <t>17,card,35.76,Latte,Night,Sat,Dec,6,12,2024-12-28,17:23:40.272000</t>
  </si>
  <si>
    <t>22,card,35.76,Cappuccino,Night,Sat,Dec,6,12,2024-12-28,22:11:01.821000</t>
  </si>
  <si>
    <t>13,card,25.96,Cortado,Afternoon,Sun,Dec,7,12,2024-12-29,13:46:16.437000</t>
  </si>
  <si>
    <t>15,card,21.06,Espresso,Afternoon,Sun,Dec,7,12,2024-12-29,15:04:26.632000</t>
  </si>
  <si>
    <t>15,card,25.96,Americano,Afternoon,Sun,Dec,7,12,2024-12-29,15:05:16.323000</t>
  </si>
  <si>
    <t>17,card,25.96,Cortado,Night,Sun,Dec,7,12,2024-12-29,17:30:04.513000</t>
  </si>
  <si>
    <t>17,card,21.06,Espresso,Night,Sun,Dec,7,12,2024-12-29,17:31:46.702000</t>
  </si>
  <si>
    <t>19,card,25.96,Cortado,Night,Sun,Dec,7,12,2024-12-29,19:47:43.744000</t>
  </si>
  <si>
    <t>20,card,35.76,Hot Chocolate,Night,Sun,Dec,7,12,2024-12-29,20:25:54.231000</t>
  </si>
  <si>
    <t>21,card,35.76,Latte,Night,Sun,Dec,7,12,2024-12-29,21:17:19.330000</t>
  </si>
  <si>
    <t>9,card,25.96,Cortado,Morning,Mon,Dec,1,12,2024-12-30,09:02:44.282000</t>
  </si>
  <si>
    <t>9,card,30.86,Americano with Milk,Morning,Mon,Dec,1,12,2024-12-30,09:44:11.963000</t>
  </si>
  <si>
    <t>13,card,35.76,Latte,Afternoon,Mon,Dec,1,12,2024-12-30,13:52:31.356000</t>
  </si>
  <si>
    <t>13,card,35.76,Hot Chocolate,Afternoon,Mon,Dec,1,12,2024-12-30,13:53:39.253000</t>
  </si>
  <si>
    <t>15,card,35.76,Latte,Afternoon,Mon,Dec,1,12,2024-12-30,15:12:45.043000</t>
  </si>
  <si>
    <t>15,card,30.86,Americano with Milk,Afternoon,Mon,Dec,1,12,2024-12-30,15:13:38.691000</t>
  </si>
  <si>
    <t>16,card,30.86,Americano with Milk,Afternoon,Mon,Dec,1,12,2024-12-30,16:29:53.883000</t>
  </si>
  <si>
    <t>16,card,25.96,Americano,Afternoon,Mon,Dec,1,12,2024-12-30,16:31:28.727000</t>
  </si>
  <si>
    <t>16,card,35.76,Cappuccino,Afternoon,Mon,Dec,1,12,2024-12-30,16:36:45.551000</t>
  </si>
  <si>
    <t>8,card,25.96,Cortado,Morning,Tue,Dec,2,12,2024-12-31,08:52:28.681000</t>
  </si>
  <si>
    <t>9,card,35.76,Cappuccino,Morning,Tue,Dec,2,12,2024-12-31,09:36:50.011000</t>
  </si>
  <si>
    <t>9,card,25.96,Cortado,Morning,Tue,Dec,2,12,2024-12-31,09:39:41.472000</t>
  </si>
  <si>
    <t>9,card,35.76,Cocoa,Morning,Tue,Dec,2,12,2024-12-31,09:45:28.525000</t>
  </si>
  <si>
    <t>10,card,30.86,Americano with Milk,Morning,Tue,Dec,2,12,2024-12-31,10:26:52.972000</t>
  </si>
  <si>
    <t>10,card,30.86,Americano with Milk,Morning,Tue,Dec,2,12,2024-12-31,10:29:28.211000</t>
  </si>
  <si>
    <t>11,card,35.76,Cappuccino,Morning,Tue,Dec,2,12,2024-12-31,11:11:30.768000</t>
  </si>
  <si>
    <t>11,card,30.86,Americano with Milk,Morning,Tue,Dec,2,12,2024-12-31,11:12:42.053000</t>
  </si>
  <si>
    <t>15,card,21.06,Espresso,Afternoon,Tue,Dec,2,12,2024-12-31,15:42:14.093000</t>
  </si>
  <si>
    <t>15,card,25.96,Americano,Afternoon,Tue,Dec,2,12,2024-12-31,15:43:13.300000</t>
  </si>
  <si>
    <t>16,card,35.76,Cappuccino,Afternoon,Tue,Dec,2,12,2024-12-31,16:07:18.883000</t>
  </si>
  <si>
    <t>17,card,35.76,Latte,Night,Tue,Dec,2,12,2024-12-31,17:10:17.537000</t>
  </si>
  <si>
    <t>17,card,30.86,Americano with Milk,Night,Tue,Dec,2,12,2024-12-31,17:30:52.785000</t>
  </si>
  <si>
    <t>17,card,35.76,Cappuccino,Night,Tue,Dec,2,12,2024-12-31,17:31:48.543000</t>
  </si>
  <si>
    <t>19,card,35.76,Latte,Night,Tue,Dec,2,12,2024-12-31,19:07:25.413000</t>
  </si>
  <si>
    <t>19,card,35.76,Hot Chocolate,Night,Tue,Dec,2,12,2024-12-31,19:08:38.899000</t>
  </si>
  <si>
    <t>9,card,30.86,Americano with Milk,Morning,Thu,Jan,4,1,2025-01-02,09:58:05.335000</t>
  </si>
  <si>
    <t>13,card,35.76,Cocoa,Afternoon,Thu,Jan,4,1,2025-01-02,13:29:40.128000</t>
  </si>
  <si>
    <t>13,card,35.76,Cocoa,Afternoon,Thu,Jan,4,1,2025-01-02,13:30:38.720000</t>
  </si>
  <si>
    <t>14,card,25.96,Cortado,Afternoon,Thu,Jan,4,1,2025-01-02,14:41:10.594000</t>
  </si>
  <si>
    <t>14,card,25.96,Cortado,Afternoon,Thu,Jan,4,1,2025-01-02,14:42:45.847000</t>
  </si>
  <si>
    <t>16,card,25.96,Americano,Afternoon,Thu,Jan,4,1,2025-01-02,16:22:32.387000</t>
  </si>
  <si>
    <t>16,card,35.76,Hot Chocolate,Afternoon,Thu,Jan,4,1,2025-01-02,16:34:59.470000</t>
  </si>
  <si>
    <t>16,card,30.86,Americano with Milk,Afternoon,Thu,Jan,4,1,2025-01-02,16:35:44.285000</t>
  </si>
  <si>
    <t>17,card,35.76,Cappuccino,Night,Thu,Jan,4,1,2025-01-02,17:43:10.175000</t>
  </si>
  <si>
    <t>9,card,25.96,Cortado,Morning,Fri,Jan,5,1,2025-01-03,09:03:22.668000</t>
  </si>
  <si>
    <t>10,card,30.86,Americano with Milk,Morning,Fri,Jan,5,1,2025-01-03,10:10:30.802000</t>
  </si>
  <si>
    <t>16,card,30.86,Americano with Milk,Afternoon,Fri,Jan,5,1,2025-01-03,16:58:09.420000</t>
  </si>
  <si>
    <t>22,card,35.76,Cappuccino,Night,Fri,Jan,5,1,2025-01-03,22:13:28.560000</t>
  </si>
  <si>
    <t>22,card,25.96,Americano,Night,Fri,Jan,5,1,2025-01-03,22:18:20.359000</t>
  </si>
  <si>
    <t>22,card,25.96,Americano,Night,Fri,Jan,5,1,2025-01-03,22:19:14.354000</t>
  </si>
  <si>
    <t>22,card,35.76,Latte,Night,Fri,Jan,5,1,2025-01-03,22:21:25.952000</t>
  </si>
  <si>
    <t>8,card,25.96,Cortado,Morning,Sat,Jan,6,1,2025-01-04,08:58:26.502000</t>
  </si>
  <si>
    <t>9,card,25.96,Americano,Morning,Sat,Jan,6,1,2025-01-04,09:59:27.784000</t>
  </si>
  <si>
    <t>13,card,35.76,Cappuccino,Afternoon,Sat,Jan,6,1,2025-01-04,13:40:00.286000</t>
  </si>
  <si>
    <t>15,card,35.76,Cocoa,Afternoon,Sat,Jan,6,1,2025-01-04,15:59:33.227000</t>
  </si>
  <si>
    <t>16,card,30.86,Americano with Milk,Afternoon,Sat,Jan,6,1,2025-01-04,16:12:55.200000</t>
  </si>
  <si>
    <t>16,card,35.76,Cappuccino,Afternoon,Sat,Jan,6,1,2025-01-04,16:14:10.198000</t>
  </si>
  <si>
    <t>16,card,35.76,Cappuccino,Afternoon,Sat,Jan,6,1,2025-01-04,16:16:11.225000</t>
  </si>
  <si>
    <t>16,card,25.96,Cortado,Afternoon,Sat,Jan,6,1,2025-01-04,16:18:04.079000</t>
  </si>
  <si>
    <t>18,card,25.96,Americano,Night,Sat,Jan,6,1,2025-01-04,18:11:39.258000</t>
  </si>
  <si>
    <t>22,card,35.76,Latte,Night,Sat,Jan,6,1,2025-01-04,22:23:30.720000</t>
  </si>
  <si>
    <t>9,card,30.86,Americano with Milk,Morning,Sun,Jan,7,1,2025-01-05,09:45:57.778000</t>
  </si>
  <si>
    <t>10,card,35.76,Latte,Morning,Sun,Jan,7,1,2025-01-05,10:53:00.842000</t>
  </si>
  <si>
    <t>22,card,30.86,Americano with Milk,Night,Sun,Jan,7,1,2025-01-05,22:07:16.475000</t>
  </si>
  <si>
    <t>19,card,25.96,Americano,Night,Mon,Jan,1,1,2025-01-06,19:58:50.688000</t>
  </si>
  <si>
    <t>13,card,35.76,Cappuccino,Afternoon,Tue,Jan,2,1,2025-01-07,13:29:02.789000</t>
  </si>
  <si>
    <t>22,card,35.76,Cocoa,Night,Tue,Jan,2,1,2025-01-07,22:32:45.085000</t>
  </si>
  <si>
    <t>22,card,35.76,Cocoa,Night,Tue,Jan,2,1,2025-01-07,22:33:58.886000</t>
  </si>
  <si>
    <t>7,card,30.86,Americano with Milk,Morning,Wed,Jan,3,1,2025-01-08,07:30:02.019000</t>
  </si>
  <si>
    <t>9,card,35.76,Latte,Morning,Wed,Jan,3,1,2025-01-08,09:11:15.142000</t>
  </si>
  <si>
    <t>10,card,25.96,Cortado,Morning,Wed,Jan,3,1,2025-01-08,10:30:28.733000</t>
  </si>
  <si>
    <t>17,card,35.76,Cappuccino,Night,Wed,Jan,3,1,2025-01-08,17:22:51.605000</t>
  </si>
  <si>
    <t>8,card,25.96,Americano,Morning,Thu,Jan,4,1,2025-01-09,08:07:07.584000</t>
  </si>
  <si>
    <t>8,card,35.76,Latte,Morning,Thu,Jan,4,1,2025-01-09,08:56:34.735000</t>
  </si>
  <si>
    <t>9,card,30.86,Americano with Milk,Morning,Thu,Jan,4,1,2025-01-09,09:02:31.783000</t>
  </si>
  <si>
    <t>14,card,21.06,Espresso,Afternoon,Thu,Jan,4,1,2025-01-09,14:27:23.682000</t>
  </si>
  <si>
    <t>15,card,35.76,Latte,Afternoon,Thu,Jan,4,1,2025-01-09,15:36:58.679000</t>
  </si>
  <si>
    <t>15,card,30.86,Americano with Milk,Afternoon,Thu,Jan,4,1,2025-01-09,15:48:10.012000</t>
  </si>
  <si>
    <t>15,card,25.96,Cortado,Afternoon,Thu,Jan,4,1,2025-01-09,15:49:11.796000</t>
  </si>
  <si>
    <t>20,card,30.86,Americano with Milk,Night,Thu,Jan,4,1,2025-01-09,20:30:29.072000</t>
  </si>
  <si>
    <t>22,card,35.76,Latte,Night,Thu,Jan,4,1,2025-01-09,22:10:20.697000</t>
  </si>
  <si>
    <t>8,card,30.86,Americano with Milk,Morning,Fri,Jan,5,1,2025-01-10,08:49:20.815000</t>
  </si>
  <si>
    <t>9,card,30.86,Americano with Milk,Morning,Fri,Jan,5,1,2025-01-10,09:16:36.498000</t>
  </si>
  <si>
    <t>17,card,35.76,Cappuccino,Night,Fri,Jan,5,1,2025-01-10,17:51:18.771000</t>
  </si>
  <si>
    <t>17,card,35.76,Hot Chocolate,Night,Fri,Jan,5,1,2025-01-10,17:55:53.357000</t>
  </si>
  <si>
    <t>17,card,30.86,Americano with Milk,Night,Fri,Jan,5,1,2025-01-10,17:59:39.184000</t>
  </si>
  <si>
    <t>7,card,30.86,Americano with Milk,Morning,Sat,Jan,6,1,2025-01-11,07:44:30.450000</t>
  </si>
  <si>
    <t>10,card,35.76,Hot Chocolate,Morning,Sat,Jan,6,1,2025-01-11,10:49:41.291000</t>
  </si>
  <si>
    <t>11,card,25.96,Americano,Morning,Sat,Jan,6,1,2025-01-11,11:13:53.866000</t>
  </si>
  <si>
    <t>11,card,35.76,Latte,Morning,Sat,Jan,6,1,2025-01-11,11:20:17.612000</t>
  </si>
  <si>
    <t>11,card,35.76,Latte,Morning,Sat,Jan,6,1,2025-01-11,11:21:25.566000</t>
  </si>
  <si>
    <t>12,card,35.76,Latte,Afternoon,Sat,Jan,6,1,2025-01-11,12:10:58.739000</t>
  </si>
  <si>
    <t>12,card,35.76,Latte,Afternoon,Sat,Jan,6,1,2025-01-11,12:13:24.784000</t>
  </si>
  <si>
    <t>14,card,30.86,Americano with Milk,Afternoon,Sat,Jan,6,1,2025-01-11,14:12:54.844000</t>
  </si>
  <si>
    <t>14,card,30.86,Americano with Milk,Afternoon,Sat,Jan,6,1,2025-01-11,14:15:38.139000</t>
  </si>
  <si>
    <t>14,card,35.76,Cappuccino,Afternoon,Sat,Jan,6,1,2025-01-11,14:16:43.941000</t>
  </si>
  <si>
    <t>14,card,35.76,Latte,Afternoon,Sat,Jan,6,1,2025-01-11,14:47:02.972000</t>
  </si>
  <si>
    <t>17,card,25.96,Cortado,Night,Sat,Jan,6,1,2025-01-11,17:19:33.968000</t>
  </si>
  <si>
    <t>17,card,35.76,Latte,Night,Sat,Jan,6,1,2025-01-11,17:20:56.780000</t>
  </si>
  <si>
    <t>17,card,25.96,Cortado,Night,Sat,Jan,6,1,2025-01-11,17:22:05.105000</t>
  </si>
  <si>
    <t>18,card,30.86,Americano with Milk,Night,Sat,Jan,6,1,2025-01-11,18:01:28.479000</t>
  </si>
  <si>
    <t>11,card,30.86,Americano with Milk,Morning,Sun,Jan,7,1,2025-01-12,11:45:32.433000</t>
  </si>
  <si>
    <t>11,card,25.96,Americano,Morning,Sun,Jan,7,1,2025-01-12,11:48:18.729000</t>
  </si>
  <si>
    <t>11,card,30.86,Americano with Milk,Morning,Sun,Jan,7,1,2025-01-12,11:49:50.305000</t>
  </si>
  <si>
    <t>16,card,35.76,Hot Chocolate,Afternoon,Sun,Jan,7,1,2025-01-12,16:15:58.843000</t>
  </si>
  <si>
    <t>20,card,30.86,Americano with Milk,Night,Sun,Jan,7,1,2025-01-12,20:56:04.324000</t>
  </si>
  <si>
    <t>8,card,30.86,Americano with Milk,Morning,Mon,Jan,1,1,2025-01-13,08:08:20.273000</t>
  </si>
  <si>
    <t>9,card,30.86,Americano with Milk,Morning,Mon,Jan,1,1,2025-01-13,09:17:19.623000</t>
  </si>
  <si>
    <t>13,card,25.96,Cortado,Afternoon,Mon,Jan,1,1,2025-01-13,13:02:56.645000</t>
  </si>
  <si>
    <t>13,card,35.76,Latte,Afternoon,Mon,Jan,1,1,2025-01-13,13:50:46.648000</t>
  </si>
  <si>
    <t>14,card,35.76,Latte,Afternoon,Mon,Jan,1,1,2025-01-13,14:11:27.333000</t>
  </si>
  <si>
    <t>14,card,35.76,Cappuccino,Afternoon,Mon,Jan,1,1,2025-01-13,14:12:28.340000</t>
  </si>
  <si>
    <t>16,card,35.76,Latte,Afternoon,Mon,Jan,1,1,2025-01-13,16:25:36.343000</t>
  </si>
  <si>
    <t>20,card,21.06,Espresso,Night,Mon,Jan,1,1,2025-01-13,20:51:18.275000</t>
  </si>
  <si>
    <t>7,card,35.76,Latte,Morning,Tue,Jan,2,1,2025-01-14,07:37:42.461000</t>
  </si>
  <si>
    <t>9,card,25.96,Cortado,Morning,Tue,Jan,2,1,2025-01-14,09:53:42.812000</t>
  </si>
  <si>
    <t>10,card,30.86,Americano with Milk,Morning,Tue,Jan,2,1,2025-01-14,10:21:45.603000</t>
  </si>
  <si>
    <t>12,card,35.76,Latte,Afternoon,Tue,Jan,2,1,2025-01-14,12:49:14.351000</t>
  </si>
  <si>
    <t>16,card,30.86,Americano with Milk,Afternoon,Tue,Jan,2,1,2025-01-14,16:18:19.288000</t>
  </si>
  <si>
    <t>16,card,30.86,Americano with Milk,Afternoon,Tue,Jan,2,1,2025-01-14,16:19:26.531000</t>
  </si>
  <si>
    <t>19,card,35.76,Cappuccino,Night,Tue,Jan,2,1,2025-01-14,19:41:55.896000</t>
  </si>
  <si>
    <t>21,card,35.76,Latte,Night,Tue,Jan,2,1,2025-01-14,21:02:35.551000</t>
  </si>
  <si>
    <t>9,card,30.86,Americano with Milk,Morning,Wed,Jan,3,1,2025-01-15,09:12:04.241000</t>
  </si>
  <si>
    <t>11,card,25.96,Americano,Morning,Wed,Jan,3,1,2025-01-15,11:10:23.705000</t>
  </si>
  <si>
    <t>13,card,35.76,Cappuccino,Afternoon,Wed,Jan,3,1,2025-01-15,13:14:14.574000</t>
  </si>
  <si>
    <t>15,card,35.76,Latte,Afternoon,Wed,Jan,3,1,2025-01-15,15:35:21.923000</t>
  </si>
  <si>
    <t>15,card,35.76,Cappuccino,Afternoon,Wed,Jan,3,1,2025-01-15,15:36:47.943000</t>
  </si>
  <si>
    <t>15,card,35.76,Latte,Afternoon,Wed,Jan,3,1,2025-01-15,15:37:55.727000</t>
  </si>
  <si>
    <t>16,card,35.76,Latte,Afternoon,Wed,Jan,3,1,2025-01-15,16:55:26.025000</t>
  </si>
  <si>
    <t>18,card,35.76,Latte,Night,Wed,Jan,3,1,2025-01-15,18:06:12.419000</t>
  </si>
  <si>
    <t>19,card,35.76,Latte,Night,Wed,Jan,3,1,2025-01-15,19:51:14.105000</t>
  </si>
  <si>
    <t>21,card,35.76,Cappuccino,Night,Wed,Jan,3,1,2025-01-15,21:41:14.264000</t>
  </si>
  <si>
    <t>9,card,35.76,Latte,Morning,Thu,Jan,4,1,2025-01-16,09:32:57.684000</t>
  </si>
  <si>
    <t>9,card,30.86,Americano with Milk,Morning,Thu,Jan,4,1,2025-01-16,09:38:09.359000</t>
  </si>
  <si>
    <t>10,card,30.86,Americano with Milk,Morning,Thu,Jan,4,1,2025-01-16,10:41:40.881000</t>
  </si>
  <si>
    <t>12,card,25.96,Cortado,Afternoon,Thu,Jan,4,1,2025-01-16,12:12:16.345000</t>
  </si>
  <si>
    <t>15,card,35.76,Latte,Afternoon,Thu,Jan,4,1,2025-01-16,15:16:19.190000</t>
  </si>
  <si>
    <t>16,card,35.76,Latte,Afternoon,Thu,Jan,4,1,2025-01-16,16:35:11.006000</t>
  </si>
  <si>
    <t>18,card,35.76,Cappuccino,Night,Thu,Jan,4,1,2025-01-16,18:15:57.449000</t>
  </si>
  <si>
    <t>21,card,35.76,Hot Chocolate,Night,Thu,Jan,4,1,2025-01-16,21:15:59.720000</t>
  </si>
  <si>
    <t>21,card,35.76,Hot Chocolate,Night,Thu,Jan,4,1,2025-01-16,21:16:59.177000</t>
  </si>
  <si>
    <t>21,card,25.96,Cortado,Night,Thu,Jan,4,1,2025-01-16,21:40:12.534000</t>
  </si>
  <si>
    <t>7,card,35.76,Cocoa,Morning,Fri,Jan,5,1,2025-01-17,07:38:19.766000</t>
  </si>
  <si>
    <t>8,card,35.76,Latte,Morning,Fri,Jan,5,1,2025-01-17,08:26:20.810000</t>
  </si>
  <si>
    <t>8,card,35.76,Cappuccino,Morning,Fri,Jan,5,1,2025-01-17,08:27:48.372000</t>
  </si>
  <si>
    <t>8,card,30.86,Americano with Milk,Morning,Fri,Jan,5,1,2025-01-17,08:47:56.075000</t>
  </si>
  <si>
    <t>9,card,30.86,Americano with Milk,Morning,Fri,Jan,5,1,2025-01-17,09:27:38.418000</t>
  </si>
  <si>
    <t>14,card,35.76,Cocoa,Afternoon,Fri,Jan,5,1,2025-01-17,14:20:53.972000</t>
  </si>
  <si>
    <t>14,card,35.76,Cocoa,Afternoon,Fri,Jan,5,1,2025-01-17,14:22:02.670000</t>
  </si>
  <si>
    <t>17,card,35.76,Hot Chocolate,Night,Fri,Jan,5,1,2025-01-17,17:39:10.610000</t>
  </si>
  <si>
    <t>21,card,35.76,Hot Chocolate,Night,Fri,Jan,5,1,2025-01-17,21:22:18.959000</t>
  </si>
  <si>
    <t>10,card,30.86,Americano with Milk,Morning,Sat,Jan,6,1,2025-01-18,10:12:38.223000</t>
  </si>
  <si>
    <t>16,card,35.76,Hot Chocolate,Afternoon,Sat,Jan,6,1,2025-01-18,16:33:40.099000</t>
  </si>
  <si>
    <t>16,card,35.76,Latte,Afternoon,Sat,Jan,6,1,2025-01-18,16:35:14.227000</t>
  </si>
  <si>
    <t>16,card,35.76,Hot Chocolate,Afternoon,Sat,Jan,6,1,2025-01-18,16:36:28.970000</t>
  </si>
  <si>
    <t>8,card,30.86,Americano with Milk,Morning,Mon,Jan,1,1,2025-01-20,08:29:47.959000</t>
  </si>
  <si>
    <t>10,card,30.86,Americano with Milk,Morning,Mon,Jan,1,1,2025-01-20,10:57:25.231000</t>
  </si>
  <si>
    <t>11,card,25.96,Cortado,Morning,Mon,Jan,1,1,2025-01-20,11:40:24.031000</t>
  </si>
  <si>
    <t>12,card,25.96,Americano,Afternoon,Mon,Jan,1,1,2025-01-20,12:04:49.880000</t>
  </si>
  <si>
    <t>12,card,25.96,Cortado,Afternoon,Mon,Jan,1,1,2025-01-20,12:06:00.697000</t>
  </si>
  <si>
    <t>13,card,30.86,Americano with Milk,Afternoon,Mon,Jan,1,1,2025-01-20,13:45:14.114000</t>
  </si>
  <si>
    <t>20,card,35.76,Hot Chocolate,Night,Mon,Jan,1,1,2025-01-20,20:08:11.432000</t>
  </si>
  <si>
    <t>20,card,35.76,Cappuccino,Night,Mon,Jan,1,1,2025-01-20,20:26:24.881000</t>
  </si>
  <si>
    <t>20,card,35.76,Cappuccino,Night,Mon,Jan,1,1,2025-01-20,20:27:28.960000</t>
  </si>
  <si>
    <t>21,card,35.76,Latte,Night,Mon,Jan,1,1,2025-01-20,21:13:45.440000</t>
  </si>
  <si>
    <t>8,card,35.76,Cocoa,Morning,Tue,Jan,2,1,2025-01-21,08:05:04.269000</t>
  </si>
  <si>
    <t>8,card,25.96,Cortado,Morning,Tue,Jan,2,1,2025-01-21,08:18:19.291000</t>
  </si>
  <si>
    <t>8,card,30.86,Americano with Milk,Morning,Tue,Jan,2,1,2025-01-21,08:19:28.276000</t>
  </si>
  <si>
    <t>15,card,25.96,Americano,Afternoon,Tue,Jan,2,1,2025-01-21,15:35:16.518000</t>
  </si>
  <si>
    <t>18,card,35.76,Hot Chocolate,Night,Tue,Jan,2,1,2025-01-21,18:32:32.699000</t>
  </si>
  <si>
    <t>18,card,35.76,Latte,Night,Tue,Jan,2,1,2025-01-21,18:54:13.394000</t>
  </si>
  <si>
    <t>18,card,35.76,Latte,Night,Tue,Jan,2,1,2025-01-21,18:56:15.343000</t>
  </si>
  <si>
    <t>19,card,25.96,Americano,Night,Tue,Jan,2,1,2025-01-21,19:15:21.123000</t>
  </si>
  <si>
    <t>11,card,21.06,Espresso,Morning,Wed,Jan,3,1,2025-01-22,11:24:45.856000</t>
  </si>
  <si>
    <t>17,card,30.86,Americano with Milk,Night,Wed,Jan,3,1,2025-01-22,17:32:06.547000</t>
  </si>
  <si>
    <t>18,card,35.76,Cocoa,Night,Wed,Jan,3,1,2025-01-22,18:49:59.374000</t>
  </si>
  <si>
    <t>19,card,30.86,Americano with Milk,Night,Wed,Jan,3,1,2025-01-22,19:10:26.039000</t>
  </si>
  <si>
    <t>19,card,35.76,Cappuccino,Night,Wed,Jan,3,1,2025-01-22,19:11:23.124000</t>
  </si>
  <si>
    <t>19,card,35.76,Latte,Night,Wed,Jan,3,1,2025-01-22,19:29:15.703000</t>
  </si>
  <si>
    <t>20,card,30.86,Americano with Milk,Night,Wed,Jan,3,1,2025-01-22,20:14:30.728000</t>
  </si>
  <si>
    <t>13,card,35.76,Cappuccino,Afternoon,Fri,Jan,5,1,2025-01-24,13:42:16.996000</t>
  </si>
  <si>
    <t>13,card,25.96,Cortado,Afternoon,Fri,Jan,5,1,2025-01-24,13:43:37.585000</t>
  </si>
  <si>
    <t>15,card,35.76,Cocoa,Afternoon,Fri,Jan,5,1,2025-01-24,15:28:38.814000</t>
  </si>
  <si>
    <t>17,card,25.96,Americano,Night,Fri,Jan,5,1,2025-01-24,17:41:49.306000</t>
  </si>
  <si>
    <t>21,card,35.76,Cocoa,Night,Fri,Jan,5,1,2025-01-24,21:16:26.445000</t>
  </si>
  <si>
    <t>22,card,35.76,Hot Chocolate,Night,Fri,Jan,5,1,2025-01-24,22:31:55.575000</t>
  </si>
  <si>
    <t>22,card,35.76,Latte,Night,Fri,Jan,5,1,2025-01-24,22:32:57.911000</t>
  </si>
  <si>
    <t>13,card,35.76,Cappuccino,Afternoon,Sat,Jan,6,1,2025-01-25,13:21:04.187000</t>
  </si>
  <si>
    <t>14,card,35.76,Cappuccino,Afternoon,Sat,Jan,6,1,2025-01-25,14:38:24.586000</t>
  </si>
  <si>
    <t>14,card,25.96,Americano,Afternoon,Sat,Jan,6,1,2025-01-25,14:39:35.084000</t>
  </si>
  <si>
    <t>12,card,25.96,Americano,Afternoon,Sun,Jan,7,1,2025-01-26,12:35:22.994000</t>
  </si>
  <si>
    <t>12,card,21.06,Espresso,Afternoon,Sun,Jan,7,1,2025-01-26,12:36:34.041000</t>
  </si>
  <si>
    <t>8,card,25.96,Cortado,Morning,Mon,Jan,1,1,2025-01-27,08:07:42.406000</t>
  </si>
  <si>
    <t>8,card,25.96,Americano,Morning,Mon,Jan,1,1,2025-01-27,08:32:43.550000</t>
  </si>
  <si>
    <t>12,card,35.76,Cappuccino,Afternoon,Mon,Jan,1,1,2025-01-27,12:05:02.366000</t>
  </si>
  <si>
    <t>13,card,30.86,Americano with Milk,Afternoon,Mon,Jan,1,1,2025-01-27,13:45:08.764000</t>
  </si>
  <si>
    <t>15,card,30.86,Americano with Milk,Afternoon,Mon,Jan,1,1,2025-01-27,15:27:54.111000</t>
  </si>
  <si>
    <t>15,card,25.96,Cortado,Afternoon,Mon,Jan,1,1,2025-01-27,15:29:00.863000</t>
  </si>
  <si>
    <t>15,card,30.86,Americano with Milk,Afternoon,Mon,Jan,1,1,2025-01-27,15:30:12.668000</t>
  </si>
  <si>
    <t>18,card,35.76,Latte,Night,Mon,Jan,1,1,2025-01-27,18:55:19.339000</t>
  </si>
  <si>
    <t>19,card,35.76,Latte,Night,Mon,Jan,1,1,2025-01-27,19:02:40.325000</t>
  </si>
  <si>
    <t>19,card,35.76,Latte,Night,Mon,Jan,1,1,2025-01-27,19:03:45.457000</t>
  </si>
  <si>
    <t>8,card,35.76,Latte,Morning,Tue,Jan,2,1,2025-01-28,08:26:36.795000</t>
  </si>
  <si>
    <t>9,card,25.96,Americano,Morning,Tue,Jan,2,1,2025-01-28,09:33:17.106000</t>
  </si>
  <si>
    <t>11,card,30.86,Americano with Milk,Morning,Tue,Jan,2,1,2025-01-28,11:56:26.851000</t>
  </si>
  <si>
    <t>12,card,25.96,Americano,Afternoon,Tue,Jan,2,1,2025-01-28,12:22:01.233000</t>
  </si>
  <si>
    <t>16,card,35.76,Cocoa,Afternoon,Tue,Jan,2,1,2025-01-28,16:19:07.605000</t>
  </si>
  <si>
    <t>16,card,25.96,Cortado,Afternoon,Tue,Jan,2,1,2025-01-28,16:20:44.658000</t>
  </si>
  <si>
    <t>17,card,25.96,Americano,Night,Tue,Jan,2,1,2025-01-28,17:40:00.932000</t>
  </si>
  <si>
    <t>20,card,35.76,Latte,Night,Tue,Jan,2,1,2025-01-28,20:11:50.854000</t>
  </si>
  <si>
    <t>20,card,35.76,Cappuccino,Night,Tue,Jan,2,1,2025-01-28,20:13:45.162000</t>
  </si>
  <si>
    <t>9,card,25.96,Americano,Morning,Wed,Jan,3,1,2025-01-29,09:38:47.162000</t>
  </si>
  <si>
    <t>16,card,25.96,Americano,Afternoon,Wed,Jan,3,1,2025-01-29,16:25:36.760000</t>
  </si>
  <si>
    <t>19,card,30.86,Americano with Milk,Night,Wed,Jan,3,1,2025-01-29,19:19:08.258000</t>
  </si>
  <si>
    <t>19,card,21.06,Espresso,Night,Wed,Jan,3,1,2025-01-29,19:20:34.695000</t>
  </si>
  <si>
    <t>9,card,30.86,Americano with Milk,Morning,Thu,Jan,4,1,2025-01-30,09:18:05.538000</t>
  </si>
  <si>
    <t>10,card,30.86,Americano with Milk,Morning,Thu,Jan,4,1,2025-01-30,10:12:33.868000</t>
  </si>
  <si>
    <t>11,card,25.96,Cortado,Morning,Thu,Jan,4,1,2025-01-30,11:26:29.175000</t>
  </si>
  <si>
    <t>12,card,35.76,Hot Chocolate,Afternoon,Thu,Jan,4,1,2025-01-30,12:42:15.712000</t>
  </si>
  <si>
    <t>13,card,25.96,Americano,Afternoon,Thu,Jan,4,1,2025-01-30,13:02:00.748000</t>
  </si>
  <si>
    <t>14,card,30.86,Americano with Milk,Afternoon,Thu,Jan,4,1,2025-01-30,14:41:42.277000</t>
  </si>
  <si>
    <t>17,card,35.76,Hot Chocolate,Night,Thu,Jan,4,1,2025-01-30,17:18:48.404000</t>
  </si>
  <si>
    <t>18,card,30.86,Americano with Milk,Night,Thu,Jan,4,1,2025-01-30,18:24:06.652000</t>
  </si>
  <si>
    <t>18,card,25.96,Cortado,Night,Thu,Jan,4,1,2025-01-30,18:41:49.658000</t>
  </si>
  <si>
    <t>8,card,25.96,Americano,Morning,Fri,Jan,5,1,2025-01-31,08:40:51.449000</t>
  </si>
  <si>
    <t>8,card,30.86,Americano with Milk,Morning,Fri,Jan,5,1,2025-01-31,08:41:44.730000</t>
  </si>
  <si>
    <t>9,card,30.86,Americano with Milk,Morning,Fri,Jan,5,1,2025-01-31,09:17:14.822000</t>
  </si>
  <si>
    <t>9,card,35.76,Cocoa,Morning,Fri,Jan,5,1,2025-01-31,09:20:10.981000</t>
  </si>
  <si>
    <t>9,card,35.76,Cappuccino,Morning,Fri,Jan,5,1,2025-01-31,09:26:46.766000</t>
  </si>
  <si>
    <t>9,card,35.76,Cappuccino,Morning,Fri,Jan,5,1,2025-01-31,09:27:47.738000</t>
  </si>
  <si>
    <t>12,card,35.76,Latte,Afternoon,Fri,Jan,5,1,2025-01-31,12:31:01.241000</t>
  </si>
  <si>
    <t>12,card,35.76,Latte,Afternoon,Fri,Jan,5,1,2025-01-31,12:54:25.716000</t>
  </si>
  <si>
    <t>14,card,35.76,Cappuccino,Afternoon,Fri,Jan,5,1,2025-01-31,14:02:58.271000</t>
  </si>
  <si>
    <t>16,card,30.86,Americano with Milk,Afternoon,Fri,Jan,5,1,2025-01-31,16:48:33.995000</t>
  </si>
  <si>
    <t>22,card,30.86,Americano with Milk,Night,Fri,Jan,5,1,2025-01-31,22:35:58.843000</t>
  </si>
  <si>
    <t>22,card,25.96,Americano,Night,Fri,Jan,5,1,2025-01-31,22:37:02.031000</t>
  </si>
  <si>
    <t>8,card,30.86,Americano with Milk,Morning,Sat,Feb,6,2,2025-02-01,08:50:23.610000</t>
  </si>
  <si>
    <t>10,card,30.86,Americano with Milk,Morning,Sat,Feb,6,2,2025-02-01,10:07:22.849000</t>
  </si>
  <si>
    <t>13,card,25.96,Cortado,Afternoon,Sat,Feb,6,2,2025-02-01,13:14:46.639000</t>
  </si>
  <si>
    <t>13,card,25.96,Cortado,Afternoon,Sat,Feb,6,2,2025-02-01,13:15:29.243000</t>
  </si>
  <si>
    <t>14,card,35.76,Cappuccino,Afternoon,Sat,Feb,6,2,2025-02-01,14:35:18.871000</t>
  </si>
  <si>
    <t>14,card,35.76,Cappuccino,Afternoon,Sat,Feb,6,2,2025-02-01,14:36:16.610000</t>
  </si>
  <si>
    <t>15,card,35.76,Latte,Afternoon,Sat,Feb,6,2,2025-02-01,15:49:58.951000</t>
  </si>
  <si>
    <t>18,card,35.76,Cappuccino,Night,Sat,Feb,6,2,2025-02-01,18:57:14.364000</t>
  </si>
  <si>
    <t>19,card,30.86,Americano with Milk,Night,Sat,Feb,6,2,2025-02-01,19:53:15.503000</t>
  </si>
  <si>
    <t>19,card,30.86,Americano with Milk,Night,Sat,Feb,6,2,2025-02-01,19:54:24.066000</t>
  </si>
  <si>
    <t>21,card,30.86,Americano with Milk,Night,Sat,Feb,6,2,2025-02-01,21:37:01.776000</t>
  </si>
  <si>
    <t>10,card,35.76,Cappuccino,Morning,Sun,Feb,7,2,2025-02-02,10:56:21.940000</t>
  </si>
  <si>
    <t>10,card,35.76,Cappuccino,Morning,Sun,Feb,7,2,2025-02-02,10:57:37.780000</t>
  </si>
  <si>
    <t>12,card,35.76,Latte,Afternoon,Sun,Feb,7,2,2025-02-02,12:54:32.175000</t>
  </si>
  <si>
    <t>12,card,35.76,Latte,Afternoon,Sun,Feb,7,2,2025-02-02,12:56:04.653000</t>
  </si>
  <si>
    <t>14,card,30.86,Americano with Milk,Afternoon,Sun,Feb,7,2,2025-02-02,14:22:57.323000</t>
  </si>
  <si>
    <t>16,card,35.76,Latte,Afternoon,Sun,Feb,7,2,2025-02-02,16:45:07.918000</t>
  </si>
  <si>
    <t>16,card,35.76,Latte,Afternoon,Sun,Feb,7,2,2025-02-02,16:46:57.223000</t>
  </si>
  <si>
    <t>7,card,35.76,Cappuccino,Morning,Mon,Feb,1,2,2025-02-03,07:03:24.790000</t>
  </si>
  <si>
    <t>7,card,30.86,Americano with Milk,Morning,Mon,Feb,1,2,2025-02-03,07:04:56.569000</t>
  </si>
  <si>
    <t>8,card,21.06,Espresso,Morning,Mon,Feb,1,2,2025-02-03,08:04:03.627000</t>
  </si>
  <si>
    <t>8,card,30.86,Americano with Milk,Morning,Mon,Feb,1,2,2025-02-03,08:09:08.967000</t>
  </si>
  <si>
    <t>10,card,25.96,Americano,Morning,Mon,Feb,1,2,2025-02-03,10:15:38.570000</t>
  </si>
  <si>
    <t>10,card,35.76,Cappuccino,Morning,Mon,Feb,1,2,2025-02-03,10:22:18.416000</t>
  </si>
  <si>
    <t>10,card,30.86,Americano with Milk,Morning,Mon,Feb,1,2,2025-02-03,10:49:58.650000</t>
  </si>
  <si>
    <t>13,card,35.76,Cappuccino,Afternoon,Mon,Feb,1,2,2025-02-03,13:25:02.069000</t>
  </si>
  <si>
    <t>13,card,35.76,Cappuccino,Afternoon,Mon,Feb,1,2,2025-02-03,13:32:53.672000</t>
  </si>
  <si>
    <t>13,card,25.96,Americano,Afternoon,Mon,Feb,1,2,2025-02-03,13:51:03.281000</t>
  </si>
  <si>
    <t>14,card,25.96,Americano,Afternoon,Mon,Feb,1,2,2025-02-03,14:06:36.519000</t>
  </si>
  <si>
    <t>14,card,35.76,Latte,Afternoon,Mon,Feb,1,2,2025-02-03,14:47:02.198000</t>
  </si>
  <si>
    <t>14,card,35.76,Latte,Afternoon,Mon,Feb,1,2,2025-02-03,14:50:20.575000</t>
  </si>
  <si>
    <t>15,card,35.76,Latte,Afternoon,Mon,Feb,1,2,2025-02-03,15:01:44.613000</t>
  </si>
  <si>
    <t>15,card,25.96,Americano,Afternoon,Mon,Feb,1,2,2025-02-03,15:41:27.205000</t>
  </si>
  <si>
    <t>17,card,35.76,Cocoa,Night,Mon,Feb,1,2,2025-02-03,17:01:26.871000</t>
  </si>
  <si>
    <t>17,card,30.86,Americano with Milk,Night,Mon,Feb,1,2,2025-02-03,17:09:55.135000</t>
  </si>
  <si>
    <t>17,card,30.86,Americano with Milk,Night,Mon,Feb,1,2,2025-02-03,17:11:07.189000</t>
  </si>
  <si>
    <t>17,card,30.86,Americano with Milk,Night,Mon,Feb,1,2,2025-02-03,17:12:05.215000</t>
  </si>
  <si>
    <t>17,card,35.76,Hot Chocolate,Night,Mon,Feb,1,2,2025-02-03,17:13:21.519000</t>
  </si>
  <si>
    <t>17,card,35.76,Latte,Night,Mon,Feb,1,2,2025-02-03,17:14:18.374000</t>
  </si>
  <si>
    <t>17,card,35.76,Hot Chocolate,Night,Mon,Feb,1,2,2025-02-03,17:15:40.901000</t>
  </si>
  <si>
    <t>17,card,30.86,Americano with Milk,Night,Mon,Feb,1,2,2025-02-03,17:44:17.695000</t>
  </si>
  <si>
    <t>18,card,25.96,Americano,Night,Mon,Feb,1,2,2025-02-03,18:09:00.486000</t>
  </si>
  <si>
    <t>20,card,35.76,Cocoa,Night,Mon,Feb,1,2,2025-02-03,20:44:14.131000</t>
  </si>
  <si>
    <t>10,card,30.86,Americano with Milk,Morning,Tue,Feb,2,2,2025-02-04,10:04:56.809000</t>
  </si>
  <si>
    <t>10,card,25.96,Americano,Morning,Tue,Feb,2,2,2025-02-04,10:11:31.338000</t>
  </si>
  <si>
    <t>12,card,30.86,Americano with Milk,Afternoon,Tue,Feb,2,2,2025-02-04,12:35:58.283000</t>
  </si>
  <si>
    <t>13,card,25.96,Cortado,Afternoon,Tue,Feb,2,2,2025-02-04,13:07:39.018000</t>
  </si>
  <si>
    <t>14,card,25.96,Americano,Afternoon,Tue,Feb,2,2,2025-02-04,14:15:14.010000</t>
  </si>
  <si>
    <t>14,card,30.86,Americano with Milk,Afternoon,Tue,Feb,2,2,2025-02-04,14:17:36.486000</t>
  </si>
  <si>
    <t>14,card,25.96,Americano,Afternoon,Tue,Feb,2,2,2025-02-04,14:19:48.544000</t>
  </si>
  <si>
    <t>18,card,30.86,Americano with Milk,Night,Tue,Feb,2,2,2025-02-04,18:13:41.792000</t>
  </si>
  <si>
    <t>19,card,35.76,Cocoa,Night,Tue,Feb,2,2,2025-02-04,19:05:21.915000</t>
  </si>
  <si>
    <t>19,card,35.76,Cocoa,Night,Tue,Feb,2,2,2025-02-04,19:09:36.727000</t>
  </si>
  <si>
    <t>19,card,35.76,Cocoa,Night,Tue,Feb,2,2,2025-02-04,19:10:27.574000</t>
  </si>
  <si>
    <t>19,card,25.96,Cortado,Night,Tue,Feb,2,2,2025-02-04,19:27:27.283000</t>
  </si>
  <si>
    <t>8,card,30.86,Americano with Milk,Morning,Wed,Feb,3,2,2025-02-05,08:42:10.512000</t>
  </si>
  <si>
    <t>9,card,30.86,Americano with Milk,Morning,Wed,Feb,3,2,2025-02-05,09:10:43.723000</t>
  </si>
  <si>
    <t>11,card,25.96,Americano,Morning,Wed,Feb,3,2,2025-02-05,11:49:35.788000</t>
  </si>
  <si>
    <t>11,card,25.96,Americano,Morning,Wed,Feb,3,2,2025-02-05,11:50:41.585000</t>
  </si>
  <si>
    <t>11,card,25.96,Americano,Morning,Wed,Feb,3,2,2025-02-05,11:51:45.385000</t>
  </si>
  <si>
    <t>11,card,30.86,Americano with Milk,Morning,Wed,Feb,3,2,2025-02-05,11:58:36.442000</t>
  </si>
  <si>
    <t>12,card,25.96,Americano,Afternoon,Wed,Feb,3,2,2025-02-05,12:10:46.876000</t>
  </si>
  <si>
    <t>13,card,25.96,Americano,Afternoon,Wed,Feb,3,2,2025-02-05,13:20:46.169000</t>
  </si>
  <si>
    <t>13,card,21.06,Espresso,Afternoon,Wed,Feb,3,2,2025-02-05,13:43:42.825000</t>
  </si>
  <si>
    <t>13,card,21.06,Espresso,Afternoon,Wed,Feb,3,2,2025-02-05,13:44:29.310000</t>
  </si>
  <si>
    <t>14,card,35.76,Cappuccino,Afternoon,Wed,Feb,3,2,2025-02-05,14:57:52.705000</t>
  </si>
  <si>
    <t>15,card,35.76,Cappuccino,Afternoon,Wed,Feb,3,2,2025-02-05,15:50:58.774000</t>
  </si>
  <si>
    <t>16,card,35.76,Hot Chocolate,Afternoon,Wed,Feb,3,2,2025-02-05,16:34:20.397000</t>
  </si>
  <si>
    <t>16,card,35.76,Latte,Afternoon,Wed,Feb,3,2,2025-02-05,16:35:33.007000</t>
  </si>
  <si>
    <t>16,card,35.76,Latte,Afternoon,Wed,Feb,3,2,2025-02-05,16:36:34.191000</t>
  </si>
  <si>
    <t>16,card,35.76,Cocoa,Afternoon,Wed,Feb,3,2,2025-02-05,16:39:01.735000</t>
  </si>
  <si>
    <t>16,card,35.76,Hot Chocolate,Afternoon,Wed,Feb,3,2,2025-02-05,16:41:09.994000</t>
  </si>
  <si>
    <t>18,card,35.76,Cappuccino,Night,Wed,Feb,3,2,2025-02-05,18:18:34.427000</t>
  </si>
  <si>
    <t>18,card,35.76,Cappuccino,Night,Wed,Feb,3,2,2025-02-05,18:19:49.078000</t>
  </si>
  <si>
    <t>18,card,35.76,Cocoa,Night,Wed,Feb,3,2,2025-02-05,18:20:51.486000</t>
  </si>
  <si>
    <t>18,card,30.86,Americano with Milk,Night,Wed,Feb,3,2,2025-02-05,18:25:29.322000</t>
  </si>
  <si>
    <t>18,card,35.76,Cappuccino,Night,Wed,Feb,3,2,2025-02-05,18:45:42.132000</t>
  </si>
  <si>
    <t>19,card,35.76,Hot Chocolate,Night,Wed,Feb,3,2,2025-02-05,19:06:46.262000</t>
  </si>
  <si>
    <t>20,card,35.76,Cocoa,Night,Wed,Feb,3,2,2025-02-05,20:03:20.629000</t>
  </si>
  <si>
    <t>7,card,30.86,Americano with Milk,Morning,Thu,Feb,4,2,2025-02-06,07:16:48.645000</t>
  </si>
  <si>
    <t>13,card,25.96,Americano,Afternoon,Thu,Feb,4,2,2025-02-06,13:59:21.456000</t>
  </si>
  <si>
    <t>14,card,30.86,Americano with Milk,Afternoon,Thu,Feb,4,2,2025-02-06,14:55:31.564000</t>
  </si>
  <si>
    <t>14,card,35.76,Cappuccino,Afternoon,Thu,Feb,4,2,2025-02-06,14:59:22.422000</t>
  </si>
  <si>
    <t>16,card,35.76,Cocoa,Afternoon,Thu,Feb,4,2,2025-02-06,16:14:49.801000</t>
  </si>
  <si>
    <t>17,card,35.76,Cocoa,Night,Thu,Feb,4,2,2025-02-06,17:09:45.604000</t>
  </si>
  <si>
    <t>17,card,35.76,Cocoa,Night,Thu,Feb,4,2,2025-02-06,17:54:25.041000</t>
  </si>
  <si>
    <t>19,card,35.76,Cappuccino,Night,Thu,Feb,4,2,2025-02-06,19:53:12.674000</t>
  </si>
  <si>
    <t>19,card,21.06,Espresso,Night,Thu,Feb,4,2,2025-02-06,19:55:06.501000</t>
  </si>
  <si>
    <t>20,card,35.76,Cocoa,Night,Thu,Feb,4,2,2025-02-06,20:06:59.305000</t>
  </si>
  <si>
    <t>20,card,35.76,Cocoa,Night,Thu,Feb,4,2,2025-02-06,20:07:47.105000</t>
  </si>
  <si>
    <t>20,card,35.76,Latte,Night,Thu,Feb,4,2,2025-02-06,20:23:13.537000</t>
  </si>
  <si>
    <t>8,card,30.86,Americano with Milk,Morning,Fri,Feb,5,2,2025-02-07,08:44:49.968000</t>
  </si>
  <si>
    <t>9,card,30.86,Americano with Milk,Morning,Fri,Feb,5,2,2025-02-07,09:07:04.654000</t>
  </si>
  <si>
    <t>10,card,25.96,Americano,Morning,Fri,Feb,5,2,2025-02-07,10:49:23.202000</t>
  </si>
  <si>
    <t>12,card,35.76,Cocoa,Afternoon,Fri,Feb,5,2,2025-02-07,12:09:38.592000</t>
  </si>
  <si>
    <t>12,card,30.86,Americano with Milk,Afternoon,Fri,Feb,5,2,2025-02-07,12:51:22.367000</t>
  </si>
  <si>
    <t>12,card,25.96,Americano,Afternoon,Fri,Feb,5,2,2025-02-07,12:58:51.777000</t>
  </si>
  <si>
    <t>16,card,25.96,Cortado,Afternoon,Fri,Feb,5,2,2025-02-07,16:04:10.943000</t>
  </si>
  <si>
    <t>16,card,35.76,Latte,Afternoon,Fri,Feb,5,2,2025-02-07,16:22:13.091000</t>
  </si>
  <si>
    <t>16,card,35.76,Hot Chocolate,Afternoon,Fri,Feb,5,2,2025-02-07,16:23:14.076000</t>
  </si>
  <si>
    <t>16,card,35.76,Latte,Afternoon,Fri,Feb,5,2,2025-02-07,16:24:35.194000</t>
  </si>
  <si>
    <t>18,card,35.76,Cocoa,Night,Fri,Feb,5,2,2025-02-07,18:42:36.741000</t>
  </si>
  <si>
    <t>18,card,35.76,Cocoa,Night,Fri,Feb,5,2,2025-02-07,18:43:36.084000</t>
  </si>
  <si>
    <t>18,card,25.96,Cortado,Night,Fri,Feb,5,2,2025-02-07,18:44:30.842000</t>
  </si>
  <si>
    <t>18,card,35.76,Cocoa,Night,Fri,Feb,5,2,2025-02-07,18:45:23.077000</t>
  </si>
  <si>
    <t>20,card,35.76,Cocoa,Night,Fri,Feb,5,2,2025-02-07,20:10:59.413000</t>
  </si>
  <si>
    <t>20,card,25.96,Cortado,Night,Fri,Feb,5,2,2025-02-07,20:30:56.938000</t>
  </si>
  <si>
    <t>9,card,25.96,Americano,Morning,Sat,Feb,6,2,2025-02-08,09:01:42.933000</t>
  </si>
  <si>
    <t>10,card,30.86,Americano with Milk,Morning,Sat,Feb,6,2,2025-02-08,10:56:17.090000</t>
  </si>
  <si>
    <t>11,card,25.96,Cortado,Morning,Sat,Feb,6,2,2025-02-08,11:02:41.385000</t>
  </si>
  <si>
    <t>11,card,25.96,Americano,Morning,Sat,Feb,6,2,2025-02-08,11:39:33.882000</t>
  </si>
  <si>
    <t>12,card,25.96,Americano,Afternoon,Sat,Feb,6,2,2025-02-08,12:46:12.840000</t>
  </si>
  <si>
    <t>13,card,25.96,Americano,Afternoon,Sat,Feb,6,2,2025-02-08,13:26:47.588000</t>
  </si>
  <si>
    <t>15,card,25.96,Americano,Afternoon,Sat,Feb,6,2,2025-02-08,15:07:04.164000</t>
  </si>
  <si>
    <t>15,card,25.96,Americano,Afternoon,Sat,Feb,6,2,2025-02-08,15:08:09.210000</t>
  </si>
  <si>
    <t>8,card,35.76,Cocoa,Morning,Sun,Feb,7,2,2025-02-09,08:49:24.111000</t>
  </si>
  <si>
    <t>10,card,30.86,Americano with Milk,Morning,Sun,Feb,7,2,2025-02-09,10:31:09.185000</t>
  </si>
  <si>
    <t>10,card,25.96,Americano,Morning,Sun,Feb,7,2,2025-02-09,10:51:28.019000</t>
  </si>
  <si>
    <t>12,card,35.76,Latte,Afternoon,Sun,Feb,7,2,2025-02-09,12:05:05.007000</t>
  </si>
  <si>
    <t>15,card,35.76,Cocoa,Afternoon,Sun,Feb,7,2,2025-02-09,15:13:09.171000</t>
  </si>
  <si>
    <t>15,card,35.76,Latte,Afternoon,Sun,Feb,7,2,2025-02-09,15:14:02.345000</t>
  </si>
  <si>
    <t>15,card,35.76,Hot Chocolate,Afternoon,Sun,Feb,7,2,2025-02-09,15:15:57.899000</t>
  </si>
  <si>
    <t>15,card,35.76,Cocoa,Afternoon,Sun,Feb,7,2,2025-02-09,15:16:52.224000</t>
  </si>
  <si>
    <t>16,card,25.96,Cortado,Afternoon,Sun,Feb,7,2,2025-02-09,16:20:18.825000</t>
  </si>
  <si>
    <t>7,card,25.96,Americano,Morning,Mon,Feb,1,2,2025-02-10,07:01:46.579000</t>
  </si>
  <si>
    <t>8,card,25.96,Americano,Morning,Mon,Feb,1,2,2025-02-10,08:16:32.125000</t>
  </si>
  <si>
    <t>8,card,25.96,Americano,Morning,Mon,Feb,1,2,2025-02-10,08:24:56.389000</t>
  </si>
  <si>
    <t>11,card,30.86,Americano with Milk,Morning,Mon,Feb,1,2,2025-02-10,11:11:43.020000</t>
  </si>
  <si>
    <t>13,card,25.96,Americano,Afternoon,Mon,Feb,1,2,2025-02-10,13:08:50.162000</t>
  </si>
  <si>
    <t>13,card,35.76,Cocoa,Afternoon,Mon,Feb,1,2,2025-02-10,13:11:05.976000</t>
  </si>
  <si>
    <t>13,card,30.86,Americano with Milk,Afternoon,Mon,Feb,1,2,2025-02-10,13:26:54.671000</t>
  </si>
  <si>
    <t>13,card,25.96,Americano,Afternoon,Mon,Feb,1,2,2025-02-10,13:40:13.329000</t>
  </si>
  <si>
    <t>14,card,35.76,Latte,Afternoon,Mon,Feb,1,2,2025-02-10,14:01:52.039000</t>
  </si>
  <si>
    <t>14,card,25.96,Americano,Afternoon,Mon,Feb,1,2,2025-02-10,14:07:41.358000</t>
  </si>
  <si>
    <t>14,card,35.76,Cocoa,Afternoon,Mon,Feb,1,2,2025-02-10,14:11:46.466000</t>
  </si>
  <si>
    <t>14,card,35.76,Cocoa,Afternoon,Mon,Feb,1,2,2025-02-10,14:15:44.582000</t>
  </si>
  <si>
    <t>15,card,35.76,Cappuccino,Afternoon,Mon,Feb,1,2,2025-02-10,15:01:54.950000</t>
  </si>
  <si>
    <t>15,card,30.86,Americano with Milk,Afternoon,Mon,Feb,1,2,2025-02-10,15:14:01.175000</t>
  </si>
  <si>
    <t>15,card,35.76,Latte,Afternoon,Mon,Feb,1,2,2025-02-10,15:46:02.637000</t>
  </si>
  <si>
    <t>15,card,35.76,Hot Chocolate,Afternoon,Mon,Feb,1,2,2025-02-10,15:47:44.088000</t>
  </si>
  <si>
    <t>16,card,35.76,Cocoa,Afternoon,Mon,Feb,1,2,2025-02-10,16:20:55.047000</t>
  </si>
  <si>
    <t>17,card,25.96,Americano,Night,Mon,Feb,1,2,2025-02-10,17:12:02.356000</t>
  </si>
  <si>
    <t>18,card,30.86,Americano with Milk,Night,Mon,Feb,1,2,2025-02-10,18:27:14.597000</t>
  </si>
  <si>
    <t>19,card,35.76,Latte,Night,Mon,Feb,1,2,2025-02-10,19:14:01.461000</t>
  </si>
  <si>
    <t>19,card,35.76,Latte,Night,Mon,Feb,1,2,2025-02-10,19:14:53.526000</t>
  </si>
  <si>
    <t>10,card,25.96,Americano,Morning,Tue,Feb,2,2,2025-02-11,10:38:26.035000</t>
  </si>
  <si>
    <t>11,card,25.96,Americano,Morning,Tue,Feb,2,2,2025-02-11,11:19:15.478000</t>
  </si>
  <si>
    <t>11,card,30.86,Americano with Milk,Morning,Tue,Feb,2,2,2025-02-11,11:20:12.152000</t>
  </si>
  <si>
    <t>11,card,35.76,Cocoa,Morning,Tue,Feb,2,2,2025-02-11,11:21:08.002000</t>
  </si>
  <si>
    <t>15,card,35.76,Hot Chocolate,Afternoon,Tue,Feb,2,2,2025-02-11,15:56:49.868000</t>
  </si>
  <si>
    <t>16,card,30.86,Americano with Milk,Afternoon,Tue,Feb,2,2,2025-02-11,16:09:08.439000</t>
  </si>
  <si>
    <t>16,card,21.06,Espresso,Afternoon,Tue,Feb,2,2,2025-02-11,16:49:40.995000</t>
  </si>
  <si>
    <t>17,card,35.76,Latte,Night,Tue,Feb,2,2,2025-02-11,17:35:34.920000</t>
  </si>
  <si>
    <t>17,card,30.86,Americano with Milk,Night,Tue,Feb,2,2,2025-02-11,17:36:42.232000</t>
  </si>
  <si>
    <t>17,card,30.86,Americano with Milk,Night,Tue,Feb,2,2,2025-02-11,17:44:12.594000</t>
  </si>
  <si>
    <t>17,card,25.96,Americano,Night,Tue,Feb,2,2,2025-02-11,17:50:40.426000</t>
  </si>
  <si>
    <t>17,card,30.86,Americano with Milk,Night,Tue,Feb,2,2,2025-02-11,17:54:37.833000</t>
  </si>
  <si>
    <t>19,card,35.76,Latte,Night,Tue,Feb,2,2,2025-02-11,19:04:11.037000</t>
  </si>
  <si>
    <t>19,card,35.76,Cocoa,Night,Tue,Feb,2,2,2025-02-11,19:05:03.830000</t>
  </si>
  <si>
    <t>7,card,35.76,Cappuccino,Morning,Wed,Feb,3,2,2025-02-12,07:16:57.164000</t>
  </si>
  <si>
    <t>7,card,25.96,Americano,Morning,Wed,Feb,3,2,2025-02-12,07:35:37.551000</t>
  </si>
  <si>
    <t>8,card,35.76,Cocoa,Morning,Wed,Feb,3,2,2025-02-12,08:54:35.758000</t>
  </si>
  <si>
    <t>9,card,30.86,Americano with Milk,Morning,Wed,Feb,3,2,2025-02-12,09:19:45.900000</t>
  </si>
  <si>
    <t>10,card,25.96,Americano,Morning,Wed,Feb,3,2,2025-02-12,10:43:13.475000</t>
  </si>
  <si>
    <t>12,card,25.96,Americano,Afternoon,Wed,Feb,3,2,2025-02-12,12:43:29.084000</t>
  </si>
  <si>
    <t>13,card,25.96,Americano,Afternoon,Wed,Feb,3,2,2025-02-12,13:08:09.325000</t>
  </si>
  <si>
    <t>13,card,35.76,Hot Chocolate,Afternoon,Wed,Feb,3,2,2025-02-12,13:41:39.723000</t>
  </si>
  <si>
    <t>15,card,35.76,Hot Chocolate,Afternoon,Wed,Feb,3,2,2025-02-12,15:41:24.777000</t>
  </si>
  <si>
    <t>15,card,35.76,Latte,Afternoon,Wed,Feb,3,2,2025-02-12,15:42:16.575000</t>
  </si>
  <si>
    <t>15,card,35.76,Hot Chocolate,Afternoon,Wed,Feb,3,2,2025-02-12,15:43:34.522000</t>
  </si>
  <si>
    <t>16,card,25.96,Americano,Afternoon,Wed,Feb,3,2,2025-02-12,16:12:58.376000</t>
  </si>
  <si>
    <t>16,card,25.96,Americano,Afternoon,Wed,Feb,3,2,2025-02-12,16:26:08.533000</t>
  </si>
  <si>
    <t>17,card,35.76,Cappuccino,Night,Wed,Feb,3,2,2025-02-12,17:05:31.989000</t>
  </si>
  <si>
    <t>17,card,25.96,Americano,Night,Wed,Feb,3,2,2025-02-12,17:42:51.484000</t>
  </si>
  <si>
    <t>20,card,35.76,Latte,Night,Wed,Feb,3,2,2025-02-12,20:05:40.740000</t>
  </si>
  <si>
    <t>20,card,35.76,Cocoa,Night,Wed,Feb,3,2,2025-02-12,20:23:13.374000</t>
  </si>
  <si>
    <t>21,card,35.76,Cappuccino,Night,Wed,Feb,3,2,2025-02-12,21:17:04.272000</t>
  </si>
  <si>
    <t>7,card,30.86,Americano with Milk,Morning,Thu,Feb,4,2,2025-02-13,07:38:47.907000</t>
  </si>
  <si>
    <t>8,card,25.96,Americano,Morning,Thu,Feb,4,2,2025-02-13,08:45:57.062000</t>
  </si>
  <si>
    <t>9,card,21.06,Espresso,Morning,Thu,Feb,4,2,2025-02-13,09:17:21.021000</t>
  </si>
  <si>
    <t>9,card,35.76,Cocoa,Morning,Thu,Feb,4,2,2025-02-13,09:36:05.130000</t>
  </si>
  <si>
    <t>10,card,30.86,Americano with Milk,Morning,Thu,Feb,4,2,2025-02-13,10:29:32.655000</t>
  </si>
  <si>
    <t>10,card,30.86,Americano with Milk,Morning,Thu,Feb,4,2,2025-02-13,10:59:27.048000</t>
  </si>
  <si>
    <t>16,card,25.96,Americano,Afternoon,Thu,Feb,4,2,2025-02-13,16:30:39.247000</t>
  </si>
  <si>
    <t>16,card,25.96,Americano,Afternoon,Thu,Feb,4,2,2025-02-13,16:31:33.722000</t>
  </si>
  <si>
    <t>17,card,30.86,Americano with Milk,Night,Thu,Feb,4,2,2025-02-13,17:16:11.630000</t>
  </si>
  <si>
    <t>17,card,30.86,Americano with Milk,Night,Thu,Feb,4,2,2025-02-13,17:17:20.197000</t>
  </si>
  <si>
    <t>18,card,35.76,Latte,Night,Thu,Feb,4,2,2025-02-13,18:01:35.454000</t>
  </si>
  <si>
    <t>18,card,35.76,Cappuccino,Night,Thu,Feb,4,2,2025-02-13,18:15:08.550000</t>
  </si>
  <si>
    <t>19,card,35.76,Latte,Night,Thu,Feb,4,2,2025-02-13,19:06:30.373000</t>
  </si>
  <si>
    <t>11,card,25.96,Americano,Morning,Fri,Feb,5,2,2025-02-14,11:38:55.705000</t>
  </si>
  <si>
    <t>14,card,35.76,Hot Chocolate,Afternoon,Fri,Feb,5,2,2025-02-14,14:07:09.333000</t>
  </si>
  <si>
    <t>14,card,25.96,Americano,Afternoon,Fri,Feb,5,2,2025-02-14,14:45:59.806000</t>
  </si>
  <si>
    <t>14,card,21.06,Espresso,Afternoon,Fri,Feb,5,2,2025-02-14,14:46:45.108000</t>
  </si>
  <si>
    <t>14,card,30.86,Americano with Milk,Afternoon,Fri,Feb,5,2,2025-02-14,14:58:12.247000</t>
  </si>
  <si>
    <t>15,card,35.76,Cappuccino,Afternoon,Fri,Feb,5,2,2025-02-14,15:00:16.743000</t>
  </si>
  <si>
    <t>15,card,35.76,Cappuccino,Afternoon,Fri,Feb,5,2,2025-02-14,15:36:40.857000</t>
  </si>
  <si>
    <t>15,card,35.76,Latte,Afternoon,Fri,Feb,5,2,2025-02-14,15:38:47.478000</t>
  </si>
  <si>
    <t>15,card,35.76,Hot Chocolate,Afternoon,Fri,Feb,5,2,2025-02-14,15:53:56.467000</t>
  </si>
  <si>
    <t>15,card,35.76,Cappuccino,Afternoon,Fri,Feb,5,2,2025-02-14,15:54:57.220000</t>
  </si>
  <si>
    <t>17,card,25.96,Americano,Night,Fri,Feb,5,2,2025-02-14,17:03:16.068000</t>
  </si>
  <si>
    <t>17,card,35.76,Cocoa,Night,Fri,Feb,5,2,2025-02-14,17:04:29.509000</t>
  </si>
  <si>
    <t>17,card,21.06,Espresso,Night,Fri,Feb,5,2,2025-02-14,17:09:07.646000</t>
  </si>
  <si>
    <t>17,card,30.86,Americano with Milk,Night,Fri,Feb,5,2,2025-02-14,17:25:24.871000</t>
  </si>
  <si>
    <t>21,card,25.96,Americano,Night,Fri,Feb,5,2,2025-02-14,21:18:29.956000</t>
  </si>
  <si>
    <t>9,card,35.76,Cappuccino,Morning,Sat,Feb,6,2,2025-02-15,09:22:51.930000</t>
  </si>
  <si>
    <t>12,card,35.76,Cappuccino,Afternoon,Sat,Feb,6,2,2025-02-15,12:41:53.830000</t>
  </si>
  <si>
    <t>12,card,25.96,Americano,Afternoon,Sat,Feb,6,2,2025-02-15,12:44:26.571000</t>
  </si>
  <si>
    <t>13,card,30.86,Americano with Milk,Afternoon,Sat,Feb,6,2,2025-02-15,13:02:19.867000</t>
  </si>
  <si>
    <t>13,card,30.86,Americano with Milk,Afternoon,Sat,Feb,6,2,2025-02-15,13:32:05.734000</t>
  </si>
  <si>
    <t>14,card,35.76,Cappuccino,Afternoon,Sat,Feb,6,2,2025-02-15,14:01:51.228000</t>
  </si>
  <si>
    <t>14,card,25.96,Americano,Afternoon,Sat,Feb,6,2,2025-02-15,14:11:53.922000</t>
  </si>
  <si>
    <t>15,card,35.76,Hot Chocolate,Afternoon,Sat,Feb,6,2,2025-02-15,15:40:07.667000</t>
  </si>
  <si>
    <t>15,card,35.76,Hot Chocolate,Afternoon,Sat,Feb,6,2,2025-02-15,15:40:59.443000</t>
  </si>
  <si>
    <t>10,card,25.96,Americano,Morning,Sun,Feb,7,2,2025-02-16,10:46:43.223000</t>
  </si>
  <si>
    <t>10,card,25.96,Americano,Morning,Sun,Feb,7,2,2025-02-16,10:50:00.616000</t>
  </si>
  <si>
    <t>10,card,30.86,Americano with Milk,Morning,Sun,Feb,7,2,2025-02-16,10:51:03.967000</t>
  </si>
  <si>
    <t>11,card,35.76,Hot Chocolate,Morning,Sun,Feb,7,2,2025-02-16,11:04:47.894000</t>
  </si>
  <si>
    <t>11,card,25.96,Americano,Morning,Sun,Feb,7,2,2025-02-16,11:32:29.055000</t>
  </si>
  <si>
    <t>14,card,35.76,Hot Chocolate,Afternoon,Sun,Feb,7,2,2025-02-16,14:15:37.049000</t>
  </si>
  <si>
    <t>14,card,35.76,Latte,Afternoon,Sun,Feb,7,2,2025-02-16,14:16:41.124000</t>
  </si>
  <si>
    <t>17,card,35.76,Hot Chocolate,Night,Sun,Feb,7,2,2025-02-16,17:12:27.402000</t>
  </si>
  <si>
    <t>17,card,30.86,Americano with Milk,Night,Sun,Feb,7,2,2025-02-16,17:13:32.973000</t>
  </si>
  <si>
    <t>17,card,30.86,Americano with Milk,Night,Sun,Feb,7,2,2025-02-16,17:44:32.781000</t>
  </si>
  <si>
    <t>6,card,35.76,Cappuccino,Morning,Mon,Feb,1,2,2025-02-17,06:50:04.455000</t>
  </si>
  <si>
    <t>8,card,25.96,Americano,Morning,Mon,Feb,1,2,2025-02-17,08:53:13.808000</t>
  </si>
  <si>
    <t>9,card,25.96,Americano,Morning,Mon,Feb,1,2,2025-02-17,09:00:55.147000</t>
  </si>
  <si>
    <t>9,card,30.86,Americano with Milk,Morning,Mon,Feb,1,2,2025-02-17,09:28:06.582000</t>
  </si>
  <si>
    <t>9,card,35.76,Hot Chocolate,Morning,Mon,Feb,1,2,2025-02-17,09:56:59.212000</t>
  </si>
  <si>
    <t>10,card,30.86,Americano with Milk,Morning,Mon,Feb,1,2,2025-02-17,10:20:12.065000</t>
  </si>
  <si>
    <t>10,card,25.96,Americano,Morning,Mon,Feb,1,2,2025-02-17,10:44:48.005000</t>
  </si>
  <si>
    <t>11,card,30.86,Americano with Milk,Morning,Mon,Feb,1,2,2025-02-17,11:53:58.611000</t>
  </si>
  <si>
    <t>11,card,21.06,Espresso,Morning,Mon,Feb,1,2,2025-02-17,11:55:02.203000</t>
  </si>
  <si>
    <t>12,card,35.76,Cappuccino,Afternoon,Mon,Feb,1,2,2025-02-17,12:48:58.321000</t>
  </si>
  <si>
    <t>14,card,35.76,Latte,Afternoon,Mon,Feb,1,2,2025-02-17,14:23:01.905000</t>
  </si>
  <si>
    <t>15,card,30.86,Americano with Milk,Afternoon,Mon,Feb,1,2,2025-02-17,15:05:41.697000</t>
  </si>
  <si>
    <t>15,card,35.76,Latte,Afternoon,Mon,Feb,1,2,2025-02-17,15:33:19.567000</t>
  </si>
  <si>
    <t>16,card,21.06,Espresso,Afternoon,Mon,Feb,1,2,2025-02-17,16:19:06.398000</t>
  </si>
  <si>
    <t>16,card,25.96,Americano,Afternoon,Mon,Feb,1,2,2025-02-17,16:22:42.001000</t>
  </si>
  <si>
    <t>17,card,30.86,Americano with Milk,Night,Mon,Feb,1,2,2025-02-17,17:31:14.111000</t>
  </si>
  <si>
    <t>18,card,25.96,Americano,Night,Mon,Feb,1,2,2025-02-17,18:23:52.638000</t>
  </si>
  <si>
    <t>19,card,25.96,Americano,Night,Mon,Feb,1,2,2025-02-17,19:13:51.838000</t>
  </si>
  <si>
    <t>19,card,25.96,Americano,Night,Mon,Feb,1,2,2025-02-17,19:15:00.877000</t>
  </si>
  <si>
    <t>20,card,35.76,Latte,Night,Mon,Feb,1,2,2025-02-17,20:18:17.498000</t>
  </si>
  <si>
    <t>8,card,25.96,Americano,Morning,Tue,Feb,2,2,2025-02-18,08:53:08.743000</t>
  </si>
  <si>
    <t>8,card,25.96,Americano,Morning,Tue,Feb,2,2,2025-02-18,08:54:14.493000</t>
  </si>
  <si>
    <t>11,card,25.96,Americano,Morning,Tue,Feb,2,2,2025-02-18,11:07:35.321000</t>
  </si>
  <si>
    <t>11,card,25.96,Americano,Morning,Tue,Feb,2,2,2025-02-18,11:30:06.156000</t>
  </si>
  <si>
    <t>11,card,30.86,Americano with Milk,Morning,Tue,Feb,2,2,2025-02-18,11:38:23.547000</t>
  </si>
  <si>
    <t>12,card,30.86,Americano with Milk,Afternoon,Tue,Feb,2,2,2025-02-18,12:15:26.575000</t>
  </si>
  <si>
    <t>13,card,35.76,Cocoa,Afternoon,Tue,Feb,2,2,2025-02-18,13:04:27.249000</t>
  </si>
  <si>
    <t>13,card,25.96,Americano,Afternoon,Tue,Feb,2,2,2025-02-18,13:25:45.108000</t>
  </si>
  <si>
    <t>13,card,30.86,Americano with Milk,Afternoon,Tue,Feb,2,2,2025-02-18,13:27:05.310000</t>
  </si>
  <si>
    <t>17,card,35.76,Hot Chocolate,Night,Tue,Feb,2,2,2025-02-18,17:05:28.048000</t>
  </si>
  <si>
    <t>17,card,30.86,Americano with Milk,Night,Tue,Feb,2,2,2025-02-18,17:08:19.308000</t>
  </si>
  <si>
    <t>17,card,21.06,Espresso,Night,Tue,Feb,2,2,2025-02-18,17:09:17.261000</t>
  </si>
  <si>
    <t>17,card,35.76,Cocoa,Night,Tue,Feb,2,2,2025-02-18,17:10:22.869000</t>
  </si>
  <si>
    <t>17,card,35.76,Cocoa,Night,Tue,Feb,2,2,2025-02-18,17:11:35.709000</t>
  </si>
  <si>
    <t>19,card,35.76,Cocoa,Night,Tue,Feb,2,2,2025-02-18,19:36:27.317000</t>
  </si>
  <si>
    <t>20,card,35.76,Cocoa,Night,Tue,Feb,2,2,2025-02-18,20:06:56.196000</t>
  </si>
  <si>
    <t>20,card,35.76,Hot Chocolate,Night,Tue,Feb,2,2,2025-02-18,20:58:12.599000</t>
  </si>
  <si>
    <t>21,card,30.86,Americano with Milk,Night,Tue,Feb,2,2,2025-02-18,21:01:59.629000</t>
  </si>
  <si>
    <t>8,card,35.76,Cappuccino,Morning,Wed,Feb,3,2,2025-02-19,08:08:52.951000</t>
  </si>
  <si>
    <t>8,card,25.96,Americano,Morning,Wed,Feb,3,2,2025-02-19,08:09:54.081000</t>
  </si>
  <si>
    <t>8,card,25.96,Americano,Morning,Wed,Feb,3,2,2025-02-19,08:47:32.785000</t>
  </si>
  <si>
    <t>9,card,35.76,Cappuccino,Morning,Wed,Feb,3,2,2025-02-19,09:24:31.977000</t>
  </si>
  <si>
    <t>10,card,25.96,Americano,Morning,Wed,Feb,3,2,2025-02-19,10:09:51.001000</t>
  </si>
  <si>
    <t>10,card,35.76,Hot Chocolate,Morning,Wed,Feb,3,2,2025-02-19,10:19:01.276000</t>
  </si>
  <si>
    <t>10,card,30.86,Americano with Milk,Morning,Wed,Feb,3,2,2025-02-19,10:40:51.590000</t>
  </si>
  <si>
    <t>12,card,25.96,Americano,Afternoon,Wed,Feb,3,2,2025-02-19,12:45:06.072000</t>
  </si>
  <si>
    <t>12,card,35.76,Cocoa,Afternoon,Wed,Feb,3,2,2025-02-19,12:46:03.964000</t>
  </si>
  <si>
    <t>13,card,25.96,Americano,Afternoon,Wed,Feb,3,2,2025-02-19,13:06:54.382000</t>
  </si>
  <si>
    <t>15,card,35.76,Cappuccino,Afternoon,Wed,Feb,3,2,2025-02-19,15:50:42.815000</t>
  </si>
  <si>
    <t>17,card,25.96,Americano,Night,Wed,Feb,3,2,2025-02-19,17:04:00.258000</t>
  </si>
  <si>
    <t>17,card,35.76,Cappuccino,Night,Wed,Feb,3,2,2025-02-19,17:34:49.096000</t>
  </si>
  <si>
    <t>17,card,30.86,Americano with Milk,Night,Wed,Feb,3,2,2025-02-19,17:57:52.035000</t>
  </si>
  <si>
    <t>18,card,35.76,Cappuccino,Night,Wed,Feb,3,2,2025-02-19,18:35:38.827000</t>
  </si>
  <si>
    <t>19,card,35.76,Latte,Night,Wed,Feb,3,2,2025-02-19,19:01:33.088000</t>
  </si>
  <si>
    <t>19,card,35.76,Cocoa,Night,Wed,Feb,3,2,2025-02-19,19:11:49.990000</t>
  </si>
  <si>
    <t>19,card,35.76,Hot Chocolate,Night,Wed,Feb,3,2,2025-02-19,19:12:42.778000</t>
  </si>
  <si>
    <t>19,card,35.76,Latte,Night,Wed,Feb,3,2,2025-02-19,19:26:22.966000</t>
  </si>
  <si>
    <t>20,card,35.76,Cocoa,Night,Wed,Feb,3,2,2025-02-19,20:05:28.372000</t>
  </si>
  <si>
    <t>7,card,35.76,Cappuccino,Morning,Thu,Feb,4,2,2025-02-20,07:56:24.575000</t>
  </si>
  <si>
    <t>9,card,25.96,Americano,Morning,Thu,Feb,4,2,2025-02-20,09:17:53.311000</t>
  </si>
  <si>
    <t>10,card,35.76,Cappuccino,Morning,Thu,Feb,4,2,2025-02-20,10:16:40.424000</t>
  </si>
  <si>
    <t>10,card,25.96,Americano,Morning,Thu,Feb,4,2,2025-02-20,10:17:38.671000</t>
  </si>
  <si>
    <t>10,card,25.96,Americano,Morning,Thu,Feb,4,2,2025-02-20,10:20:24.946000</t>
  </si>
  <si>
    <t>10,card,25.96,Americano,Morning,Thu,Feb,4,2,2025-02-20,10:24:23.547000</t>
  </si>
  <si>
    <t>13,card,30.86,Americano with Milk,Afternoon,Thu,Feb,4,2,2025-02-20,13:02:19.848000</t>
  </si>
  <si>
    <t>14,card,35.76,Latte,Afternoon,Thu,Feb,4,2,2025-02-20,14:20:33.099000</t>
  </si>
  <si>
    <t>14,card,25.96,Americano,Afternoon,Thu,Feb,4,2,2025-02-20,14:37:59.781000</t>
  </si>
  <si>
    <t>14,card,25.96,Americano,Afternoon,Thu,Feb,4,2,2025-02-20,14:38:49.319000</t>
  </si>
  <si>
    <t>15,card,21.06,Espresso,Afternoon,Thu,Feb,4,2,2025-02-20,15:19:45.555000</t>
  </si>
  <si>
    <t>16,card,35.76,Cappuccino,Afternoon,Thu,Feb,4,2,2025-02-20,16:05:49.514000</t>
  </si>
  <si>
    <t>16,card,35.76,Cappuccino,Afternoon,Thu,Feb,4,2,2025-02-20,16:59:06.628000</t>
  </si>
  <si>
    <t>17,card,35.76,Hot Chocolate,Night,Thu,Feb,4,2,2025-02-20,17:00:36.942000</t>
  </si>
  <si>
    <t>17,card,25.96,Americano,Night,Thu,Feb,4,2,2025-02-20,17:07:27.986000</t>
  </si>
  <si>
    <t>18,card,25.96,Americano,Night,Thu,Feb,4,2,2025-02-20,18:57:34.629000</t>
  </si>
  <si>
    <t>19,card,35.76,Hot Chocolate,Night,Thu,Feb,4,2,2025-02-20,19:01:51.276000</t>
  </si>
  <si>
    <t>19,card,35.76,Cocoa,Night,Thu,Feb,4,2,2025-02-20,19:07:25.568000</t>
  </si>
  <si>
    <t>20,card,35.76,Latte,Night,Thu,Feb,4,2,2025-02-20,20:07:03.598000</t>
  </si>
  <si>
    <t>6,card,25.96,Americano,Morning,Fri,Feb,5,2,2025-02-21,06:59:08.408000</t>
  </si>
  <si>
    <t>9,card,35.76,Latte,Morning,Fri,Feb,5,2,2025-02-21,09:41:29.609000</t>
  </si>
  <si>
    <t>9,card,35.76,Cappuccino,Morning,Fri,Feb,5,2,2025-02-21,09:49:20.918000</t>
  </si>
  <si>
    <t>9,card,21.06,Espresso,Morning,Fri,Feb,5,2,2025-02-21,09:51:12.605000</t>
  </si>
  <si>
    <t>10,card,25.96,Americano,Morning,Fri,Feb,5,2,2025-02-21,10:18:10.978000</t>
  </si>
  <si>
    <t>11,card,30.86,Americano with Milk,Morning,Fri,Feb,5,2,2025-02-21,11:10:07.529000</t>
  </si>
  <si>
    <t>12,card,25.96,Americano,Afternoon,Fri,Feb,5,2,2025-02-21,12:04:49.232000</t>
  </si>
  <si>
    <t>12,card,25.96,Americano,Afternoon,Fri,Feb,5,2,2025-02-21,12:07:42.766000</t>
  </si>
  <si>
    <t>12,card,25.96,Americano,Afternoon,Fri,Feb,5,2,2025-02-21,12:56:17.998000</t>
  </si>
  <si>
    <t>12,card,25.96,Americano,Afternoon,Fri,Feb,5,2,2025-02-21,12:57:02.860000</t>
  </si>
  <si>
    <t>13,card,25.96,Americano,Afternoon,Fri,Feb,5,2,2025-02-21,13:06:42.927000</t>
  </si>
  <si>
    <t>14,card,25.96,Americano,Afternoon,Fri,Feb,5,2,2025-02-21,14:17:54.803000</t>
  </si>
  <si>
    <t>15,card,35.76,Cappuccino,Afternoon,Fri,Feb,5,2,2025-02-21,15:18:31.267000</t>
  </si>
  <si>
    <t>15,card,25.96,Americano,Afternoon,Fri,Feb,5,2,2025-02-21,15:45:54.235000</t>
  </si>
  <si>
    <t>15,card,25.96,Americano,Afternoon,Fri,Feb,5,2,2025-02-21,15:46:48.335000</t>
  </si>
  <si>
    <t>15,card,25.96,Americano,Afternoon,Fri,Feb,5,2,2025-02-21,15:52:48.020000</t>
  </si>
  <si>
    <t>16,card,35.76,Cocoa,Afternoon,Fri,Feb,5,2,2025-02-21,16:10:06.125000</t>
  </si>
  <si>
    <t>16,card,35.76,Latte,Afternoon,Fri,Feb,5,2,2025-02-21,16:46:58.673000</t>
  </si>
  <si>
    <t>16,card,35.76,Hot Chocolate,Afternoon,Fri,Feb,5,2,2025-02-21,16:48:58.515000</t>
  </si>
  <si>
    <t>16,card,35.76,Latte,Afternoon,Fri,Feb,5,2,2025-02-21,16:50:13.417000</t>
  </si>
  <si>
    <t>19,card,35.76,Cocoa,Night,Fri,Feb,5,2,2025-02-21,19:08:18.825000</t>
  </si>
  <si>
    <t>19,card,35.76,Cocoa,Night,Fri,Feb,5,2,2025-02-21,19:09:09.551000</t>
  </si>
  <si>
    <t>19,card,35.76,Cappuccino,Night,Fri,Feb,5,2,2025-02-21,19:59:24.115000</t>
  </si>
  <si>
    <t>10,card,35.76,Hot Chocolate,Morning,Sat,Feb,6,2,2025-02-22,10:52:18.682000</t>
  </si>
  <si>
    <t>11,card,25.96,Americano,Morning,Sat,Feb,6,2,2025-02-22,11:28:30.453000</t>
  </si>
  <si>
    <t>11,card,25.96,Americano,Morning,Sat,Feb,6,2,2025-02-22,11:41:12.848000</t>
  </si>
  <si>
    <t>12,card,21.06,Espresso,Afternoon,Sat,Feb,6,2,2025-02-22,12:59:41.853000</t>
  </si>
  <si>
    <t>15,card,30.86,Americano with Milk,Afternoon,Sat,Feb,6,2,2025-02-22,15:03:03.270000</t>
  </si>
  <si>
    <t>10,card,30.86,Americano with Milk,Morning,Sun,Feb,7,2,2025-02-23,10:33:11.517000</t>
  </si>
  <si>
    <t>12,card,30.86,Americano with Milk,Afternoon,Sun,Feb,7,2,2025-02-23,12:52:26.405000</t>
  </si>
  <si>
    <t>12,card,30.86,Americano with Milk,Afternoon,Sun,Feb,7,2,2025-02-23,12:54:06.170000</t>
  </si>
  <si>
    <t>13,card,35.76,Cappuccino,Afternoon,Sun,Feb,7,2,2025-02-23,13:50:21.627000</t>
  </si>
  <si>
    <t>14,card,35.76,Cocoa,Afternoon,Sun,Feb,7,2,2025-02-23,14:02:03.441000</t>
  </si>
  <si>
    <t>17,card,25.96,Americano,Night,Sun,Feb,7,2,2025-02-23,17:27:44.922000</t>
  </si>
  <si>
    <t>9,card,30.86,Americano with Milk,Morning,Mon,Feb,1,2,2025-02-24,09:14:53.565000</t>
  </si>
  <si>
    <t>9,card,35.76,Latte,Morning,Mon,Feb,1,2,2025-02-24,09:45:10.699000</t>
  </si>
  <si>
    <t>10,card,25.96,Americano,Morning,Mon,Feb,1,2,2025-02-24,10:02:48.501000</t>
  </si>
  <si>
    <t>10,card,30.86,Americano with Milk,Morning,Mon,Feb,1,2,2025-02-24,10:09:12.494000</t>
  </si>
  <si>
    <t>10,card,30.86,Americano with Milk,Morning,Mon,Feb,1,2,2025-02-24,10:10:21.726000</t>
  </si>
  <si>
    <t>10,card,35.76,Cocoa,Morning,Mon,Feb,1,2,2025-02-24,10:47:47.680000</t>
  </si>
  <si>
    <t>12,card,35.76,Latte,Afternoon,Mon,Feb,1,2,2025-02-24,12:58:41.309000</t>
  </si>
  <si>
    <t>13,card,35.76,Cocoa,Afternoon,Mon,Feb,1,2,2025-02-24,13:00:01.278000</t>
  </si>
  <si>
    <t>15,card,30.86,Americano with Milk,Afternoon,Mon,Feb,1,2,2025-02-24,15:40:01.820000</t>
  </si>
  <si>
    <t>16,card,35.76,Cocoa,Afternoon,Mon,Feb,1,2,2025-02-24,16:00:06.327000</t>
  </si>
  <si>
    <t>16,card,35.76,Cappuccino,Afternoon,Mon,Feb,1,2,2025-02-24,16:10:23.971000</t>
  </si>
  <si>
    <t>16,card,35.76,Latte,Afternoon,Mon,Feb,1,2,2025-02-24,16:28:52.132000</t>
  </si>
  <si>
    <t>16,card,25.96,Americano,Afternoon,Mon,Feb,1,2,2025-02-24,16:59:38.528000</t>
  </si>
  <si>
    <t>17,card,25.96,Americano,Night,Mon,Feb,1,2,2025-02-24,17:00:44.935000</t>
  </si>
  <si>
    <t>17,card,30.86,Americano with Milk,Night,Mon,Feb,1,2,2025-02-24,17:37:38.947000</t>
  </si>
  <si>
    <t>18,card,30.86,Americano with Milk,Night,Mon,Feb,1,2,2025-02-24,18:07:01.699000</t>
  </si>
  <si>
    <t>18,card,35.76,Latte,Night,Mon,Feb,1,2,2025-02-24,18:21:57.165000</t>
  </si>
  <si>
    <t>19,card,30.86,Americano with Milk,Night,Mon,Feb,1,2,2025-02-24,19:04:34.437000</t>
  </si>
  <si>
    <t>19,card,35.76,Hot Chocolate,Night,Mon,Feb,1,2,2025-02-24,19:24:10.809000</t>
  </si>
  <si>
    <t>19,card,35.76,Latte,Night,Mon,Feb,1,2,2025-02-24,19:24:54.411000</t>
  </si>
  <si>
    <t>19,card,35.76,Cocoa,Night,Mon,Feb,1,2,2025-02-24,19:26:14.767000</t>
  </si>
  <si>
    <t>20,card,35.76,Cocoa,Night,Mon,Feb,1,2,2025-02-24,20:14:51.303000</t>
  </si>
  <si>
    <t>8,card,30.86,Americano with Milk,Morning,Tue,Feb,2,2,2025-02-25,08:00:39.257000</t>
  </si>
  <si>
    <t>8,card,25.96,Americano,Morning,Tue,Feb,2,2,2025-02-25,08:49:21.068000</t>
  </si>
  <si>
    <t>8,card,30.86,Americano with Milk,Morning,Tue,Feb,2,2,2025-02-25,08:50:14.259000</t>
  </si>
  <si>
    <t>10,card,21.06,Espresso,Morning,Tue,Feb,2,2,2025-02-25,10:02:44.852000</t>
  </si>
  <si>
    <t>11,card,25.96,Americano,Morning,Tue,Feb,2,2,2025-02-25,11:03:33.850000</t>
  </si>
  <si>
    <t>11,card,25.96,Americano,Morning,Tue,Feb,2,2,2025-02-25,11:04:26.917000</t>
  </si>
  <si>
    <t>12,card,35.76,Cappuccino,Afternoon,Tue,Feb,2,2,2025-02-25,12:20:41.507000</t>
  </si>
  <si>
    <t>14,card,35.76,Cappuccino,Afternoon,Tue,Feb,2,2,2025-02-25,14:14:18.541000</t>
  </si>
  <si>
    <t>16,card,25.96,Americano,Afternoon,Tue,Feb,2,2,2025-02-25,16:49:37.395000</t>
  </si>
  <si>
    <t>16,card,25.96,Americano,Afternoon,Tue,Feb,2,2,2025-02-25,16:50:35.811000</t>
  </si>
  <si>
    <t>18,card,35.76,Cocoa,Night,Tue,Feb,2,2,2025-02-25,18:19:09.057000</t>
  </si>
  <si>
    <t>19,card,35.76,Cappuccino,Night,Tue,Feb,2,2,2025-02-25,19:32:40.434000</t>
  </si>
  <si>
    <t>8,card,25.96,Americano,Morning,Wed,Feb,3,2,2025-02-26,08:57:37.237000</t>
  </si>
  <si>
    <t>10,card,30.86,Americano with Milk,Morning,Wed,Feb,3,2,2025-02-26,10:11:27.140000</t>
  </si>
  <si>
    <t>10,card,30.86,Americano with Milk,Morning,Wed,Feb,3,2,2025-02-26,10:12:25.513000</t>
  </si>
  <si>
    <t>10,card,35.76,Hot Chocolate,Morning,Wed,Feb,3,2,2025-02-26,10:16:57.091000</t>
  </si>
  <si>
    <t>13,card,35.76,Cocoa,Afternoon,Wed,Feb,3,2,2025-02-26,13:13:26.877000</t>
  </si>
  <si>
    <t>13,card,35.76,Latte,Afternoon,Wed,Feb,3,2,2025-02-26,13:31:23.611000</t>
  </si>
  <si>
    <t>15,card,25.96,Americano,Afternoon,Wed,Feb,3,2,2025-02-26,15:01:58.636000</t>
  </si>
  <si>
    <t>15,card,25.96,Americano,Afternoon,Wed,Feb,3,2,2025-02-26,15:14:47.989000</t>
  </si>
  <si>
    <t>15,card,25.96,Cortado,Afternoon,Wed,Feb,3,2,2025-02-26,15:17:24.547000</t>
  </si>
  <si>
    <t>15,card,35.76,Hot Chocolate,Afternoon,Wed,Feb,3,2,2025-02-26,15:20:02.820000</t>
  </si>
  <si>
    <t>15,card,25.96,Americano,Afternoon,Wed,Feb,3,2,2025-02-26,15:20:48.805000</t>
  </si>
  <si>
    <t>15,card,25.96,Americano,Afternoon,Wed,Feb,3,2,2025-02-26,15:28:45.256000</t>
  </si>
  <si>
    <t>16,card,35.76,Latte,Afternoon,Wed,Feb,3,2,2025-02-26,16:20:46.792000</t>
  </si>
  <si>
    <t>16,card,35.76,Hot Chocolate,Afternoon,Wed,Feb,3,2,2025-02-26,16:55:13.614000</t>
  </si>
  <si>
    <t>16,card,35.76,Latte,Afternoon,Wed,Feb,3,2,2025-02-26,16:55:59.649000</t>
  </si>
  <si>
    <t>17,card,30.86,Americano with Milk,Night,Wed,Feb,3,2,2025-02-26,17:22:44.573000</t>
  </si>
  <si>
    <t>18,card,35.76,Latte,Night,Wed,Feb,3,2,2025-02-26,18:11:24.140000</t>
  </si>
  <si>
    <t>18,card,35.76,Cappuccino,Night,Wed,Feb,3,2,2025-02-26,18:13:50.419000</t>
  </si>
  <si>
    <t>7,card,35.76,Cappuccino,Morning,Thu,Feb,4,2,2025-02-27,07:19:00.322000</t>
  </si>
  <si>
    <t>7,card,35.76,Cappuccino,Morning,Thu,Feb,4,2,2025-02-27,07:21:00.583000</t>
  </si>
  <si>
    <t>10,card,21.06,Espresso,Morning,Thu,Feb,4,2,2025-02-27,10:52:29.153000</t>
  </si>
  <si>
    <t>11,card,35.76,Cocoa,Morning,Thu,Feb,4,2,2025-02-27,11:08:16.864000</t>
  </si>
  <si>
    <t>12,card,35.76,Cocoa,Afternoon,Thu,Feb,4,2,2025-02-27,12:48:15.878000</t>
  </si>
  <si>
    <t>13,card,30.86,Americano with Milk,Afternoon,Thu,Feb,4,2,2025-02-27,13:29:48.424000</t>
  </si>
  <si>
    <t>14,card,25.96,Americano,Afternoon,Thu,Feb,4,2,2025-02-27,14:23:16.499000</t>
  </si>
  <si>
    <t>14,card,35.76,Latte,Afternoon,Thu,Feb,4,2,2025-02-27,14:43:19.325000</t>
  </si>
  <si>
    <t>15,card,25.96,Americano,Afternoon,Thu,Feb,4,2,2025-02-27,15:47:50.692000</t>
  </si>
  <si>
    <t>16,card,25.96,Americano,Afternoon,Thu,Feb,4,2,2025-02-27,16:28:28.103000</t>
  </si>
  <si>
    <t>17,card,25.96,Americano,Night,Thu,Feb,4,2,2025-02-27,17:12:55.999000</t>
  </si>
  <si>
    <t>17,card,25.96,Americano,Night,Thu,Feb,4,2,2025-02-27,17:23:10.042000</t>
  </si>
  <si>
    <t>17,card,35.76,Latte,Night,Thu,Feb,4,2,2025-02-27,17:53:13.054000</t>
  </si>
  <si>
    <t>18,card,35.76,Latte,Night,Thu,Feb,4,2,2025-02-27,18:17:28.969000</t>
  </si>
  <si>
    <t>18,card,35.76,Cappuccino,Night,Thu,Feb,4,2,2025-02-27,18:38:40.856000</t>
  </si>
  <si>
    <t>18,card,35.76,Cocoa,Night,Thu,Feb,4,2,2025-02-27,18:40:01.843000</t>
  </si>
  <si>
    <t>18,card,35.76,Cocoa,Night,Thu,Feb,4,2,2025-02-27,18:40:52.049000</t>
  </si>
  <si>
    <t>19,card,35.76,Latte,Night,Thu,Feb,4,2,2025-02-27,19:14:15.622000</t>
  </si>
  <si>
    <t>20,card,35.76,Cappuccino,Night,Thu,Feb,4,2,2025-02-27,20:02:07.207000</t>
  </si>
  <si>
    <t>6,card,30.86,Americano with Milk,Morning,Fri,Feb,5,2,2025-02-28,06:52:45.591000</t>
  </si>
  <si>
    <t>6,card,30.86,Americano with Milk,Morning,Fri,Feb,5,2,2025-02-28,06:54:59.973000</t>
  </si>
  <si>
    <t>7,card,35.76,Cappuccino,Morning,Fri,Feb,5,2,2025-02-28,07:18:36.920000</t>
  </si>
  <si>
    <t>8,card,21.06,Espresso,Morning,Fri,Feb,5,2,2025-02-28,08:09:57.784000</t>
  </si>
  <si>
    <t>9,card,30.86,Americano with Milk,Morning,Fri,Feb,5,2,2025-02-28,09:02:38.061000</t>
  </si>
  <si>
    <t>14,card,25.96,Americano,Afternoon,Fri,Feb,5,2,2025-02-28,14:44:28.113000</t>
  </si>
  <si>
    <t>14,card,25.96,Americano,Afternoon,Fri,Feb,5,2,2025-02-28,14:45:22.024000</t>
  </si>
  <si>
    <t>14,card,25.96,Americano,Afternoon,Fri,Feb,5,2,2025-02-28,14:47:52.342000</t>
  </si>
  <si>
    <t>14,card,35.76,Latte,Afternoon,Fri,Feb,5,2,2025-02-28,14:52:02.209000</t>
  </si>
  <si>
    <t>15,card,25.96,Americano,Afternoon,Fri,Feb,5,2,2025-02-28,15:19:18.675000</t>
  </si>
  <si>
    <t>16,card,35.76,Cocoa,Afternoon,Fri,Feb,5,2,2025-02-28,16:22:27.380000</t>
  </si>
  <si>
    <t>16,card,25.96,Americano,Afternoon,Fri,Feb,5,2,2025-02-28,16:30:06.695000</t>
  </si>
  <si>
    <t>17,card,35.76,Latte,Night,Fri,Feb,5,2,2025-02-28,17:21:00.889000</t>
  </si>
  <si>
    <t>17,card,30.86,Americano with Milk,Night,Fri,Feb,5,2,2025-02-28,17:31:04.347000</t>
  </si>
  <si>
    <t>17,card,25.96,Americano,Night,Fri,Feb,5,2,2025-02-28,17:32:16.632000</t>
  </si>
  <si>
    <t>17,card,25.96,Americano,Night,Fri,Feb,5,2,2025-02-28,17:33:49.148000</t>
  </si>
  <si>
    <t>18,card,35.76,Latte,Night,Fri,Feb,5,2,2025-02-28,18:53:49.487000</t>
  </si>
  <si>
    <t>10,card,35.76,Cappuccino,Morning,Sat,Mar,6,3,2025-03-01,10:31:45.742000</t>
  </si>
  <si>
    <t>11,card,25.96,Americano,Morning,Sat,Mar,6,3,2025-03-01,11:24:04.507000</t>
  </si>
  <si>
    <t>11,card,25.96,Americano,Morning,Sat,Mar,6,3,2025-03-01,11:27:58.402000</t>
  </si>
  <si>
    <t>14,card,35.76,Latte,Afternoon,Sat,Mar,6,3,2025-03-01,14:43:23.827000</t>
  </si>
  <si>
    <t>15,card,25.96,Americano,Afternoon,Sat,Mar,6,3,2025-03-01,15:02:31.500000</t>
  </si>
  <si>
    <t>15,card,30.86,Americano with Milk,Afternoon,Sat,Mar,6,3,2025-03-01,15:08:20.223000</t>
  </si>
  <si>
    <t>16,card,35.76,Cappuccino,Afternoon,Sat,Mar,6,3,2025-03-01,16:42:13.049000</t>
  </si>
  <si>
    <t>17,card,25.96,Americano,Night,Sat,Mar,6,3,2025-03-01,17:08:33.502000</t>
  </si>
  <si>
    <t>9,card,35.76,Cocoa,Morning,Sun,Mar,7,3,2025-03-02,09:58:15.295000</t>
  </si>
  <si>
    <t>12,card,35.76,Latte,Afternoon,Sun,Mar,7,3,2025-03-02,12:17:36.376000</t>
  </si>
  <si>
    <t>13,card,30.86,Americano with Milk,Afternoon,Sun,Mar,7,3,2025-03-02,13:36:19.536000</t>
  </si>
  <si>
    <t>15,card,30.86,Americano with Milk,Afternoon,Sun,Mar,7,3,2025-03-02,15:22:17.476000</t>
  </si>
  <si>
    <t>15,card,25.96,Americano,Afternoon,Sun,Mar,7,3,2025-03-02,15:23:15.736000</t>
  </si>
  <si>
    <t>15,card,25.96,Americano,Afternoon,Sun,Mar,7,3,2025-03-02,15:24:45.231000</t>
  </si>
  <si>
    <t>8,card,35.76,Cappuccino,Morning,Mon,Mar,1,3,2025-03-03,08:24:01.942000</t>
  </si>
  <si>
    <t>9,card,35.76,Cocoa,Morning,Mon,Mar,1,3,2025-03-03,09:46:51.968000</t>
  </si>
  <si>
    <t>9,card,35.76,Latte,Morning,Mon,Mar,1,3,2025-03-03,09:48:39.338000</t>
  </si>
  <si>
    <t>10,card,35.76,Hot Chocolate,Morning,Mon,Mar,1,3,2025-03-03,10:21:24.640000</t>
  </si>
  <si>
    <t>10,card,35.76,Hot Chocolate,Morning,Mon,Mar,1,3,2025-03-03,10:24:46.716000</t>
  </si>
  <si>
    <t>12,card,35.76,Cappuccino,Afternoon,Mon,Mar,1,3,2025-03-03,12:58:08.052000</t>
  </si>
  <si>
    <t>15,card,35.76,Latte,Afternoon,Mon,Mar,1,3,2025-03-03,15:11:01.202000</t>
  </si>
  <si>
    <t>15,card,25.96,Americano,Afternoon,Mon,Mar,1,3,2025-03-03,15:47:58.817000</t>
  </si>
  <si>
    <t>16,card,35.76,Cocoa,Afternoon,Mon,Mar,1,3,2025-03-03,16:14:50.464000</t>
  </si>
  <si>
    <t>16,card,35.76,Latte,Afternoon,Mon,Mar,1,3,2025-03-03,16:16:35.240000</t>
  </si>
  <si>
    <t>16,card,35.76,Latte,Afternoon,Mon,Mar,1,3,2025-03-03,16:18:27.089000</t>
  </si>
  <si>
    <t>16,card,35.76,Cappuccino,Afternoon,Mon,Mar,1,3,2025-03-03,16:40:29.304000</t>
  </si>
  <si>
    <t>16,card,35.76,Cappuccino,Afternoon,Mon,Mar,1,3,2025-03-03,16:42:22.611000</t>
  </si>
  <si>
    <t>16,card,25.96,Americano,Afternoon,Mon,Mar,1,3,2025-03-03,16:52:11.629000</t>
  </si>
  <si>
    <t>17,card,30.86,Americano with Milk,Night,Mon,Mar,1,3,2025-03-03,17:28:42.804000</t>
  </si>
  <si>
    <t>17,card,25.96,Americano,Night,Mon,Mar,1,3,2025-03-03,17:31:22.380000</t>
  </si>
  <si>
    <t>17,card,35.76,Hot Chocolate,Night,Mon,Mar,1,3,2025-03-03,17:32:18.437000</t>
  </si>
  <si>
    <t>17,card,25.96,Americano,Night,Mon,Mar,1,3,2025-03-03,17:32:58.753000</t>
  </si>
  <si>
    <t>17,card,35.76,Hot Chocolate,Night,Mon,Mar,1,3,2025-03-03,17:57:32.688000</t>
  </si>
  <si>
    <t>17,card,35.76,Hot Chocolate,Night,Mon,Mar,1,3,2025-03-03,17:58:27.343000</t>
  </si>
  <si>
    <t>18,card,30.86,Americano with Milk,Night,Mon,Mar,1,3,2025-03-03,18:03:05.008000</t>
  </si>
  <si>
    <t>18,card,35.76,Latte,Night,Mon,Mar,1,3,2025-03-03,18:46:52.609000</t>
  </si>
  <si>
    <t>7,card,35.76,Cappuccino,Morning,Tue,Mar,2,3,2025-03-04,07:19:21.939000</t>
  </si>
  <si>
    <t>7,card,25.96,Americano,Morning,Tue,Mar,2,3,2025-03-04,07:31:55.409000</t>
  </si>
  <si>
    <t>8,card,30.86,Americano with Milk,Morning,Tue,Mar,2,3,2025-03-04,08:51:45.272000</t>
  </si>
  <si>
    <t>9,card,25.96,Americano,Morning,Tue,Mar,2,3,2025-03-04,09:09:31.929000</t>
  </si>
  <si>
    <t>9,card,25.96,Americano,Morning,Tue,Mar,2,3,2025-03-04,09:10:22.201000</t>
  </si>
  <si>
    <t>9,card,25.96,Americano,Morning,Tue,Mar,2,3,2025-03-04,09:58:37.168000</t>
  </si>
  <si>
    <t>11,card,30.86,Americano with Milk,Morning,Tue,Mar,2,3,2025-03-04,11:04:01.957000</t>
  </si>
  <si>
    <t>11,card,25.96,Americano,Morning,Tue,Mar,2,3,2025-03-04,11:05:06.974000</t>
  </si>
  <si>
    <t>11,card,25.96,Americano,Morning,Tue,Mar,2,3,2025-03-04,11:46:41.064000</t>
  </si>
  <si>
    <t>11,card,25.96,Americano,Morning,Tue,Mar,2,3,2025-03-04,11:47:24.511000</t>
  </si>
  <si>
    <t>11,card,25.96,Americano,Morning,Tue,Mar,2,3,2025-03-04,11:51:34.795000</t>
  </si>
  <si>
    <t>12,card,35.76,Cocoa,Afternoon,Tue,Mar,2,3,2025-03-04,12:25:59.172000</t>
  </si>
  <si>
    <t>16,card,25.96,Americano,Afternoon,Tue,Mar,2,3,2025-03-04,16:48:58.420000</t>
  </si>
  <si>
    <t>18,card,35.76,Cocoa,Night,Tue,Mar,2,3,2025-03-04,18:43:21.868000</t>
  </si>
  <si>
    <t>19,card,35.76,Latte,Night,Tue,Mar,2,3,2025-03-04,19:10:09.471000</t>
  </si>
  <si>
    <t>20,card,35.76,Latte,Night,Tue,Mar,2,3,2025-03-04,20:09:00.555000</t>
  </si>
  <si>
    <t>8,card,30.86,Americano with Milk,Morning,Wed,Mar,3,3,2025-03-05,08:39:51.618000</t>
  </si>
  <si>
    <t>9,card,25.96,Americano,Morning,Wed,Mar,3,3,2025-03-05,09:38:24.258000</t>
  </si>
  <si>
    <t>10,card,25.96,Americano,Morning,Wed,Mar,3,3,2025-03-05,10:01:14.296000</t>
  </si>
  <si>
    <t>10,card,25.96,Americano,Morning,Wed,Mar,3,3,2025-03-05,10:02:04.297000</t>
  </si>
  <si>
    <t>10,card,35.76,Cappuccino,Morning,Wed,Mar,3,3,2025-03-05,10:10:50.521000</t>
  </si>
  <si>
    <t>10,card,30.86,Americano with Milk,Morning,Wed,Mar,3,3,2025-03-05,10:40:34.821000</t>
  </si>
  <si>
    <t>11,card,35.76,Cappuccino,Morning,Wed,Mar,3,3,2025-03-05,11:08:31.568000</t>
  </si>
  <si>
    <t>11,card,35.76,Cocoa,Morning,Wed,Mar,3,3,2025-03-05,11:10:54.165000</t>
  </si>
  <si>
    <t>11,card,25.96,Americano,Morning,Wed,Mar,3,3,2025-03-05,11:38:51.182000</t>
  </si>
  <si>
    <t>11,card,25.96,Americano,Morning,Wed,Mar,3,3,2025-03-05,11:41:22.429000</t>
  </si>
  <si>
    <t>12,card,25.96,Americano,Afternoon,Wed,Mar,3,3,2025-03-05,12:12:56.269000</t>
  </si>
  <si>
    <t>15,card,35.76,Latte,Afternoon,Wed,Mar,3,3,2025-03-05,15:07:50.623000</t>
  </si>
  <si>
    <t>15,card,35.76,Latte,Afternoon,Wed,Mar,3,3,2025-03-05,15:21:35.832000</t>
  </si>
  <si>
    <t>15,card,35.76,Hot Chocolate,Afternoon,Wed,Mar,3,3,2025-03-05,15:25:11.415000</t>
  </si>
  <si>
    <t>17,card,30.86,Americano with Milk,Night,Wed,Mar,3,3,2025-03-05,17:09:56.990000</t>
  </si>
  <si>
    <t>17,card,21.06,Espresso,Night,Wed,Mar,3,3,2025-03-05,17:16:23.550000</t>
  </si>
  <si>
    <t>17,card,35.76,Latte,Night,Wed,Mar,3,3,2025-03-05,17:31:40.879000</t>
  </si>
  <si>
    <t>18,card,35.76,Cappuccino,Night,Wed,Mar,3,3,2025-03-05,18:13:26.969000</t>
  </si>
  <si>
    <t>19,card,35.76,Cocoa,Night,Wed,Mar,3,3,2025-03-05,19:02:56.818000</t>
  </si>
  <si>
    <t>9,card,35.76,Hot Chocolate,Morning,Thu,Mar,4,3,2025-03-06,09:33:39.296000</t>
  </si>
  <si>
    <t>9,card,21.06,Espresso,Morning,Thu,Mar,4,3,2025-03-06,09:35:52.935000</t>
  </si>
  <si>
    <t>10,card,30.86,Americano with Milk,Morning,Thu,Mar,4,3,2025-03-06,10:48:04.907000</t>
  </si>
  <si>
    <t>10,card,25.96,Americano,Morning,Thu,Mar,4,3,2025-03-06,10:56:47.365000</t>
  </si>
  <si>
    <t>10,card,25.96,Americano,Morning,Thu,Mar,4,3,2025-03-06,10:57:35.031000</t>
  </si>
  <si>
    <t>11,card,25.96,Americano,Morning,Thu,Mar,4,3,2025-03-06,11:05:43.624000</t>
  </si>
  <si>
    <t>11,card,35.76,Cappuccino,Morning,Thu,Mar,4,3,2025-03-06,11:17:38.018000</t>
  </si>
  <si>
    <t>13,card,35.76,Latte,Afternoon,Thu,Mar,4,3,2025-03-06,13:51:33.101000</t>
  </si>
  <si>
    <t>16,card,30.86,Americano with Milk,Afternoon,Thu,Mar,4,3,2025-03-06,16:06:47.303000</t>
  </si>
  <si>
    <t>17,card,35.76,Cocoa,Night,Thu,Mar,4,3,2025-03-06,17:49:11.208000</t>
  </si>
  <si>
    <t>18,card,35.76,Cappuccino,Night,Thu,Mar,4,3,2025-03-06,18:27:11.724000</t>
  </si>
  <si>
    <t>19,card,30.86,Americano with Milk,Night,Thu,Mar,4,3,2025-03-06,19:22:10.719000</t>
  </si>
  <si>
    <t>7,card,35.76,Cappuccino,Morning,Fri,Mar,5,3,2025-03-07,07:05:42.321000</t>
  </si>
  <si>
    <t>8,card,25.96,Americano,Morning,Fri,Mar,5,3,2025-03-07,08:45:10.887000</t>
  </si>
  <si>
    <t>8,card,25.96,Americano,Morning,Fri,Mar,5,3,2025-03-07,08:46:03.828000</t>
  </si>
  <si>
    <t>9,card,25.96,Americano,Morning,Fri,Mar,5,3,2025-03-07,09:02:40.792000</t>
  </si>
  <si>
    <t>10,card,35.76,Hot Chocolate,Morning,Fri,Mar,5,3,2025-03-07,10:09:57.931000</t>
  </si>
  <si>
    <t>10,card,30.86,Americano with Milk,Morning,Fri,Mar,5,3,2025-03-07,10:26:34.938000</t>
  </si>
  <si>
    <t>10,card,30.86,Americano with Milk,Morning,Fri,Mar,5,3,2025-03-07,10:27:32.541000</t>
  </si>
  <si>
    <t>10,card,35.76,Cocoa,Morning,Fri,Mar,5,3,2025-03-07,10:41:45.791000</t>
  </si>
  <si>
    <t>11,card,35.76,Cocoa,Morning,Fri,Mar,5,3,2025-03-07,11:50:59.454000</t>
  </si>
  <si>
    <t>12,card,30.86,Americano with Milk,Afternoon,Fri,Mar,5,3,2025-03-07,12:03:46.247000</t>
  </si>
  <si>
    <t>13,card,35.76,Hot Chocolate,Afternoon,Fri,Mar,5,3,2025-03-07,13:43:48.445000</t>
  </si>
  <si>
    <t>13,card,25.96,Americano,Afternoon,Fri,Mar,5,3,2025-03-07,13:55:31.605000</t>
  </si>
  <si>
    <t>14,card,35.76,Cappuccino,Afternoon,Fri,Mar,5,3,2025-03-07,14:53:30.160000</t>
  </si>
  <si>
    <t>15,card,35.76,Latte,Afternoon,Fri,Mar,5,3,2025-03-07,15:09:04.325000</t>
  </si>
  <si>
    <t>15,card,35.76,Latte,Afternoon,Fri,Mar,5,3,2025-03-07,15:52:52.989000</t>
  </si>
  <si>
    <t>17,card,35.76,Latte,Night,Fri,Mar,5,3,2025-03-07,17:10:29.285000</t>
  </si>
  <si>
    <t>17,card,35.76,Hot Chocolate,Night,Fri,Mar,5,3,2025-03-07,17:12:23.608000</t>
  </si>
  <si>
    <t>9,card,30.86,Americano with Milk,Morning,Sat,Mar,6,3,2025-03-08,09:23:44.544000</t>
  </si>
  <si>
    <t>9,card,30.86,Americano with Milk,Morning,Sat,Mar,6,3,2025-03-08,09:41:52.900000</t>
  </si>
  <si>
    <t>10,card,25.96,Americano,Morning,Sat,Mar,6,3,2025-03-08,10:54:13.634000</t>
  </si>
  <si>
    <t>11,card,25.96,Americano,Morning,Sat,Mar,6,3,2025-03-08,11:19:45.578000</t>
  </si>
  <si>
    <t>11,card,25.96,Americano,Morning,Sat,Mar,6,3,2025-03-08,11:20:32.377000</t>
  </si>
  <si>
    <t>12,card,30.86,Americano with Milk,Afternoon,Sat,Mar,6,3,2025-03-08,12:41:19.836000</t>
  </si>
  <si>
    <t>12,card,25.96,Americano,Afternoon,Sat,Mar,6,3,2025-03-08,12:45:05.337000</t>
  </si>
  <si>
    <t>13,card,35.76,Cappuccino,Afternoon,Sat,Mar,6,3,2025-03-08,13:40:06.054000</t>
  </si>
  <si>
    <t>9,card,21.06,Espresso,Morning,Sun,Mar,7,3,2025-03-09,09:42:03.883000</t>
  </si>
  <si>
    <t>11,card,30.86,Americano with Milk,Morning,Sun,Mar,7,3,2025-03-09,11:25:53.184000</t>
  </si>
  <si>
    <t>13,card,35.76,Cappuccino,Afternoon,Sun,Mar,7,3,2025-03-09,13:51:56.278000</t>
  </si>
  <si>
    <t>14,card,25.96,Americano,Afternoon,Sun,Mar,7,3,2025-03-09,14:18:30.062000</t>
  </si>
  <si>
    <t>15,card,35.76,Cappuccino,Afternoon,Sun,Mar,7,3,2025-03-09,15:12:41.404000</t>
  </si>
  <si>
    <t>15,card,25.96,Americano,Afternoon,Sun,Mar,7,3,2025-03-09,15:39:07.132000</t>
  </si>
  <si>
    <t>15,card,30.86,Americano with Milk,Afternoon,Sun,Mar,7,3,2025-03-09,15:52:39.328000</t>
  </si>
  <si>
    <t>15,card,35.76,Cocoa,Afternoon,Sun,Mar,7,3,2025-03-09,15:53:40.394000</t>
  </si>
  <si>
    <t>8,card,25.96,Americano,Morning,Mon,Mar,1,3,2025-03-10,08:34:43.483000</t>
  </si>
  <si>
    <t>8,card,35.76,Latte,Morning,Mon,Mar,1,3,2025-03-10,08:35:40.478000</t>
  </si>
  <si>
    <t>9,card,30.86,Americano with Milk,Morning,Mon,Mar,1,3,2025-03-10,09:06:27.613000</t>
  </si>
  <si>
    <t>9,card,35.76,Hot Chocolate,Morning,Mon,Mar,1,3,2025-03-10,09:19:28.887000</t>
  </si>
  <si>
    <t>9,card,35.76,Cocoa,Morning,Mon,Mar,1,3,2025-03-10,09:50:54.123000</t>
  </si>
  <si>
    <t>10,card,35.76,Hot Chocolate,Morning,Mon,Mar,1,3,2025-03-10,10:18:57.060000</t>
  </si>
  <si>
    <t>12,card,25.96,Americano,Afternoon,Mon,Mar,1,3,2025-03-10,12:36:14.796000</t>
  </si>
  <si>
    <t>15,card,25.96,Americano,Afternoon,Mon,Mar,1,3,2025-03-10,15:32:09.477000</t>
  </si>
  <si>
    <t>15,card,35.76,Hot Chocolate,Afternoon,Mon,Mar,1,3,2025-03-10,15:41:57.873000</t>
  </si>
  <si>
    <t>16,card,35.76,Latte,Afternoon,Mon,Mar,1,3,2025-03-10,16:18:00.593000</t>
  </si>
  <si>
    <t>16,card,35.76,Latte,Afternoon,Mon,Mar,1,3,2025-03-10,16:18:54.225000</t>
  </si>
  <si>
    <t>16,card,35.76,Cappuccino,Afternoon,Mon,Mar,1,3,2025-03-10,16:24:25.439000</t>
  </si>
  <si>
    <t>16,card,30.86,Americano with Milk,Afternoon,Mon,Mar,1,3,2025-03-10,16:25:32.458000</t>
  </si>
  <si>
    <t>18,card,25.96,Americano,Night,Mon,Mar,1,3,2025-03-10,18:15:54.241000</t>
  </si>
  <si>
    <t>18,card,35.76,Latte,Night,Mon,Mar,1,3,2025-03-10,18:48:30.228000</t>
  </si>
  <si>
    <t>18,card,35.76,Latte,Night,Mon,Mar,1,3,2025-03-10,18:49:22.317000</t>
  </si>
  <si>
    <t>19,card,30.86,Americano with Milk,Night,Mon,Mar,1,3,2025-03-10,19:26:42.875000</t>
  </si>
  <si>
    <t>8,card,25.96,Americano,Morning,Tue,Mar,2,3,2025-03-11,08:46:25.572000</t>
  </si>
  <si>
    <t>9,card,35.76,Cappuccino,Morning,Tue,Mar,2,3,2025-03-11,09:12:27.690000</t>
  </si>
  <si>
    <t>9,card,35.76,Latte,Morning,Tue,Mar,2,3,2025-03-11,09:27:04.403000</t>
  </si>
  <si>
    <t>10,card,25.96,Americano,Morning,Tue,Mar,2,3,2025-03-11,10:26:57.814000</t>
  </si>
  <si>
    <t>12,card,25.96,Americano,Afternoon,Tue,Mar,2,3,2025-03-11,12:33:20.355000</t>
  </si>
  <si>
    <t>13,card,25.96,Americano,Afternoon,Tue,Mar,2,3,2025-03-11,13:16:54.690000</t>
  </si>
  <si>
    <t>16,card,35.76,Hot Chocolate,Afternoon,Tue,Mar,2,3,2025-03-11,16:29:31.062000</t>
  </si>
  <si>
    <t>16,card,35.76,Cocoa,Afternoon,Tue,Mar,2,3,2025-03-11,16:30:16.089000</t>
  </si>
  <si>
    <t>16,card,35.76,Hot Chocolate,Afternoon,Tue,Mar,2,3,2025-03-11,16:49:40.750000</t>
  </si>
  <si>
    <t>17,card,35.76,Cappuccino,Night,Tue,Mar,2,3,2025-03-11,17:46:50.233000</t>
  </si>
  <si>
    <t>18,card,30.86,Americano with Milk,Night,Tue,Mar,2,3,2025-03-11,18:56:52.112000</t>
  </si>
  <si>
    <t>19,card,35.76,Latte,Night,Tue,Mar,2,3,2025-03-11,19:07:14.374000</t>
  </si>
  <si>
    <t>20,card,35.76,Cocoa,Night,Tue,Mar,2,3,2025-03-11,20:08:56.329000</t>
  </si>
  <si>
    <t>11,card,35.76,Cocoa,Morning,Wed,Mar,3,3,2025-03-12,11:11:39.446000</t>
  </si>
  <si>
    <t>11,card,30.86,Americano with Milk,Morning,Wed,Mar,3,3,2025-03-12,11:47:34.257000</t>
  </si>
  <si>
    <t>11,card,35.76,Cappuccino,Morning,Wed,Mar,3,3,2025-03-12,11:50:15.399000</t>
  </si>
  <si>
    <t>11,card,25.96,Americano,Morning,Wed,Mar,3,3,2025-03-12,11:55:55.859000</t>
  </si>
  <si>
    <t>11,card,25.96,Americano,Morning,Wed,Mar,3,3,2025-03-12,11:56:48.899000</t>
  </si>
  <si>
    <t>12,card,25.96,Americano,Afternoon,Wed,Mar,3,3,2025-03-12,12:06:11.058000</t>
  </si>
  <si>
    <t>12,card,35.76,Hot Chocolate,Afternoon,Wed,Mar,3,3,2025-03-12,12:55:38.412000</t>
  </si>
  <si>
    <t>13,card,35.76,Latte,Afternoon,Wed,Mar,3,3,2025-03-12,13:01:49.309000</t>
  </si>
  <si>
    <t>13,card,35.76,Latte,Afternoon,Wed,Mar,3,3,2025-03-12,13:56:23.641000</t>
  </si>
  <si>
    <t>16,card,35.76,Cappuccino,Afternoon,Wed,Mar,3,3,2025-03-12,16:27:37.181000</t>
  </si>
  <si>
    <t>16,card,35.76,Latte,Afternoon,Wed,Mar,3,3,2025-03-12,16:35:03.980000</t>
  </si>
  <si>
    <t>16,card,35.76,Latte,Afternoon,Wed,Mar,3,3,2025-03-12,16:36:00.656000</t>
  </si>
  <si>
    <t>18,card,25.96,Americano,Night,Wed,Mar,3,3,2025-03-12,18:10:34.209000</t>
  </si>
  <si>
    <t>18,card,35.76,Cocoa,Night,Wed,Mar,3,3,2025-03-12,18:17:17.844000</t>
  </si>
  <si>
    <t>18,card,25.96,Americano,Night,Wed,Mar,3,3,2025-03-12,18:24:40.491000</t>
  </si>
  <si>
    <t>18,card,35.76,Cappuccino,Night,Wed,Mar,3,3,2025-03-12,18:38:56.648000</t>
  </si>
  <si>
    <t>18,card,25.96,Americano,Night,Wed,Mar,3,3,2025-03-12,18:42:13.656000</t>
  </si>
  <si>
    <t>7,card,35.76,Cappuccino,Morning,Thu,Mar,4,3,2025-03-13,07:01:36.408000</t>
  </si>
  <si>
    <t>8,card,30.86,Americano with Milk,Morning,Thu,Mar,4,3,2025-03-13,08:23:17.476000</t>
  </si>
  <si>
    <t>9,card,30.86,Americano with Milk,Morning,Thu,Mar,4,3,2025-03-13,09:04:47.284000</t>
  </si>
  <si>
    <t>9,card,35.76,Latte,Morning,Thu,Mar,4,3,2025-03-13,09:20:09.466000</t>
  </si>
  <si>
    <t>9,card,21.06,Espresso,Morning,Thu,Mar,4,3,2025-03-13,09:22:04.621000</t>
  </si>
  <si>
    <t>9,card,25.96,Americano,Morning,Thu,Mar,4,3,2025-03-13,09:38:19.627000</t>
  </si>
  <si>
    <t>9,card,30.86,Americano with Milk,Morning,Thu,Mar,4,3,2025-03-13,09:39:14.588000</t>
  </si>
  <si>
    <t>11,card,25.96,Americano,Morning,Thu,Mar,4,3,2025-03-13,11:18:02.309000</t>
  </si>
  <si>
    <t>12,card,35.76,Latte,Afternoon,Thu,Mar,4,3,2025-03-13,12:13:37.365000</t>
  </si>
  <si>
    <t>14,card,30.86,Americano with Milk,Afternoon,Thu,Mar,4,3,2025-03-13,14:53:50.007000</t>
  </si>
  <si>
    <t>14,card,25.96,Americano,Afternoon,Thu,Mar,4,3,2025-03-13,14:55:31.554000</t>
  </si>
  <si>
    <t>18,card,35.76,Cappuccino,Night,Thu,Mar,4,3,2025-03-13,18:47:43.645000</t>
  </si>
  <si>
    <t>7,card,25.96,Americano,Morning,Fri,Mar,5,3,2025-03-14,07:55:05.952000</t>
  </si>
  <si>
    <t>8,card,30.86,Americano with Milk,Morning,Fri,Mar,5,3,2025-03-14,08:13:40.184000</t>
  </si>
  <si>
    <t>8,card,25.96,Americano,Morning,Fri,Mar,5,3,2025-03-14,08:59:26.828000</t>
  </si>
  <si>
    <t>9,card,35.76,Latte,Morning,Fri,Mar,5,3,2025-03-14,09:00:29.883000</t>
  </si>
  <si>
    <t>9,card,21.06,Espresso,Morning,Fri,Mar,5,3,2025-03-14,09:26:07.904000</t>
  </si>
  <si>
    <t>9,card,25.96,Americano,Morning,Fri,Mar,5,3,2025-03-14,09:28:37.201000</t>
  </si>
  <si>
    <t>10,card,25.96,Americano,Morning,Fri,Mar,5,3,2025-03-14,10:20:51.345000</t>
  </si>
  <si>
    <t>10,card,35.76,Latte,Morning,Fri,Mar,5,3,2025-03-14,10:48:22.804000</t>
  </si>
  <si>
    <t>10,card,35.76,Cappuccino,Morning,Fri,Mar,5,3,2025-03-14,10:49:27.796000</t>
  </si>
  <si>
    <t>14,card,25.96,Americano,Afternoon,Fri,Mar,5,3,2025-03-14,14:35:17.282000</t>
  </si>
  <si>
    <t>14,card,35.76,Latte,Afternoon,Fri,Mar,5,3,2025-03-14,14:36:21.815000</t>
  </si>
  <si>
    <t>15,card,35.76,Latte,Afternoon,Fri,Mar,5,3,2025-03-14,15:54:20.979000</t>
  </si>
  <si>
    <t>15,card,35.76,Latte,Afternoon,Fri,Mar,5,3,2025-03-14,15:55:40.848000</t>
  </si>
  <si>
    <t>16,card,25.96,Americano,Afternoon,Fri,Mar,5,3,2025-03-14,16:27:04.016000</t>
  </si>
  <si>
    <t>16,card,35.76,Cocoa,Afternoon,Fri,Mar,5,3,2025-03-14,16:31:00.187000</t>
  </si>
  <si>
    <t>16,card,35.76,Cocoa,Afternoon,Fri,Mar,5,3,2025-03-14,16:31:55.078000</t>
  </si>
  <si>
    <t>16,card,35.76,Cocoa,Afternoon,Fri,Mar,5,3,2025-03-14,16:32:40.221000</t>
  </si>
  <si>
    <t>17,card,25.96,Americano,Night,Fri,Mar,5,3,2025-03-14,17:05:24.113000</t>
  </si>
  <si>
    <t>17,card,25.96,Americano,Night,Fri,Mar,5,3,2025-03-14,17:22:14.665000</t>
  </si>
  <si>
    <t>17,card,35.76,Latte,Night,Fri,Mar,5,3,2025-03-14,17:27:15.280000</t>
  </si>
  <si>
    <t>17,card,35.76,Latte,Night,Fri,Mar,5,3,2025-03-14,17:28:38.332000</t>
  </si>
  <si>
    <t>20,card,25.96,Americano,Night,Fri,Mar,5,3,2025-03-14,20:20:22.022000</t>
  </si>
  <si>
    <t>21,card,25.96,Americano,Night,Fri,Mar,5,3,2025-03-14,21:40:43.586000</t>
  </si>
  <si>
    <t>9,card,30.86,Americano with Milk,Morning,Sat,Mar,6,3,2025-03-15,09:53:22.276000</t>
  </si>
  <si>
    <t>10,card,35.76,Cappuccino,Morning,Sat,Mar,6,3,2025-03-15,10:03:22.542000</t>
  </si>
  <si>
    <t>13,card,25.96,Americano,Afternoon,Sat,Mar,6,3,2025-03-15,13:55:41.953000</t>
  </si>
  <si>
    <t>17,card,35.76,Cappuccino,Night,Sat,Mar,6,3,2025-03-15,17:10:23.402000</t>
  </si>
  <si>
    <t>17,card,30.86,Americano with Milk,Night,Sat,Mar,6,3,2025-03-15,17:12:08.359000</t>
  </si>
  <si>
    <t>19,card,30.86,Americano with Milk,Night,Sat,Mar,6,3,2025-03-15,19:30:36.505000</t>
  </si>
  <si>
    <t>19,card,35.76,Cappuccino,Night,Sat,Mar,6,3,2025-03-15,19:51:27.089000</t>
  </si>
  <si>
    <t>9,card,35.76,Cappuccino,Morning,Sun,Mar,7,3,2025-03-16,09:32:17.307000</t>
  </si>
  <si>
    <t>9,card,30.86,Americano with Milk,Morning,Sun,Mar,7,3,2025-03-16,09:36:23.195000</t>
  </si>
  <si>
    <t>10,card,35.76,Latte,Morning,Sun,Mar,7,3,2025-03-16,10:50:09.372000</t>
  </si>
  <si>
    <t>12,card,35.76,Hot Chocolate,Afternoon,Sun,Mar,7,3,2025-03-16,12:00:47.135000</t>
  </si>
  <si>
    <t>14,card,25.96,Americano,Afternoon,Sun,Mar,7,3,2025-03-16,14:22:42.633000</t>
  </si>
  <si>
    <t>6,card,25.96,Americano,Morning,Mon,Mar,1,3,2025-03-17,06:54:40.633000</t>
  </si>
  <si>
    <t>8,card,25.96,Americano,Morning,Mon,Mar,1,3,2025-03-17,08:09:50.056000</t>
  </si>
  <si>
    <t>8,card,25.96,Americano,Morning,Mon,Mar,1,3,2025-03-17,08:18:02.658000</t>
  </si>
  <si>
    <t>9,card,30.86,Americano with Milk,Morning,Mon,Mar,1,3,2025-03-17,09:02:58.954000</t>
  </si>
  <si>
    <t>10,card,25.96,Americano,Morning,Mon,Mar,1,3,2025-03-17,10:32:39.537000</t>
  </si>
  <si>
    <t>13,card,25.96,Americano,Afternoon,Mon,Mar,1,3,2025-03-17,13:59:00.995000</t>
  </si>
  <si>
    <t>14,card,35.76,Cocoa,Afternoon,Mon,Mar,1,3,2025-03-17,14:21:24.547000</t>
  </si>
  <si>
    <t>14,card,35.76,Cocoa,Afternoon,Mon,Mar,1,3,2025-03-17,14:22:19.742000</t>
  </si>
  <si>
    <t>14,card,35.76,Latte,Afternoon,Mon,Mar,1,3,2025-03-17,14:48:03.518000</t>
  </si>
  <si>
    <t>15,card,35.76,Cappuccino,Afternoon,Mon,Mar,1,3,2025-03-17,15:11:17.288000</t>
  </si>
  <si>
    <t>15,card,35.76,Latte,Afternoon,Mon,Mar,1,3,2025-03-17,15:47:15.913000</t>
  </si>
  <si>
    <t>15,card,35.76,Latte,Afternoon,Mon,Mar,1,3,2025-03-17,15:48:58.455000</t>
  </si>
  <si>
    <t>16,card,25.96,Americano,Afternoon,Mon,Mar,1,3,2025-03-17,16:46:44.575000</t>
  </si>
  <si>
    <t>8,card,30.86,Americano with Milk,Morning,Tue,Mar,2,3,2025-03-18,08:23:10.985000</t>
  </si>
  <si>
    <t>8,card,35.76,Latte,Morning,Tue,Mar,2,3,2025-03-18,08:33:49.559000</t>
  </si>
  <si>
    <t>10,card,35.76,Latte,Morning,Tue,Mar,2,3,2025-03-18,10:49:51.408000</t>
  </si>
  <si>
    <t>10,card,25.96,Americano,Morning,Tue,Mar,2,3,2025-03-18,10:51:17.714000</t>
  </si>
  <si>
    <t>11,card,35.76,Hot Chocolate,Morning,Tue,Mar,2,3,2025-03-18,11:47:19.969000</t>
  </si>
  <si>
    <t>11,card,35.76,Hot Chocolate,Morning,Tue,Mar,2,3,2025-03-18,11:48:55.654000</t>
  </si>
  <si>
    <t>14,card,30.86,Americano with Milk,Afternoon,Tue,Mar,2,3,2025-03-18,14:43:35.117000</t>
  </si>
  <si>
    <t>15,card,25.96,Americano,Afternoon,Tue,Mar,2,3,2025-03-18,15:03:53.426000</t>
  </si>
  <si>
    <t>15,card,30.86,Americano with Milk,Afternoon,Tue,Mar,2,3,2025-03-18,15:11:07.394000</t>
  </si>
  <si>
    <t>16,card,25.96,Americano,Afternoon,Tue,Mar,2,3,2025-03-18,16:09:07.577000</t>
  </si>
  <si>
    <t>16,card,35.76,Latte,Afternoon,Tue,Mar,2,3,2025-03-18,16:11:45.142000</t>
  </si>
  <si>
    <t>16,card,21.06,Espresso,Afternoon,Tue,Mar,2,3,2025-03-18,16:23:20.622000</t>
  </si>
  <si>
    <t>18,card,35.76,Cocoa,Night,Tue,Mar,2,3,2025-03-18,18:42:30.606000</t>
  </si>
  <si>
    <t>18,card,35.76,Cocoa,Night,Tue,Mar,2,3,2025-03-18,18:43:17.494000</t>
  </si>
  <si>
    <t>20,card,35.76,Cocoa,Night,Tue,Mar,2,3,2025-03-18,20:00:34.963000</t>
  </si>
  <si>
    <t>20,card,35.76,Cocoa,Night,Tue,Mar,2,3,2025-03-18,20:01:37.737000</t>
  </si>
  <si>
    <t>21,card,35.76,Latte,Night,Tue,Mar,2,3,2025-03-18,21:20:40.031000</t>
  </si>
  <si>
    <t>7,card,25.96,Americano,Morning,Wed,Mar,3,3,2025-03-19,07:03:07.073000</t>
  </si>
  <si>
    <t>7,card,25.96,Americano,Morning,Wed,Mar,3,3,2025-03-19,07:04:08.618000</t>
  </si>
  <si>
    <t>7,card,35.76,Cappuccino,Morning,Wed,Mar,3,3,2025-03-19,07:06:34.913000</t>
  </si>
  <si>
    <t>8,card,25.96,Americano,Morning,Wed,Mar,3,3,2025-03-19,08:03:18.296000</t>
  </si>
  <si>
    <t>10,card,35.76,Hot Chocolate,Morning,Wed,Mar,3,3,2025-03-19,10:18:39.225000</t>
  </si>
  <si>
    <t>11,card,25.96,Americano,Morning,Wed,Mar,3,3,2025-03-19,11:55:39.825000</t>
  </si>
  <si>
    <t>12,card,25.96,Americano,Afternoon,Wed,Mar,3,3,2025-03-19,12:58:27.177000</t>
  </si>
  <si>
    <t>15,card,35.76,Latte,Afternoon,Wed,Mar,3,3,2025-03-19,15:12:53.164000</t>
  </si>
  <si>
    <t>15,card,35.76,Latte,Afternoon,Wed,Mar,3,3,2025-03-19,15:14:23.419000</t>
  </si>
  <si>
    <t>16,card,35.76,Latte,Afternoon,Wed,Mar,3,3,2025-03-19,16:19:33.938000</t>
  </si>
  <si>
    <t>16,card,25.96,Americano,Afternoon,Wed,Mar,3,3,2025-03-19,16:29:56.276000</t>
  </si>
  <si>
    <t>16,card,35.76,Cappuccino,Afternoon,Wed,Mar,3,3,2025-03-19,16:40:33.766000</t>
  </si>
  <si>
    <t>16,card,35.76,Cappuccino,Afternoon,Wed,Mar,3,3,2025-03-19,16:42:16.035000</t>
  </si>
  <si>
    <t>16,card,25.96,Americano,Afternoon,Wed,Mar,3,3,2025-03-19,16:51:35.154000</t>
  </si>
  <si>
    <t>16,card,25.96,Americano,Afternoon,Wed,Mar,3,3,2025-03-19,16:52:29.653000</t>
  </si>
  <si>
    <t>17,card,35.76,Cocoa,Night,Wed,Mar,3,3,2025-03-19,16:59:59.993000</t>
  </si>
  <si>
    <t>17,card,30.86,Americano with Milk,Night,Wed,Mar,3,3,2025-03-19,17:09:55.033000</t>
  </si>
  <si>
    <t>17,card,30.86,Americano with Milk,Night,Wed,Mar,3,3,2025-03-19,17:27:39.671000</t>
  </si>
  <si>
    <t>18,card,25.96,Cortado,Night,Wed,Mar,3,3,2025-03-19,18:29:50.378000</t>
  </si>
  <si>
    <t>18,card,21.06,Espresso,Night,Wed,Mar,3,3,2025-03-19,18:30:44.007000</t>
  </si>
  <si>
    <t>18,card,21.06,Espresso,Night,Wed,Mar,3,3,2025-03-19,18:31:25.990000</t>
  </si>
  <si>
    <t>8,card,30.86,Americano with Milk,Morning,Thu,Mar,4,3,2025-03-20,08:13:16.283000</t>
  </si>
  <si>
    <t>9,card,30.86,Americano with Milk,Morning,Thu,Mar,4,3,2025-03-20,09:52:04.770000</t>
  </si>
  <si>
    <t>10,card,30.86,Americano with Milk,Morning,Thu,Mar,4,3,2025-03-20,10:06:44.316000</t>
  </si>
  <si>
    <t>10,card,25.96,Americano,Morning,Thu,Mar,4,3,2025-03-20,10:45:44.187000</t>
  </si>
  <si>
    <t>10,card,25.96,Americano,Morning,Thu,Mar,4,3,2025-03-20,10:55:17.442000</t>
  </si>
  <si>
    <t>12,card,25.96,Americano,Afternoon,Thu,Mar,4,3,2025-03-20,12:48:24.389000</t>
  </si>
  <si>
    <t>14,card,25.96,Americano,Afternoon,Thu,Mar,4,3,2025-03-20,14:04:43.871000</t>
  </si>
  <si>
    <t>14,card,25.96,Americano,Afternoon,Thu,Mar,4,3,2025-03-20,14:20:37.878000</t>
  </si>
  <si>
    <t>14,card,21.06,Espresso,Afternoon,Thu,Mar,4,3,2025-03-20,14:21:41.901000</t>
  </si>
  <si>
    <t>14,card,25.96,Cortado,Afternoon,Thu,Mar,4,3,2025-03-20,14:25:04.690000</t>
  </si>
  <si>
    <t>14,card,35.76,Cappuccino,Afternoon,Thu,Mar,4,3,2025-03-20,14:26:46.715000</t>
  </si>
  <si>
    <t>14,card,35.76,Cappuccino,Afternoon,Thu,Mar,4,3,2025-03-20,14:59:47.451000</t>
  </si>
  <si>
    <t>15,card,25.96,Americano,Afternoon,Thu,Mar,4,3,2025-03-20,15:05:22.395000</t>
  </si>
  <si>
    <t>15,card,25.96,Americano,Afternoon,Thu,Mar,4,3,2025-03-20,15:21:51.822000</t>
  </si>
  <si>
    <t>16,card,35.76,Cappuccino,Afternoon,Thu,Mar,4,3,2025-03-20,16:45:44.972000</t>
  </si>
  <si>
    <t>17,card,25.96,Americano,Night,Thu,Mar,4,3,2025-03-20,17:23:51.421000</t>
  </si>
  <si>
    <t>18,card,35.76,Hot Chocolate,Night,Thu,Mar,4,3,2025-03-20,18:55:58.672000</t>
  </si>
  <si>
    <t>19,card,35.76,Cocoa,Night,Thu,Mar,4,3,2025-03-20,19:36:41.600000</t>
  </si>
  <si>
    <t>19,card,35.76,Cappuccino,Night,Thu,Mar,4,3,2025-03-20,19:57:48.479000</t>
  </si>
  <si>
    <t>21,card,35.76,Latte,Night,Thu,Mar,4,3,2025-03-20,21:50:15.613000</t>
  </si>
  <si>
    <t>7,card,30.86,Americano with Milk,Morning,Fri,Mar,5,3,2025-03-21,07:06:11.979000</t>
  </si>
  <si>
    <t>7,card,30.86,Americano with Milk,Morning,Fri,Mar,5,3,2025-03-21,07:09:08.106000</t>
  </si>
  <si>
    <t>8,card,25.96,Americano,Morning,Fri,Mar,5,3,2025-03-21,08:16:43.719000</t>
  </si>
  <si>
    <t>8,card,25.96,Americano,Morning,Fri,Mar,5,3,2025-03-21,08:28:36.520000</t>
  </si>
  <si>
    <t>8,card,25.96,Americano,Morning,Fri,Mar,5,3,2025-03-21,08:29:20.898000</t>
  </si>
  <si>
    <t>8,card,35.76,Cappuccino,Morning,Fri,Mar,5,3,2025-03-21,08:35:18.996000</t>
  </si>
  <si>
    <t>11,card,25.96,Americano,Morning,Fri,Mar,5,3,2025-03-21,11:50:09.303000</t>
  </si>
  <si>
    <t>11,card,35.76,Latte,Morning,Fri,Mar,5,3,2025-03-21,11:51:07.530000</t>
  </si>
  <si>
    <t>13,card,25.96,Americano,Afternoon,Fri,Mar,5,3,2025-03-21,13:02:48.347000</t>
  </si>
  <si>
    <t>13,card,35.76,Latte,Afternoon,Fri,Mar,5,3,2025-03-21,13:23:57.002000</t>
  </si>
  <si>
    <t>14,card,35.76,Cappuccino,Afternoon,Fri,Mar,5,3,2025-03-21,14:11:44.055000</t>
  </si>
  <si>
    <t>15,card,35.76,Cappuccino,Afternoon,Fri,Mar,5,3,2025-03-21,15:09:03.022000</t>
  </si>
  <si>
    <t>15,card,25.96,Americano,Afternoon,Fri,Mar,5,3,2025-03-21,15:24:42.515000</t>
  </si>
  <si>
    <t>15,card,35.76,Latte,Afternoon,Fri,Mar,5,3,2025-03-21,15:28:19.564000</t>
  </si>
  <si>
    <t>15,card,35.76,Cappuccino,Afternoon,Fri,Mar,5,3,2025-03-21,15:29:32.330000</t>
  </si>
  <si>
    <t>17,card,35.76,Hot Chocolate,Night,Fri,Mar,5,3,2025-03-21,17:01:28.771000</t>
  </si>
  <si>
    <t>17,card,35.76,Latte,Night,Fri,Mar,5,3,2025-03-21,17:21:16.930000</t>
  </si>
  <si>
    <t>17,card,35.76,Latte,Night,Fri,Mar,5,3,2025-03-21,17:22:49.875000</t>
  </si>
  <si>
    <t>18,card,35.76,Latte,Night,Fri,Mar,5,3,2025-03-21,18:52:12.666000</t>
  </si>
  <si>
    <t>18,card,25.96,Americano,Night,Fri,Mar,5,3,2025-03-21,18:59:24.271000</t>
  </si>
  <si>
    <t>9,card,30.86,Americano with Milk,Morning,Sat,Mar,6,3,2025-03-22,09:05:13.059000</t>
  </si>
  <si>
    <t>10,card,30.86,Americano with Milk,Morning,Sat,Mar,6,3,2025-03-22,10:30:09.403000</t>
  </si>
  <si>
    <t>11,card,35.76,Hot Chocolate,Morning,Sat,Mar,6,3,2025-03-22,11:14:05.960000</t>
  </si>
  <si>
    <t>11,card,35.76,Cocoa,Morning,Sat,Mar,6,3,2025-03-22,11:41:20.579000</t>
  </si>
  <si>
    <t>12,card,30.86,Americano with Milk,Afternoon,Sat,Mar,6,3,2025-03-22,12:18:27.491000</t>
  </si>
  <si>
    <t>12,card,25.96,Americano,Afternoon,Sat,Mar,6,3,2025-03-22,12:25:59.676000</t>
  </si>
  <si>
    <t>13,card,25.96,Americano,Afternoon,Sat,Mar,6,3,2025-03-22,13:06:21.590000</t>
  </si>
  <si>
    <t>13,card,30.86,Americano with Milk,Afternoon,Sat,Mar,6,3,2025-03-22,13:23:17.918000</t>
  </si>
  <si>
    <t>15,card,21.06,Espresso,Afternoon,Sat,Mar,6,3,2025-03-22,15:57:58.183000</t>
  </si>
  <si>
    <t>16,card,35.76,Latte,Afternoon,Sat,Mar,6,3,2025-03-22,16:26:59.766000</t>
  </si>
  <si>
    <t>17,card,30.86,Americano with Milk,Night,Sat,Mar,6,3,2025-03-22,17:53:35.942000</t>
  </si>
  <si>
    <t>19,card,30.86,Americano with Milk,Night,Sat,Mar,6,3,2025-03-22,19:16:52.727000</t>
  </si>
  <si>
    <t>10,card,35.76,Latte,Morning,Sun,Mar,7,3,2025-03-23,10:07:11.278000</t>
  </si>
  <si>
    <t>10,card,35.76,Cappuccino,Morning,Sun,Mar,7,3,2025-03-23,10:34:54.894000</t>
  </si>
  <si>
    <t>14,card,35.76,Cocoa,Afternoon,Sun,Mar,7,3,2025-03-23,14:43:37.362000</t>
  </si>
  <si>
    <t>14,card,35.76,Cocoa,Afternoon,Sun,Mar,7,3,2025-03-23,14:44:16.864000</t>
  </si>
  <si>
    <t>15,card,25.96,Americano,Afternoon,Sun,Mar,7,3,2025-03-23,15:47:28.723000</t>
  </si>
  <si>
    <t>18,card,35.76,Latte,Night,Sun,Mar,7,3,2025-03-23,18:11:38.635000</t>
  </si>
  <si>
    <t>Blank:</t>
  </si>
  <si>
    <t>Date Now</t>
  </si>
  <si>
    <t>KPI Card</t>
  </si>
  <si>
    <t>Total Revenue</t>
  </si>
  <si>
    <t>Total Transaction</t>
  </si>
  <si>
    <t>Avg. Order Value</t>
  </si>
  <si>
    <t>Row Labels</t>
  </si>
  <si>
    <t>Grand Total</t>
  </si>
  <si>
    <t>Best-Selling Product</t>
  </si>
  <si>
    <t>Count of cash_type</t>
  </si>
  <si>
    <t>Sum of money</t>
  </si>
  <si>
    <t>Peak Hour</t>
  </si>
  <si>
    <t>Weekdays</t>
  </si>
  <si>
    <t>Revenue by Time of Day</t>
  </si>
  <si>
    <t>Sales Trends by Hour</t>
  </si>
  <si>
    <t>Sales Trends by Day of Week</t>
  </si>
  <si>
    <t>Top 5 Products by Revenue</t>
  </si>
  <si>
    <t>Coffe Name</t>
  </si>
  <si>
    <t>Revenue</t>
  </si>
  <si>
    <t>Month_Year</t>
  </si>
  <si>
    <t>Apr 2024</t>
  </si>
  <si>
    <t>Aug 2024</t>
  </si>
  <si>
    <t>Dec 2024</t>
  </si>
  <si>
    <t>Feb 2025</t>
  </si>
  <si>
    <t>Jan 2025</t>
  </si>
  <si>
    <t>Jul 2024</t>
  </si>
  <si>
    <t>Jun 2024</t>
  </si>
  <si>
    <t>Mar 2024</t>
  </si>
  <si>
    <t>Mar 2025</t>
  </si>
  <si>
    <t>May 2024</t>
  </si>
  <si>
    <t>Nov 2024</t>
  </si>
  <si>
    <t>Oct 2024</t>
  </si>
  <si>
    <t>Sep 2024</t>
  </si>
  <si>
    <t>Time of Days</t>
  </si>
  <si>
    <t>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</si>
</sst>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mmmm\ d\,\ yyyy;@"/>
    <numFmt numFmtId="165" formatCode="0.0%"/>
    <numFmt numFmtId="166" formatCode="\$\ 0.0,\ &quot;K&quot;"/>
    <numFmt numFmtId="167" formatCode="_-[$$-409]* #,##0.0_ ;_-[$$-409]* \-#,##0.0\ ;_-[$$-409]* &quot;-&quot;?_ ;_-@_ "/>
    <numFmt numFmtId="168" formatCode="\$\ 0.0\ "/>
    <numFmt numFmtId="169" formatCode="[$$-409]#,##0"/>
  </numFmts>
  <fonts count="9" x14ac:knownFonts="1">
    <font>
      <sz val="11"/>
      <color rgb="FF000000"/>
      <name val="Calibri"/>
    </font>
    <font>
      <sz val="11"/>
      <color theme="1"/>
      <name val="Calibri"/>
      <family val="2"/>
      <charset val="1"/>
      <scheme val="minor"/>
    </font>
    <font>
      <sz val="11"/>
      <color rgb="FF000000"/>
      <name val="Kulim Park"/>
    </font>
    <font>
      <sz val="11"/>
      <color theme="1"/>
      <name val="Kulim Park"/>
    </font>
    <font>
      <b/>
      <sz val="11"/>
      <color theme="0"/>
      <name val="Kulim Park"/>
    </font>
    <font>
      <i/>
      <sz val="11"/>
      <color theme="1"/>
      <name val="Kulim Park"/>
    </font>
    <font>
      <sz val="8"/>
      <name val="Calibri"/>
      <family val="2"/>
    </font>
    <font>
      <sz val="11"/>
      <color rgb="FF000000"/>
      <name val="Calibri"/>
      <family val="2"/>
    </font>
    <font>
      <sz val="11"/>
      <color rgb="FF000000"/>
      <name val="Calibri"/>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8" fillId="0" borderId="0" applyFont="0" applyFill="0" applyBorder="0" applyAlignment="0" applyProtection="0"/>
  </cellStyleXfs>
  <cellXfs count="24">
    <xf numFmtId="0" fontId="0" fillId="0" borderId="0" xfId="0"/>
    <xf numFmtId="0" fontId="1" fillId="0" borderId="0" xfId="1"/>
    <xf numFmtId="0" fontId="2" fillId="0" borderId="0" xfId="0" applyFont="1"/>
    <xf numFmtId="0" fontId="3" fillId="0" borderId="0" xfId="0" applyFont="1"/>
    <xf numFmtId="0" fontId="5" fillId="0" borderId="0" xfId="0" applyFont="1" applyAlignment="1">
      <alignment horizontal="center" vertical="center"/>
    </xf>
    <xf numFmtId="164" fontId="3" fillId="0" borderId="0" xfId="0" applyNumberFormat="1" applyFont="1" applyAlignment="1">
      <alignment horizontal="center" vertical="center"/>
    </xf>
    <xf numFmtId="0" fontId="2" fillId="0" borderId="0" xfId="0" pivotButton="1" applyFont="1"/>
    <xf numFmtId="0" fontId="2" fillId="0" borderId="0" xfId="0" applyFont="1" applyAlignment="1">
      <alignment horizontal="left"/>
    </xf>
    <xf numFmtId="165" fontId="2" fillId="0" borderId="0" xfId="0" applyNumberFormat="1" applyFont="1"/>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166" fontId="2" fillId="0" borderId="0" xfId="0" applyNumberFormat="1" applyFont="1"/>
    <xf numFmtId="166" fontId="2" fillId="0" borderId="1" xfId="0" applyNumberFormat="1" applyFont="1" applyBorder="1" applyAlignment="1">
      <alignment horizontal="center" vertical="center"/>
    </xf>
    <xf numFmtId="14" fontId="0" fillId="0" borderId="0" xfId="0" applyNumberFormat="1"/>
    <xf numFmtId="167" fontId="2" fillId="0" borderId="0" xfId="0" applyNumberFormat="1" applyFont="1"/>
    <xf numFmtId="10" fontId="2" fillId="0" borderId="0" xfId="0" applyNumberFormat="1" applyFont="1"/>
    <xf numFmtId="0" fontId="2" fillId="0" borderId="1" xfId="0" applyFont="1" applyBorder="1"/>
    <xf numFmtId="0" fontId="7" fillId="0" borderId="0" xfId="0" applyFont="1"/>
    <xf numFmtId="0" fontId="2" fillId="3" borderId="0" xfId="0" applyFont="1" applyFill="1"/>
    <xf numFmtId="168" fontId="2" fillId="0" borderId="1" xfId="0" applyNumberFormat="1" applyFont="1" applyBorder="1" applyAlignment="1">
      <alignment horizontal="center" vertical="center"/>
    </xf>
    <xf numFmtId="169" fontId="2" fillId="0" borderId="1" xfId="0" applyNumberFormat="1" applyFont="1" applyBorder="1"/>
    <xf numFmtId="10" fontId="2" fillId="0" borderId="1" xfId="2" applyNumberFormat="1" applyFont="1" applyBorder="1"/>
    <xf numFmtId="0" fontId="4" fillId="2" borderId="0" xfId="0" applyFont="1" applyFill="1" applyAlignment="1">
      <alignment horizontal="center" vertical="center"/>
    </xf>
    <xf numFmtId="0" fontId="2" fillId="0" borderId="0" xfId="0" applyNumberFormat="1" applyFont="1"/>
  </cellXfs>
  <cellStyles count="3">
    <cellStyle name="Normal" xfId="0" builtinId="0"/>
    <cellStyle name="Normal 2" xfId="1" xr:uid="{5BEF506D-1561-4936-994B-BDAC9A30A332}"/>
    <cellStyle name="Percent" xfId="2" builtinId="5"/>
  </cellStyles>
  <dxfs count="252">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66" formatCode="\$\ 0.0,\ &quot;K&quot;"/>
    </dxf>
    <dxf>
      <numFmt numFmtId="166" formatCode="\$\ 0.0,\ &quot;K&quot;"/>
    </dxf>
    <dxf>
      <font>
        <name val="Kulim Park"/>
      </font>
    </dxf>
    <dxf>
      <font>
        <name val="Kulim Park"/>
      </font>
    </dxf>
    <dxf>
      <font>
        <name val="Kulim Park"/>
      </font>
    </dxf>
    <dxf>
      <font>
        <name val="Kulim Park"/>
      </font>
    </dxf>
    <dxf>
      <font>
        <name val="Kulim Park"/>
      </font>
    </dxf>
    <dxf>
      <font>
        <name val="Kulim Park"/>
      </font>
    </dxf>
    <dxf>
      <numFmt numFmtId="165" formatCode="0.0%"/>
    </dxf>
    <dxf>
      <font>
        <name val="Kulim Park"/>
      </font>
    </dxf>
    <dxf>
      <font>
        <name val="Kulim Park"/>
      </font>
    </dxf>
    <dxf>
      <font>
        <name val="Kulim Park"/>
      </font>
    </dxf>
    <dxf>
      <numFmt numFmtId="14" formatCode="0.00%"/>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7" formatCode="_-[$$-409]* #,##0.0_ ;_-[$$-409]* \-#,##0.0\ ;_-[$$-409]* &quot;-&quot;?_ ;_-@_ "/>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66" formatCode="\$\ 0.0,\ &quot;K&quot;"/>
    </dxf>
    <dxf>
      <font>
        <name val="Kulim Park"/>
      </font>
    </dxf>
    <dxf>
      <font>
        <name val="Kulim Park"/>
      </font>
    </dxf>
    <dxf>
      <font>
        <name val="Kulim Park"/>
      </font>
    </dxf>
    <dxf>
      <numFmt numFmtId="19" formatCode="dd/mm/yyyy"/>
    </dxf>
    <dxf>
      <numFmt numFmtId="19" formatCode="dd/mm/yyyy"/>
    </dxf>
    <dxf>
      <font>
        <color rgb="FF7B542F"/>
      </font>
      <fill>
        <patternFill>
          <bgColor rgb="FF7B542F"/>
        </patternFill>
      </fill>
    </dxf>
    <dxf>
      <font>
        <color rgb="FF7B542F"/>
      </font>
      <fill>
        <patternFill>
          <fgColor rgb="FF7B542F"/>
          <bgColor rgb="FF7B542F"/>
        </patternFill>
      </fill>
    </dxf>
  </dxfs>
  <tableStyles count="1" defaultTableStyle="TableStyleMedium9">
    <tableStyle name="Slicer Style 1" pivot="0" table="0" count="10" xr9:uid="{4BEF6440-BE4B-481C-B6F1-84245E88DA94}">
      <tableStyleElement type="wholeTable" dxfId="251"/>
      <tableStyleElement type="headerRow" dxfId="250"/>
    </tableStyle>
  </tableStyles>
  <colors>
    <mruColors>
      <color rgb="FFFF9D00"/>
      <color rgb="FF7B542F"/>
      <color rgb="FFC1785A"/>
      <color rgb="FFB6771D"/>
      <color rgb="FFFFCF71"/>
      <color rgb="FF305669"/>
      <color rgb="FFB7E5CD"/>
    </mruColors>
  </colors>
  <extLst>
    <ext xmlns:x14="http://schemas.microsoft.com/office/spreadsheetml/2009/9/main" uri="{46F421CA-312F-682f-3DD2-61675219B42D}">
      <x14:dxfs count="8">
        <dxf>
          <font>
            <color rgb="FF134686"/>
          </font>
        </dxf>
        <dxf>
          <font>
            <color rgb="FF134686"/>
          </font>
        </dxf>
        <dxf>
          <font>
            <b/>
            <i val="0"/>
            <sz val="14"/>
            <color theme="0"/>
            <name val="Kulim Park"/>
          </font>
          <border>
            <left style="medium">
              <color rgb="FFFEB21A"/>
            </left>
          </border>
        </dxf>
        <dxf>
          <font>
            <b/>
            <i val="0"/>
            <sz val="13"/>
            <color theme="0"/>
            <name val="Kulim Park"/>
          </font>
          <border>
            <left style="medium">
              <color rgb="FFFEB21A"/>
            </left>
          </border>
        </dxf>
        <dxf>
          <font>
            <color rgb="FF134686"/>
          </font>
        </dxf>
        <dxf>
          <font>
            <b/>
            <i val="0"/>
            <sz val="12"/>
            <color theme="0"/>
            <name val="Kulim Park"/>
            <scheme val="none"/>
          </font>
          <border>
            <left style="medium">
              <color rgb="FFFF9D00"/>
            </left>
          </border>
        </dxf>
        <dxf>
          <font>
            <color rgb="FF134686"/>
          </font>
          <fill>
            <patternFill>
              <bgColor rgb="FF134686"/>
            </patternFill>
          </fill>
        </dxf>
        <dxf>
          <font>
            <b val="0"/>
            <i val="0"/>
            <sz val="11"/>
            <color theme="0" tint="-0.14993743705557422"/>
            <name val="Kulim Park"/>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Day of Week</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Pivot!$C$29</c:f>
              <c:strCache>
                <c:ptCount val="1"/>
                <c:pt idx="0">
                  <c:v>Total</c:v>
                </c:pt>
              </c:strCache>
            </c:strRef>
          </c:tx>
          <c:spPr>
            <a:solidFill>
              <a:schemeClr val="accent1"/>
            </a:solidFill>
            <a:ln>
              <a:noFill/>
            </a:ln>
            <a:effectLst/>
          </c:spPr>
          <c:invertIfNegative val="0"/>
          <c:cat>
            <c:strRef>
              <c:f>Pivot!$B$30:$B$37</c:f>
              <c:strCache>
                <c:ptCount val="7"/>
                <c:pt idx="0">
                  <c:v>Mon</c:v>
                </c:pt>
                <c:pt idx="1">
                  <c:v>Tue</c:v>
                </c:pt>
                <c:pt idx="2">
                  <c:v>Wed</c:v>
                </c:pt>
                <c:pt idx="3">
                  <c:v>Thu</c:v>
                </c:pt>
                <c:pt idx="4">
                  <c:v>Fri</c:v>
                </c:pt>
                <c:pt idx="5">
                  <c:v>Sat</c:v>
                </c:pt>
                <c:pt idx="6">
                  <c:v>Sun</c:v>
                </c:pt>
              </c:strCache>
            </c:strRef>
          </c:cat>
          <c:val>
            <c:numRef>
              <c:f>Pivot!$C$30:$C$37</c:f>
              <c:numCache>
                <c:formatCode>\$\ 0.0,\ "K"</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D448-496A-8A13-D40626132C58}"/>
            </c:ext>
          </c:extLst>
        </c:ser>
        <c:dLbls>
          <c:showLegendKey val="0"/>
          <c:showVal val="0"/>
          <c:showCatName val="0"/>
          <c:showSerName val="0"/>
          <c:showPercent val="0"/>
          <c:showBubbleSize val="0"/>
        </c:dLbls>
        <c:gapWidth val="219"/>
        <c:overlap val="-27"/>
        <c:axId val="413956616"/>
        <c:axId val="413952656"/>
      </c:barChart>
      <c:catAx>
        <c:axId val="41395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13952656"/>
        <c:crosses val="autoZero"/>
        <c:auto val="1"/>
        <c:lblAlgn val="ctr"/>
        <c:lblOffset val="100"/>
        <c:noMultiLvlLbl val="0"/>
      </c:catAx>
      <c:valAx>
        <c:axId val="413952656"/>
        <c:scaling>
          <c:orientation val="minMax"/>
        </c:scaling>
        <c:delete val="0"/>
        <c:axPos val="l"/>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13956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Hour</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Pivot!$C$47</c:f>
              <c:strCache>
                <c:ptCount val="1"/>
                <c:pt idx="0">
                  <c:v>Total</c:v>
                </c:pt>
              </c:strCache>
            </c:strRef>
          </c:tx>
          <c:spPr>
            <a:solidFill>
              <a:schemeClr val="accent1"/>
            </a:solidFill>
            <a:ln>
              <a:noFill/>
            </a:ln>
            <a:effectLst/>
          </c:spPr>
          <c:invertIfNegative val="0"/>
          <c:cat>
            <c:strRef>
              <c:f>Pivot!$B$48:$B$65</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Pivot!$C$48:$C$65</c:f>
              <c:numCache>
                <c:formatCode>_-[$$-409]* #,##0.0_ ;_-[$$-409]* \-#,##0.0\ ;_-[$$-409]* "-"?_ ;_-@_ </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C730-44D3-92B7-EEDDCE7ECF7B}"/>
            </c:ext>
          </c:extLst>
        </c:ser>
        <c:dLbls>
          <c:showLegendKey val="0"/>
          <c:showVal val="0"/>
          <c:showCatName val="0"/>
          <c:showSerName val="0"/>
          <c:showPercent val="0"/>
          <c:showBubbleSize val="0"/>
        </c:dLbls>
        <c:gapWidth val="150"/>
        <c:axId val="517501880"/>
        <c:axId val="517511240"/>
      </c:barChart>
      <c:catAx>
        <c:axId val="51750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7511240"/>
        <c:crosses val="autoZero"/>
        <c:auto val="1"/>
        <c:lblAlgn val="ctr"/>
        <c:lblOffset val="100"/>
        <c:noMultiLvlLbl val="0"/>
      </c:catAx>
      <c:valAx>
        <c:axId val="517511240"/>
        <c:scaling>
          <c:orientation val="minMax"/>
        </c:scaling>
        <c:delete val="0"/>
        <c:axPos val="l"/>
        <c:majorGridlines>
          <c:spPr>
            <a:ln w="9525" cap="flat" cmpd="sng" algn="ctr">
              <a:solidFill>
                <a:schemeClr val="tx1">
                  <a:lumMod val="15000"/>
                  <a:lumOff val="85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75018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Time of Day</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Pivot!$C$70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2E-48A9-9DB8-8646DC2531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2E-48A9-9DB8-8646DC2531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2E-48A9-9DB8-8646DC2531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Pivot!$B$71:$B$74</c:f>
              <c:strCache>
                <c:ptCount val="3"/>
                <c:pt idx="0">
                  <c:v>Night</c:v>
                </c:pt>
                <c:pt idx="1">
                  <c:v>Afternoon</c:v>
                </c:pt>
                <c:pt idx="2">
                  <c:v>Morning</c:v>
                </c:pt>
              </c:strCache>
            </c:strRef>
          </c:cat>
          <c:val>
            <c:numRef>
              <c:f>Pivot!$C$71:$C$74</c:f>
              <c:numCache>
                <c:formatCode>0.00%</c:formatCode>
                <c:ptCount val="3"/>
                <c:pt idx="0">
                  <c:v>0.34020350734523325</c:v>
                </c:pt>
                <c:pt idx="1">
                  <c:v>0.33970192857482651</c:v>
                </c:pt>
                <c:pt idx="2">
                  <c:v>0.32009456407994025</c:v>
                </c:pt>
              </c:numCache>
            </c:numRef>
          </c:val>
          <c:extLst>
            <c:ext xmlns:c16="http://schemas.microsoft.com/office/drawing/2014/chart" uri="{C3380CC4-5D6E-409C-BE32-E72D297353CC}">
              <c16:uniqueId val="{00000000-9175-4147-A54B-64642D591B1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2025.xlsx]Pivot!Sales Trends by Month</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Pivot!$C$100</c:f>
              <c:strCache>
                <c:ptCount val="1"/>
                <c:pt idx="0">
                  <c:v>Total</c:v>
                </c:pt>
              </c:strCache>
            </c:strRef>
          </c:tx>
          <c:spPr>
            <a:ln w="28575" cap="rnd">
              <a:solidFill>
                <a:schemeClr val="accent1"/>
              </a:solidFill>
              <a:round/>
            </a:ln>
            <a:effectLst/>
          </c:spPr>
          <c:marker>
            <c:symbol val="none"/>
          </c:marker>
          <c:cat>
            <c:strRef>
              <c:f>Pivot!$B$101:$B$114</c:f>
              <c:strCache>
                <c:ptCount val="13"/>
                <c:pt idx="0">
                  <c:v>Mar 2024</c:v>
                </c:pt>
                <c:pt idx="1">
                  <c:v>Apr 2024</c:v>
                </c:pt>
                <c:pt idx="2">
                  <c:v>May 2024</c:v>
                </c:pt>
                <c:pt idx="3">
                  <c:v>Jun 2024</c:v>
                </c:pt>
                <c:pt idx="4">
                  <c:v>Jul 2024</c:v>
                </c:pt>
                <c:pt idx="5">
                  <c:v>Aug 2024</c:v>
                </c:pt>
                <c:pt idx="6">
                  <c:v>Sep 2024</c:v>
                </c:pt>
                <c:pt idx="7">
                  <c:v>Oct 2024</c:v>
                </c:pt>
                <c:pt idx="8">
                  <c:v>Nov 2024</c:v>
                </c:pt>
                <c:pt idx="9">
                  <c:v>Dec 2024</c:v>
                </c:pt>
                <c:pt idx="10">
                  <c:v>Jan 2025</c:v>
                </c:pt>
                <c:pt idx="11">
                  <c:v>Feb 2025</c:v>
                </c:pt>
                <c:pt idx="12">
                  <c:v>Mar 2025</c:v>
                </c:pt>
              </c:strCache>
            </c:strRef>
          </c:cat>
          <c:val>
            <c:numRef>
              <c:f>Pivot!$C$101:$C$114</c:f>
              <c:numCache>
                <c:formatCode>\$\ 0.0,\ "K"</c:formatCode>
                <c:ptCount val="13"/>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1"/>
          <c:extLst>
            <c:ext xmlns:c16="http://schemas.microsoft.com/office/drawing/2014/chart" uri="{C3380CC4-5D6E-409C-BE32-E72D297353CC}">
              <c16:uniqueId val="{00000000-0C7A-4DA5-94BB-3192E6A56D3B}"/>
            </c:ext>
          </c:extLst>
        </c:ser>
        <c:dLbls>
          <c:showLegendKey val="0"/>
          <c:showVal val="0"/>
          <c:showCatName val="0"/>
          <c:showSerName val="0"/>
          <c:showPercent val="0"/>
          <c:showBubbleSize val="0"/>
        </c:dLbls>
        <c:smooth val="0"/>
        <c:axId val="720403864"/>
        <c:axId val="720397384"/>
      </c:lineChart>
      <c:catAx>
        <c:axId val="72040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20397384"/>
        <c:crosses val="autoZero"/>
        <c:auto val="1"/>
        <c:lblAlgn val="ctr"/>
        <c:lblOffset val="100"/>
        <c:noMultiLvlLbl val="0"/>
      </c:catAx>
      <c:valAx>
        <c:axId val="720397384"/>
        <c:scaling>
          <c:orientation val="minMax"/>
        </c:scaling>
        <c:delete val="0"/>
        <c:axPos val="l"/>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2040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2025.xlsx]Pivot!Sales Trends by Month</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9D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13712610741179E-2"/>
          <c:y val="4.1888888888888892E-2"/>
          <c:w val="0.91568628738925872"/>
          <c:h val="0.78601837270341202"/>
        </c:manualLayout>
      </c:layout>
      <c:lineChart>
        <c:grouping val="standard"/>
        <c:varyColors val="0"/>
        <c:ser>
          <c:idx val="0"/>
          <c:order val="0"/>
          <c:tx>
            <c:strRef>
              <c:f>Pivot!$C$100</c:f>
              <c:strCache>
                <c:ptCount val="1"/>
                <c:pt idx="0">
                  <c:v>Total</c:v>
                </c:pt>
              </c:strCache>
            </c:strRef>
          </c:tx>
          <c:spPr>
            <a:ln w="38100" cap="rnd">
              <a:solidFill>
                <a:srgbClr val="FF9D00"/>
              </a:solidFill>
              <a:round/>
            </a:ln>
            <a:effectLst/>
          </c:spPr>
          <c:marker>
            <c:symbol val="none"/>
          </c:marker>
          <c:cat>
            <c:strRef>
              <c:f>Pivot!$B$101:$B$114</c:f>
              <c:strCache>
                <c:ptCount val="13"/>
                <c:pt idx="0">
                  <c:v>Mar 2024</c:v>
                </c:pt>
                <c:pt idx="1">
                  <c:v>Apr 2024</c:v>
                </c:pt>
                <c:pt idx="2">
                  <c:v>May 2024</c:v>
                </c:pt>
                <c:pt idx="3">
                  <c:v>Jun 2024</c:v>
                </c:pt>
                <c:pt idx="4">
                  <c:v>Jul 2024</c:v>
                </c:pt>
                <c:pt idx="5">
                  <c:v>Aug 2024</c:v>
                </c:pt>
                <c:pt idx="6">
                  <c:v>Sep 2024</c:v>
                </c:pt>
                <c:pt idx="7">
                  <c:v>Oct 2024</c:v>
                </c:pt>
                <c:pt idx="8">
                  <c:v>Nov 2024</c:v>
                </c:pt>
                <c:pt idx="9">
                  <c:v>Dec 2024</c:v>
                </c:pt>
                <c:pt idx="10">
                  <c:v>Jan 2025</c:v>
                </c:pt>
                <c:pt idx="11">
                  <c:v>Feb 2025</c:v>
                </c:pt>
                <c:pt idx="12">
                  <c:v>Mar 2025</c:v>
                </c:pt>
              </c:strCache>
            </c:strRef>
          </c:cat>
          <c:val>
            <c:numRef>
              <c:f>Pivot!$C$101:$C$114</c:f>
              <c:numCache>
                <c:formatCode>\$\ 0.0,\ "K"</c:formatCode>
                <c:ptCount val="13"/>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1"/>
          <c:extLst>
            <c:ext xmlns:c16="http://schemas.microsoft.com/office/drawing/2014/chart" uri="{C3380CC4-5D6E-409C-BE32-E72D297353CC}">
              <c16:uniqueId val="{00000000-9E5F-40F5-9E14-4E21F22FB1CD}"/>
            </c:ext>
          </c:extLst>
        </c:ser>
        <c:dLbls>
          <c:showLegendKey val="0"/>
          <c:showVal val="0"/>
          <c:showCatName val="0"/>
          <c:showSerName val="0"/>
          <c:showPercent val="0"/>
          <c:showBubbleSize val="0"/>
        </c:dLbls>
        <c:smooth val="0"/>
        <c:axId val="720403864"/>
        <c:axId val="720397384"/>
      </c:lineChart>
      <c:catAx>
        <c:axId val="7204038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B542F"/>
                </a:solidFill>
                <a:latin typeface="Kulim Park" pitchFamily="2" charset="0"/>
                <a:ea typeface="+mn-ea"/>
                <a:cs typeface="+mn-cs"/>
              </a:defRPr>
            </a:pPr>
            <a:endParaRPr lang="id-ID"/>
          </a:p>
        </c:txPr>
        <c:crossAx val="720397384"/>
        <c:crosses val="autoZero"/>
        <c:auto val="1"/>
        <c:lblAlgn val="ctr"/>
        <c:lblOffset val="100"/>
        <c:noMultiLvlLbl val="0"/>
      </c:catAx>
      <c:valAx>
        <c:axId val="720397384"/>
        <c:scaling>
          <c:orientation val="minMax"/>
        </c:scaling>
        <c:delete val="0"/>
        <c:axPos val="l"/>
        <c:majorGridlines>
          <c:spPr>
            <a:ln w="9525" cap="flat" cmpd="sng" algn="ctr">
              <a:solidFill>
                <a:srgbClr val="7B542F"/>
              </a:solidFill>
              <a:prstDash val="lgDash"/>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B542F"/>
                </a:solidFill>
                <a:latin typeface="Kulim Park" pitchFamily="2" charset="0"/>
                <a:ea typeface="+mn-ea"/>
                <a:cs typeface="+mn-cs"/>
              </a:defRPr>
            </a:pPr>
            <a:endParaRPr lang="id-ID"/>
          </a:p>
        </c:txPr>
        <c:crossAx val="72040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Day of Week</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54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8323959505064"/>
          <c:y val="5.9459459459459463E-2"/>
          <c:w val="0.88591676040494916"/>
          <c:h val="0.84701808895509678"/>
        </c:manualLayout>
      </c:layout>
      <c:barChart>
        <c:barDir val="col"/>
        <c:grouping val="clustered"/>
        <c:varyColors val="0"/>
        <c:ser>
          <c:idx val="0"/>
          <c:order val="0"/>
          <c:tx>
            <c:strRef>
              <c:f>Pivot!$C$29</c:f>
              <c:strCache>
                <c:ptCount val="1"/>
                <c:pt idx="0">
                  <c:v>Total</c:v>
                </c:pt>
              </c:strCache>
            </c:strRef>
          </c:tx>
          <c:spPr>
            <a:solidFill>
              <a:srgbClr val="7B542F"/>
            </a:solidFill>
            <a:ln>
              <a:noFill/>
            </a:ln>
            <a:effectLst/>
          </c:spPr>
          <c:invertIfNegative val="0"/>
          <c:cat>
            <c:strRef>
              <c:f>Pivot!$B$30:$B$37</c:f>
              <c:strCache>
                <c:ptCount val="7"/>
                <c:pt idx="0">
                  <c:v>Mon</c:v>
                </c:pt>
                <c:pt idx="1">
                  <c:v>Tue</c:v>
                </c:pt>
                <c:pt idx="2">
                  <c:v>Wed</c:v>
                </c:pt>
                <c:pt idx="3">
                  <c:v>Thu</c:v>
                </c:pt>
                <c:pt idx="4">
                  <c:v>Fri</c:v>
                </c:pt>
                <c:pt idx="5">
                  <c:v>Sat</c:v>
                </c:pt>
                <c:pt idx="6">
                  <c:v>Sun</c:v>
                </c:pt>
              </c:strCache>
            </c:strRef>
          </c:cat>
          <c:val>
            <c:numRef>
              <c:f>Pivot!$C$30:$C$37</c:f>
              <c:numCache>
                <c:formatCode>\$\ 0.0,\ "K"</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371C-4514-AD91-1249821090D1}"/>
            </c:ext>
          </c:extLst>
        </c:ser>
        <c:dLbls>
          <c:showLegendKey val="0"/>
          <c:showVal val="0"/>
          <c:showCatName val="0"/>
          <c:showSerName val="0"/>
          <c:showPercent val="0"/>
          <c:showBubbleSize val="0"/>
        </c:dLbls>
        <c:gapWidth val="89"/>
        <c:overlap val="-27"/>
        <c:axId val="413956616"/>
        <c:axId val="413952656"/>
      </c:barChart>
      <c:catAx>
        <c:axId val="413956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7B542F"/>
                </a:solidFill>
                <a:latin typeface="Kulim Park" pitchFamily="2" charset="0"/>
                <a:ea typeface="+mn-ea"/>
                <a:cs typeface="+mn-cs"/>
              </a:defRPr>
            </a:pPr>
            <a:endParaRPr lang="id-ID"/>
          </a:p>
        </c:txPr>
        <c:crossAx val="413952656"/>
        <c:crosses val="autoZero"/>
        <c:auto val="1"/>
        <c:lblAlgn val="ctr"/>
        <c:lblOffset val="100"/>
        <c:noMultiLvlLbl val="0"/>
      </c:catAx>
      <c:valAx>
        <c:axId val="413952656"/>
        <c:scaling>
          <c:orientation val="minMax"/>
        </c:scaling>
        <c:delete val="0"/>
        <c:axPos val="l"/>
        <c:majorGridlines>
          <c:spPr>
            <a:ln w="9525" cap="flat" cmpd="sng" algn="ctr">
              <a:solidFill>
                <a:srgbClr val="7B542F"/>
              </a:solidFill>
              <a:prstDash val="sysDot"/>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B542F"/>
                </a:solidFill>
                <a:latin typeface="Kulim Park" pitchFamily="2" charset="0"/>
                <a:ea typeface="+mn-ea"/>
                <a:cs typeface="+mn-cs"/>
              </a:defRPr>
            </a:pPr>
            <a:endParaRPr lang="id-ID"/>
          </a:p>
        </c:txPr>
        <c:crossAx val="413956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Hour</c:name>
    <c:fmtId val="8"/>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3409800152933"/>
          <c:y val="5.8201058201058198E-2"/>
          <c:w val="0.87369479405625494"/>
          <c:h val="0.84496479606715824"/>
        </c:manualLayout>
      </c:layout>
      <c:barChart>
        <c:barDir val="col"/>
        <c:grouping val="clustered"/>
        <c:varyColors val="0"/>
        <c:ser>
          <c:idx val="0"/>
          <c:order val="0"/>
          <c:tx>
            <c:strRef>
              <c:f>Pivot!$C$47</c:f>
              <c:strCache>
                <c:ptCount val="1"/>
                <c:pt idx="0">
                  <c:v>Total</c:v>
                </c:pt>
              </c:strCache>
            </c:strRef>
          </c:tx>
          <c:spPr>
            <a:solidFill>
              <a:srgbClr val="FF9D00"/>
            </a:solidFill>
            <a:ln>
              <a:noFill/>
            </a:ln>
            <a:effectLst/>
          </c:spPr>
          <c:invertIfNegative val="0"/>
          <c:cat>
            <c:strRef>
              <c:f>Pivot!$B$48:$B$65</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Pivot!$C$48:$C$65</c:f>
              <c:numCache>
                <c:formatCode>_-[$$-409]* #,##0.0_ ;_-[$$-409]* \-#,##0.0\ ;_-[$$-409]* "-"?_ ;_-@_ </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EF9A-4388-BBD1-C72D2DFB7E68}"/>
            </c:ext>
          </c:extLst>
        </c:ser>
        <c:dLbls>
          <c:showLegendKey val="0"/>
          <c:showVal val="0"/>
          <c:showCatName val="0"/>
          <c:showSerName val="0"/>
          <c:showPercent val="0"/>
          <c:showBubbleSize val="0"/>
        </c:dLbls>
        <c:gapWidth val="70"/>
        <c:axId val="517501880"/>
        <c:axId val="517511240"/>
      </c:barChart>
      <c:catAx>
        <c:axId val="517501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B542F"/>
                </a:solidFill>
                <a:latin typeface="Kulim Park" pitchFamily="2" charset="0"/>
                <a:ea typeface="+mn-ea"/>
                <a:cs typeface="+mn-cs"/>
              </a:defRPr>
            </a:pPr>
            <a:endParaRPr lang="id-ID"/>
          </a:p>
        </c:txPr>
        <c:crossAx val="517511240"/>
        <c:crosses val="autoZero"/>
        <c:auto val="1"/>
        <c:lblAlgn val="ctr"/>
        <c:lblOffset val="100"/>
        <c:noMultiLvlLbl val="0"/>
      </c:catAx>
      <c:valAx>
        <c:axId val="517511240"/>
        <c:scaling>
          <c:orientation val="minMax"/>
        </c:scaling>
        <c:delete val="0"/>
        <c:axPos val="l"/>
        <c:majorGridlines>
          <c:spPr>
            <a:ln w="9525" cap="flat" cmpd="sng" algn="ctr">
              <a:solidFill>
                <a:srgbClr val="7B542F"/>
              </a:solidFill>
              <a:prstDash val="sysDash"/>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B542F"/>
                </a:solidFill>
                <a:latin typeface="Kulim Park" pitchFamily="2" charset="0"/>
                <a:ea typeface="+mn-ea"/>
                <a:cs typeface="+mn-cs"/>
              </a:defRPr>
            </a:pPr>
            <a:endParaRPr lang="id-ID"/>
          </a:p>
        </c:txPr>
        <c:crossAx val="5175018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rgbClr val="7B542F"/>
                    </a:solidFill>
                    <a:latin typeface="Kulim Park" pitchFamily="2" charset="0"/>
                    <a:ea typeface="+mn-ea"/>
                    <a:cs typeface="+mn-cs"/>
                  </a:defRPr>
                </a:pPr>
                <a:endParaRPr lang="id-I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 in 2025.xlsx]Pivot!Revenue by Time of Day</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Kulim Park" pitchFamily="2"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D00"/>
          </a:solidFill>
          <a:ln w="19050">
            <a:noFill/>
          </a:ln>
          <a:effectLst/>
        </c:spPr>
        <c:dLbl>
          <c:idx val="0"/>
          <c:layout>
            <c:manualLayout>
              <c:x val="-0.12500000000000003"/>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Kulim Park" pitchFamily="2"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6771D"/>
          </a:solidFill>
          <a:ln w="19050">
            <a:noFill/>
          </a:ln>
          <a:effectLst/>
        </c:spPr>
        <c:dLbl>
          <c:idx val="0"/>
          <c:layout>
            <c:manualLayout>
              <c:x val="0.11538461538461539"/>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Kulim Park" pitchFamily="2"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B542F"/>
          </a:solidFill>
          <a:ln w="19050">
            <a:noFill/>
          </a:ln>
          <a:effectLst/>
        </c:spPr>
        <c:dLbl>
          <c:idx val="0"/>
          <c:layout>
            <c:manualLayout>
              <c:x val="0.1506410256410255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Kulim Park" pitchFamily="2"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6601049868766"/>
          <c:y val="1.8843686205890931E-2"/>
          <c:w val="0.58648849182313745"/>
          <c:h val="0.84715004374453196"/>
        </c:manualLayout>
      </c:layout>
      <c:doughnutChart>
        <c:varyColors val="1"/>
        <c:ser>
          <c:idx val="0"/>
          <c:order val="0"/>
          <c:tx>
            <c:strRef>
              <c:f>Pivot!$C$70</c:f>
              <c:strCache>
                <c:ptCount val="1"/>
                <c:pt idx="0">
                  <c:v>Total</c:v>
                </c:pt>
              </c:strCache>
            </c:strRef>
          </c:tx>
          <c:spPr>
            <a:ln>
              <a:noFill/>
            </a:ln>
          </c:spPr>
          <c:dPt>
            <c:idx val="0"/>
            <c:bubble3D val="0"/>
            <c:spPr>
              <a:solidFill>
                <a:srgbClr val="7B542F"/>
              </a:solidFill>
              <a:ln w="19050">
                <a:noFill/>
              </a:ln>
              <a:effectLst/>
            </c:spPr>
            <c:extLst>
              <c:ext xmlns:c16="http://schemas.microsoft.com/office/drawing/2014/chart" uri="{C3380CC4-5D6E-409C-BE32-E72D297353CC}">
                <c16:uniqueId val="{00000001-1705-45D6-A5D5-4A0E67412ED4}"/>
              </c:ext>
            </c:extLst>
          </c:dPt>
          <c:dPt>
            <c:idx val="1"/>
            <c:bubble3D val="0"/>
            <c:spPr>
              <a:solidFill>
                <a:srgbClr val="B6771D"/>
              </a:solidFill>
              <a:ln w="19050">
                <a:noFill/>
              </a:ln>
              <a:effectLst/>
            </c:spPr>
            <c:extLst>
              <c:ext xmlns:c16="http://schemas.microsoft.com/office/drawing/2014/chart" uri="{C3380CC4-5D6E-409C-BE32-E72D297353CC}">
                <c16:uniqueId val="{00000003-1705-45D6-A5D5-4A0E67412ED4}"/>
              </c:ext>
            </c:extLst>
          </c:dPt>
          <c:dPt>
            <c:idx val="2"/>
            <c:bubble3D val="0"/>
            <c:spPr>
              <a:solidFill>
                <a:srgbClr val="FF9D00"/>
              </a:solidFill>
              <a:ln w="19050">
                <a:noFill/>
              </a:ln>
              <a:effectLst/>
            </c:spPr>
            <c:extLst>
              <c:ext xmlns:c16="http://schemas.microsoft.com/office/drawing/2014/chart" uri="{C3380CC4-5D6E-409C-BE32-E72D297353CC}">
                <c16:uniqueId val="{00000005-1705-45D6-A5D5-4A0E67412ED4}"/>
              </c:ext>
            </c:extLst>
          </c:dPt>
          <c:dLbls>
            <c:dLbl>
              <c:idx val="0"/>
              <c:layout>
                <c:manualLayout>
                  <c:x val="0.1506410256410255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5-45D6-A5D5-4A0E67412ED4}"/>
                </c:ext>
              </c:extLst>
            </c:dLbl>
            <c:dLbl>
              <c:idx val="1"/>
              <c:layout>
                <c:manualLayout>
                  <c:x val="0.11538461538461539"/>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05-45D6-A5D5-4A0E67412ED4}"/>
                </c:ext>
              </c:extLst>
            </c:dLbl>
            <c:dLbl>
              <c:idx val="2"/>
              <c:layout>
                <c:manualLayout>
                  <c:x val="-0.12500000000000003"/>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05-45D6-A5D5-4A0E67412ED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Kulim Park" pitchFamily="2" charset="0"/>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Pivot!$B$71:$B$74</c:f>
              <c:strCache>
                <c:ptCount val="3"/>
                <c:pt idx="0">
                  <c:v>Night</c:v>
                </c:pt>
                <c:pt idx="1">
                  <c:v>Afternoon</c:v>
                </c:pt>
                <c:pt idx="2">
                  <c:v>Morning</c:v>
                </c:pt>
              </c:strCache>
            </c:strRef>
          </c:cat>
          <c:val>
            <c:numRef>
              <c:f>Pivot!$C$71:$C$74</c:f>
              <c:numCache>
                <c:formatCode>0.00%</c:formatCode>
                <c:ptCount val="3"/>
                <c:pt idx="0">
                  <c:v>0.34020350734523325</c:v>
                </c:pt>
                <c:pt idx="1">
                  <c:v>0.33970192857482651</c:v>
                </c:pt>
                <c:pt idx="2">
                  <c:v>0.32009456407994025</c:v>
                </c:pt>
              </c:numCache>
            </c:numRef>
          </c:val>
          <c:extLst>
            <c:ext xmlns:c16="http://schemas.microsoft.com/office/drawing/2014/chart" uri="{C3380CC4-5D6E-409C-BE32-E72D297353CC}">
              <c16:uniqueId val="{00000006-1705-45D6-A5D5-4A0E67412ED4}"/>
            </c:ext>
          </c:extLst>
        </c:ser>
        <c:dLbls>
          <c:showLegendKey val="0"/>
          <c:showVal val="1"/>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142875</xdr:colOff>
      <xdr:row>28</xdr:row>
      <xdr:rowOff>4762</xdr:rowOff>
    </xdr:from>
    <xdr:to>
      <xdr:col>6</xdr:col>
      <xdr:colOff>571500</xdr:colOff>
      <xdr:row>42</xdr:row>
      <xdr:rowOff>80962</xdr:rowOff>
    </xdr:to>
    <xdr:graphicFrame macro="">
      <xdr:nvGraphicFramePr>
        <xdr:cNvPr id="2" name="Chart 1">
          <a:extLst>
            <a:ext uri="{FF2B5EF4-FFF2-40B4-BE49-F238E27FC236}">
              <a16:creationId xmlns:a16="http://schemas.microsoft.com/office/drawing/2014/main" id="{298E8539-788A-F851-898A-3DE8BC03A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46</xdr:row>
      <xdr:rowOff>61912</xdr:rowOff>
    </xdr:from>
    <xdr:to>
      <xdr:col>6</xdr:col>
      <xdr:colOff>676275</xdr:colOff>
      <xdr:row>60</xdr:row>
      <xdr:rowOff>138112</xdr:rowOff>
    </xdr:to>
    <xdr:graphicFrame macro="">
      <xdr:nvGraphicFramePr>
        <xdr:cNvPr id="3" name="Chart 2">
          <a:extLst>
            <a:ext uri="{FF2B5EF4-FFF2-40B4-BE49-F238E27FC236}">
              <a16:creationId xmlns:a16="http://schemas.microsoft.com/office/drawing/2014/main" id="{55BA9D3F-3296-2911-13BC-D061A73CF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295275</xdr:colOff>
      <xdr:row>69</xdr:row>
      <xdr:rowOff>33337</xdr:rowOff>
    </xdr:from>
    <xdr:to>
      <xdr:col>10</xdr:col>
      <xdr:colOff>295275</xdr:colOff>
      <xdr:row>83</xdr:row>
      <xdr:rowOff>109537</xdr:rowOff>
    </xdr:to>
    <xdr:graphicFrame macro="">
      <xdr:nvGraphicFramePr>
        <xdr:cNvPr id="4" name="Chart 3">
          <a:extLst>
            <a:ext uri="{FF2B5EF4-FFF2-40B4-BE49-F238E27FC236}">
              <a16:creationId xmlns:a16="http://schemas.microsoft.com/office/drawing/2014/main" id="{9BA56A28-8BC4-0A56-F0C5-AB723E559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171450</xdr:colOff>
      <xdr:row>98</xdr:row>
      <xdr:rowOff>166687</xdr:rowOff>
    </xdr:from>
    <xdr:to>
      <xdr:col>6</xdr:col>
      <xdr:colOff>295275</xdr:colOff>
      <xdr:row>113</xdr:row>
      <xdr:rowOff>52387</xdr:rowOff>
    </xdr:to>
    <xdr:graphicFrame macro="">
      <xdr:nvGraphicFramePr>
        <xdr:cNvPr id="5" name="Chart 4">
          <a:extLst>
            <a:ext uri="{FF2B5EF4-FFF2-40B4-BE49-F238E27FC236}">
              <a16:creationId xmlns:a16="http://schemas.microsoft.com/office/drawing/2014/main" id="{FC4B38AF-1B82-9E37-C2B2-DEDB25765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228600</xdr:colOff>
      <xdr:row>6</xdr:row>
      <xdr:rowOff>161925</xdr:rowOff>
    </xdr:from>
    <xdr:to>
      <xdr:col>6</xdr:col>
      <xdr:colOff>657225</xdr:colOff>
      <xdr:row>20</xdr:row>
      <xdr:rowOff>19050</xdr:rowOff>
    </xdr:to>
    <mc:AlternateContent xmlns:mc="http://schemas.openxmlformats.org/markup-compatibility/2006" xmlns:a14="http://schemas.microsoft.com/office/drawing/2010/main">
      <mc:Choice Requires="a14">
        <xdr:graphicFrame macro="">
          <xdr:nvGraphicFramePr>
            <xdr:cNvPr id="6" name="coffee_name">
              <a:extLst>
                <a:ext uri="{FF2B5EF4-FFF2-40B4-BE49-F238E27FC236}">
                  <a16:creationId xmlns:a16="http://schemas.microsoft.com/office/drawing/2014/main" id="{A95C5A52-7115-86A5-1180-0ADFF1A036E5}"/>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7115175" y="15621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981075</xdr:colOff>
      <xdr:row>6</xdr:row>
      <xdr:rowOff>161925</xdr:rowOff>
    </xdr:from>
    <xdr:to>
      <xdr:col>7</xdr:col>
      <xdr:colOff>1419225</xdr:colOff>
      <xdr:row>20</xdr:row>
      <xdr:rowOff>19050</xdr:rowOff>
    </xdr:to>
    <mc:AlternateContent xmlns:mc="http://schemas.openxmlformats.org/markup-compatibility/2006" xmlns:a14="http://schemas.microsoft.com/office/drawing/2010/main">
      <mc:Choice Requires="a14">
        <xdr:graphicFrame macro="">
          <xdr:nvGraphicFramePr>
            <xdr:cNvPr id="7" name="Time_of_Day">
              <a:extLst>
                <a:ext uri="{FF2B5EF4-FFF2-40B4-BE49-F238E27FC236}">
                  <a16:creationId xmlns:a16="http://schemas.microsoft.com/office/drawing/2014/main" id="{2519258B-E6C6-0940-7628-2B09ADE785D2}"/>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9267825" y="15621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349250</xdr:colOff>
      <xdr:row>0</xdr:row>
      <xdr:rowOff>158750</xdr:rowOff>
    </xdr:from>
    <xdr:to>
      <xdr:col>26</xdr:col>
      <xdr:colOff>596900</xdr:colOff>
      <xdr:row>40</xdr:row>
      <xdr:rowOff>139700</xdr:rowOff>
    </xdr:to>
    <xdr:sp macro="" textlink="">
      <xdr:nvSpPr>
        <xdr:cNvPr id="2" name="Rectangle: Rounded Corners 1">
          <a:extLst>
            <a:ext uri="{FF2B5EF4-FFF2-40B4-BE49-F238E27FC236}">
              <a16:creationId xmlns:a16="http://schemas.microsoft.com/office/drawing/2014/main" id="{27656440-1893-46E1-A7E9-1365BD0BAB52}"/>
            </a:ext>
          </a:extLst>
        </xdr:cNvPr>
        <xdr:cNvSpPr/>
      </xdr:nvSpPr>
      <xdr:spPr>
        <a:xfrm>
          <a:off x="349250" y="158750"/>
          <a:ext cx="16097250" cy="7600950"/>
        </a:xfrm>
        <a:prstGeom prst="roundRect">
          <a:avLst>
            <a:gd name="adj" fmla="val 2526"/>
          </a:avLst>
        </a:prstGeom>
        <a:solidFill>
          <a:srgbClr val="FFCF71"/>
        </a:solidFill>
        <a:ln>
          <a:noFill/>
        </a:ln>
        <a:effectLst>
          <a:outerShdw blurRad="215900" dist="38100" dir="2700000" algn="tl" rotWithShape="0">
            <a:prstClr val="black">
              <a:alpha val="2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342900</xdr:colOff>
      <xdr:row>0</xdr:row>
      <xdr:rowOff>152400</xdr:rowOff>
    </xdr:from>
    <xdr:to>
      <xdr:col>3</xdr:col>
      <xdr:colOff>495300</xdr:colOff>
      <xdr:row>40</xdr:row>
      <xdr:rowOff>152400</xdr:rowOff>
    </xdr:to>
    <xdr:sp macro="" textlink="">
      <xdr:nvSpPr>
        <xdr:cNvPr id="3" name="Rectangle: Top Corners Rounded 2">
          <a:extLst>
            <a:ext uri="{FF2B5EF4-FFF2-40B4-BE49-F238E27FC236}">
              <a16:creationId xmlns:a16="http://schemas.microsoft.com/office/drawing/2014/main" id="{46E1FDD8-2A9D-4647-87BA-7782A37C3677}"/>
            </a:ext>
          </a:extLst>
        </xdr:cNvPr>
        <xdr:cNvSpPr/>
      </xdr:nvSpPr>
      <xdr:spPr>
        <a:xfrm rot="16200000">
          <a:off x="-2476500" y="2971800"/>
          <a:ext cx="7620000" cy="1981200"/>
        </a:xfrm>
        <a:prstGeom prst="round2SameRect">
          <a:avLst>
            <a:gd name="adj1" fmla="val 13083"/>
            <a:gd name="adj2" fmla="val 0"/>
          </a:avLst>
        </a:prstGeom>
        <a:solidFill>
          <a:srgbClr val="7B54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57150</xdr:colOff>
      <xdr:row>1</xdr:row>
      <xdr:rowOff>12700</xdr:rowOff>
    </xdr:from>
    <xdr:to>
      <xdr:col>14</xdr:col>
      <xdr:colOff>69850</xdr:colOff>
      <xdr:row>4</xdr:row>
      <xdr:rowOff>12700</xdr:rowOff>
    </xdr:to>
    <xdr:sp macro="" textlink="">
      <xdr:nvSpPr>
        <xdr:cNvPr id="4" name="TextBox 3">
          <a:extLst>
            <a:ext uri="{FF2B5EF4-FFF2-40B4-BE49-F238E27FC236}">
              <a16:creationId xmlns:a16="http://schemas.microsoft.com/office/drawing/2014/main" id="{58BE2410-766F-447B-AF40-5A2E6004073A}"/>
            </a:ext>
          </a:extLst>
        </xdr:cNvPr>
        <xdr:cNvSpPr txBox="1"/>
      </xdr:nvSpPr>
      <xdr:spPr>
        <a:xfrm>
          <a:off x="2495550" y="203200"/>
          <a:ext cx="6108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a:solidFill>
                <a:srgbClr val="7B542F"/>
              </a:solidFill>
              <a:latin typeface="Bebas Neue" panose="020B0606020202050201" pitchFamily="34" charset="0"/>
            </a:rPr>
            <a:t>SALES performance in 2025 dashboard</a:t>
          </a:r>
          <a:endParaRPr lang="id-ID" sz="3600">
            <a:solidFill>
              <a:srgbClr val="7B542F"/>
            </a:solidFill>
            <a:latin typeface="Bebas Neue" panose="020B0606020202050201" pitchFamily="34" charset="0"/>
          </a:endParaRPr>
        </a:p>
      </xdr:txBody>
    </xdr:sp>
    <xdr:clientData/>
  </xdr:twoCellAnchor>
  <xdr:twoCellAnchor>
    <xdr:from>
      <xdr:col>4</xdr:col>
      <xdr:colOff>6350</xdr:colOff>
      <xdr:row>3</xdr:row>
      <xdr:rowOff>152400</xdr:rowOff>
    </xdr:from>
    <xdr:to>
      <xdr:col>26</xdr:col>
      <xdr:colOff>476250</xdr:colOff>
      <xdr:row>3</xdr:row>
      <xdr:rowOff>165100</xdr:rowOff>
    </xdr:to>
    <xdr:cxnSp macro="">
      <xdr:nvCxnSpPr>
        <xdr:cNvPr id="5" name="Straight Connector 4">
          <a:extLst>
            <a:ext uri="{FF2B5EF4-FFF2-40B4-BE49-F238E27FC236}">
              <a16:creationId xmlns:a16="http://schemas.microsoft.com/office/drawing/2014/main" id="{3E624B30-3644-4B48-AD45-ABA6E943CC13}"/>
            </a:ext>
          </a:extLst>
        </xdr:cNvPr>
        <xdr:cNvCxnSpPr/>
      </xdr:nvCxnSpPr>
      <xdr:spPr>
        <a:xfrm flipV="1">
          <a:off x="2444750" y="723900"/>
          <a:ext cx="13881100" cy="12700"/>
        </a:xfrm>
        <a:prstGeom prst="line">
          <a:avLst/>
        </a:prstGeom>
        <a:solidFill>
          <a:schemeClr val="bg1"/>
        </a:solidFill>
        <a:ln w="1905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editAs="oneCell">
    <xdr:from>
      <xdr:col>0</xdr:col>
      <xdr:colOff>419101</xdr:colOff>
      <xdr:row>3</xdr:row>
      <xdr:rowOff>12701</xdr:rowOff>
    </xdr:from>
    <xdr:to>
      <xdr:col>2</xdr:col>
      <xdr:colOff>12700</xdr:colOff>
      <xdr:row>7</xdr:row>
      <xdr:rowOff>63500</xdr:rowOff>
    </xdr:to>
    <xdr:pic>
      <xdr:nvPicPr>
        <xdr:cNvPr id="8" name="Picture 7">
          <a:extLst>
            <a:ext uri="{FF2B5EF4-FFF2-40B4-BE49-F238E27FC236}">
              <a16:creationId xmlns:a16="http://schemas.microsoft.com/office/drawing/2014/main" id="{110B8AB7-4270-12D6-59A5-953F0E72B4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392042">
          <a:off x="419101" y="584201"/>
          <a:ext cx="812799" cy="812799"/>
        </a:xfrm>
        <a:prstGeom prst="rect">
          <a:avLst/>
        </a:prstGeom>
      </xdr:spPr>
    </xdr:pic>
    <xdr:clientData/>
  </xdr:twoCellAnchor>
  <xdr:twoCellAnchor>
    <xdr:from>
      <xdr:col>1</xdr:col>
      <xdr:colOff>508000</xdr:colOff>
      <xdr:row>2</xdr:row>
      <xdr:rowOff>101600</xdr:rowOff>
    </xdr:from>
    <xdr:to>
      <xdr:col>4</xdr:col>
      <xdr:colOff>12700</xdr:colOff>
      <xdr:row>8</xdr:row>
      <xdr:rowOff>12700</xdr:rowOff>
    </xdr:to>
    <xdr:sp macro="" textlink="">
      <xdr:nvSpPr>
        <xdr:cNvPr id="9" name="TextBox 8">
          <a:extLst>
            <a:ext uri="{FF2B5EF4-FFF2-40B4-BE49-F238E27FC236}">
              <a16:creationId xmlns:a16="http://schemas.microsoft.com/office/drawing/2014/main" id="{F537571A-4D64-A97B-CA02-5B6A7DBFCD76}"/>
            </a:ext>
          </a:extLst>
        </xdr:cNvPr>
        <xdr:cNvSpPr txBox="1"/>
      </xdr:nvSpPr>
      <xdr:spPr>
        <a:xfrm>
          <a:off x="1117600" y="482600"/>
          <a:ext cx="13335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a:solidFill>
                <a:srgbClr val="FF9D00"/>
              </a:solidFill>
              <a:latin typeface="Kulim Park" pitchFamily="2" charset="0"/>
            </a:rPr>
            <a:t>Coffe </a:t>
          </a:r>
        </a:p>
        <a:p>
          <a:pPr algn="l"/>
          <a:r>
            <a:rPr lang="en-US" sz="3200" b="1">
              <a:solidFill>
                <a:srgbClr val="FF9D00"/>
              </a:solidFill>
              <a:latin typeface="Kulim Park" pitchFamily="2" charset="0"/>
            </a:rPr>
            <a:t>Shop</a:t>
          </a:r>
          <a:endParaRPr lang="id-ID" sz="3200" b="1">
            <a:solidFill>
              <a:srgbClr val="FF9D00"/>
            </a:solidFill>
            <a:latin typeface="Kulim Park" pitchFamily="2" charset="0"/>
          </a:endParaRPr>
        </a:p>
      </xdr:txBody>
    </xdr:sp>
    <xdr:clientData/>
  </xdr:twoCellAnchor>
  <xdr:twoCellAnchor>
    <xdr:from>
      <xdr:col>3</xdr:col>
      <xdr:colOff>596900</xdr:colOff>
      <xdr:row>4</xdr:row>
      <xdr:rowOff>50800</xdr:rowOff>
    </xdr:from>
    <xdr:to>
      <xdr:col>6</xdr:col>
      <xdr:colOff>584200</xdr:colOff>
      <xdr:row>11</xdr:row>
      <xdr:rowOff>0</xdr:rowOff>
    </xdr:to>
    <xdr:sp macro="" textlink="">
      <xdr:nvSpPr>
        <xdr:cNvPr id="13" name="Rectangle: Rounded Corners 12">
          <a:extLst>
            <a:ext uri="{FF2B5EF4-FFF2-40B4-BE49-F238E27FC236}">
              <a16:creationId xmlns:a16="http://schemas.microsoft.com/office/drawing/2014/main" id="{970D3636-F3A4-4D0C-8BEA-38C5F0521C9E}"/>
            </a:ext>
          </a:extLst>
        </xdr:cNvPr>
        <xdr:cNvSpPr/>
      </xdr:nvSpPr>
      <xdr:spPr>
        <a:xfrm>
          <a:off x="2425700" y="812800"/>
          <a:ext cx="1816100" cy="1282700"/>
        </a:xfrm>
        <a:prstGeom prst="roundRect">
          <a:avLst>
            <a:gd name="adj" fmla="val 12319"/>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7</xdr:col>
      <xdr:colOff>82550</xdr:colOff>
      <xdr:row>4</xdr:row>
      <xdr:rowOff>50800</xdr:rowOff>
    </xdr:from>
    <xdr:to>
      <xdr:col>10</xdr:col>
      <xdr:colOff>69850</xdr:colOff>
      <xdr:row>11</xdr:row>
      <xdr:rowOff>0</xdr:rowOff>
    </xdr:to>
    <xdr:sp macro="" textlink="">
      <xdr:nvSpPr>
        <xdr:cNvPr id="14" name="Rectangle: Rounded Corners 13">
          <a:extLst>
            <a:ext uri="{FF2B5EF4-FFF2-40B4-BE49-F238E27FC236}">
              <a16:creationId xmlns:a16="http://schemas.microsoft.com/office/drawing/2014/main" id="{3D9F8141-75A3-492E-911A-D569329A11A9}"/>
            </a:ext>
          </a:extLst>
        </xdr:cNvPr>
        <xdr:cNvSpPr/>
      </xdr:nvSpPr>
      <xdr:spPr>
        <a:xfrm>
          <a:off x="4349750" y="812800"/>
          <a:ext cx="1816100" cy="1282700"/>
        </a:xfrm>
        <a:prstGeom prst="roundRect">
          <a:avLst>
            <a:gd name="adj" fmla="val 12319"/>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10</xdr:col>
      <xdr:colOff>177800</xdr:colOff>
      <xdr:row>4</xdr:row>
      <xdr:rowOff>50800</xdr:rowOff>
    </xdr:from>
    <xdr:to>
      <xdr:col>13</xdr:col>
      <xdr:colOff>165100</xdr:colOff>
      <xdr:row>11</xdr:row>
      <xdr:rowOff>0</xdr:rowOff>
    </xdr:to>
    <xdr:sp macro="" textlink="">
      <xdr:nvSpPr>
        <xdr:cNvPr id="15" name="Rectangle: Rounded Corners 14">
          <a:extLst>
            <a:ext uri="{FF2B5EF4-FFF2-40B4-BE49-F238E27FC236}">
              <a16:creationId xmlns:a16="http://schemas.microsoft.com/office/drawing/2014/main" id="{3C6221D9-BDBC-4C7D-B113-609D6DB8BFF4}"/>
            </a:ext>
          </a:extLst>
        </xdr:cNvPr>
        <xdr:cNvSpPr/>
      </xdr:nvSpPr>
      <xdr:spPr>
        <a:xfrm>
          <a:off x="6273800" y="812800"/>
          <a:ext cx="1816100" cy="1282700"/>
        </a:xfrm>
        <a:prstGeom prst="roundRect">
          <a:avLst>
            <a:gd name="adj" fmla="val 12319"/>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13</xdr:col>
      <xdr:colOff>273050</xdr:colOff>
      <xdr:row>4</xdr:row>
      <xdr:rowOff>50800</xdr:rowOff>
    </xdr:from>
    <xdr:to>
      <xdr:col>16</xdr:col>
      <xdr:colOff>260350</xdr:colOff>
      <xdr:row>11</xdr:row>
      <xdr:rowOff>0</xdr:rowOff>
    </xdr:to>
    <xdr:sp macro="" textlink="">
      <xdr:nvSpPr>
        <xdr:cNvPr id="16" name="Rectangle: Rounded Corners 15">
          <a:extLst>
            <a:ext uri="{FF2B5EF4-FFF2-40B4-BE49-F238E27FC236}">
              <a16:creationId xmlns:a16="http://schemas.microsoft.com/office/drawing/2014/main" id="{8744F13C-5BB9-4CD7-BEAD-3D1ABAED21EB}"/>
            </a:ext>
          </a:extLst>
        </xdr:cNvPr>
        <xdr:cNvSpPr/>
      </xdr:nvSpPr>
      <xdr:spPr>
        <a:xfrm>
          <a:off x="8197850" y="812800"/>
          <a:ext cx="1816100" cy="1282700"/>
        </a:xfrm>
        <a:prstGeom prst="roundRect">
          <a:avLst>
            <a:gd name="adj" fmla="val 12319"/>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482600</xdr:colOff>
      <xdr:row>9</xdr:row>
      <xdr:rowOff>25400</xdr:rowOff>
    </xdr:from>
    <xdr:to>
      <xdr:col>6</xdr:col>
      <xdr:colOff>254000</xdr:colOff>
      <xdr:row>10</xdr:row>
      <xdr:rowOff>177800</xdr:rowOff>
    </xdr:to>
    <xdr:sp macro="" textlink="">
      <xdr:nvSpPr>
        <xdr:cNvPr id="18" name="TextBox 17">
          <a:extLst>
            <a:ext uri="{FF2B5EF4-FFF2-40B4-BE49-F238E27FC236}">
              <a16:creationId xmlns:a16="http://schemas.microsoft.com/office/drawing/2014/main" id="{C716327E-70C1-47FE-9A31-FD3160E166C6}"/>
            </a:ext>
          </a:extLst>
        </xdr:cNvPr>
        <xdr:cNvSpPr txBox="1"/>
      </xdr:nvSpPr>
      <xdr:spPr>
        <a:xfrm>
          <a:off x="2311400" y="1739900"/>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ln>
                <a:noFill/>
              </a:ln>
              <a:solidFill>
                <a:schemeClr val="bg1"/>
              </a:solidFill>
              <a:latin typeface="Kulim park"/>
            </a:rPr>
            <a:t> Total</a:t>
          </a:r>
          <a:r>
            <a:rPr lang="en-US" sz="1600" b="1" i="0" u="none" strike="noStrike" baseline="0">
              <a:ln>
                <a:noFill/>
              </a:ln>
              <a:solidFill>
                <a:schemeClr val="bg1"/>
              </a:solidFill>
              <a:latin typeface="Kulim park"/>
            </a:rPr>
            <a:t> Revenue</a:t>
          </a:r>
          <a:endParaRPr lang="en-US" sz="1600" b="1" i="0" u="none" strike="noStrike">
            <a:ln>
              <a:noFill/>
            </a:ln>
            <a:solidFill>
              <a:schemeClr val="bg1"/>
            </a:solidFill>
            <a:latin typeface="Kulim park"/>
          </a:endParaRPr>
        </a:p>
      </xdr:txBody>
    </xdr:sp>
    <xdr:clientData/>
  </xdr:twoCellAnchor>
  <xdr:twoCellAnchor>
    <xdr:from>
      <xdr:col>7</xdr:col>
      <xdr:colOff>50799</xdr:colOff>
      <xdr:row>9</xdr:row>
      <xdr:rowOff>25400</xdr:rowOff>
    </xdr:from>
    <xdr:to>
      <xdr:col>10</xdr:col>
      <xdr:colOff>0</xdr:colOff>
      <xdr:row>10</xdr:row>
      <xdr:rowOff>177800</xdr:rowOff>
    </xdr:to>
    <xdr:sp macro="" textlink="[1]Pivot!E5">
      <xdr:nvSpPr>
        <xdr:cNvPr id="19" name="TextBox 18">
          <a:extLst>
            <a:ext uri="{FF2B5EF4-FFF2-40B4-BE49-F238E27FC236}">
              <a16:creationId xmlns:a16="http://schemas.microsoft.com/office/drawing/2014/main" id="{0A239E96-98C2-418F-9553-B334DBD8BDF0}"/>
            </a:ext>
          </a:extLst>
        </xdr:cNvPr>
        <xdr:cNvSpPr txBox="1"/>
      </xdr:nvSpPr>
      <xdr:spPr>
        <a:xfrm>
          <a:off x="4317999" y="1739900"/>
          <a:ext cx="17780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ln>
                <a:noFill/>
              </a:ln>
              <a:solidFill>
                <a:srgbClr val="7B542F"/>
              </a:solidFill>
              <a:latin typeface="Kulim park"/>
              <a:ea typeface="+mn-ea"/>
              <a:cs typeface="+mn-cs"/>
            </a:rPr>
            <a:t>Total Transaction</a:t>
          </a:r>
        </a:p>
      </xdr:txBody>
    </xdr:sp>
    <xdr:clientData/>
  </xdr:twoCellAnchor>
  <xdr:twoCellAnchor>
    <xdr:from>
      <xdr:col>10</xdr:col>
      <xdr:colOff>152399</xdr:colOff>
      <xdr:row>9</xdr:row>
      <xdr:rowOff>25400</xdr:rowOff>
    </xdr:from>
    <xdr:to>
      <xdr:col>13</xdr:col>
      <xdr:colOff>101600</xdr:colOff>
      <xdr:row>10</xdr:row>
      <xdr:rowOff>177800</xdr:rowOff>
    </xdr:to>
    <xdr:sp macro="" textlink="[1]Pivot!E5">
      <xdr:nvSpPr>
        <xdr:cNvPr id="20" name="TextBox 19">
          <a:extLst>
            <a:ext uri="{FF2B5EF4-FFF2-40B4-BE49-F238E27FC236}">
              <a16:creationId xmlns:a16="http://schemas.microsoft.com/office/drawing/2014/main" id="{2165DA86-0463-6446-CE99-B908E73D37F1}"/>
            </a:ext>
          </a:extLst>
        </xdr:cNvPr>
        <xdr:cNvSpPr txBox="1"/>
      </xdr:nvSpPr>
      <xdr:spPr>
        <a:xfrm>
          <a:off x="6248399" y="1739900"/>
          <a:ext cx="17780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ln>
                <a:noFill/>
              </a:ln>
              <a:solidFill>
                <a:srgbClr val="7B542F"/>
              </a:solidFill>
              <a:latin typeface="Kulim park"/>
              <a:ea typeface="+mn-ea"/>
              <a:cs typeface="+mn-cs"/>
            </a:rPr>
            <a:t>Avg. Order Value</a:t>
          </a:r>
        </a:p>
      </xdr:txBody>
    </xdr:sp>
    <xdr:clientData/>
  </xdr:twoCellAnchor>
  <xdr:twoCellAnchor>
    <xdr:from>
      <xdr:col>13</xdr:col>
      <xdr:colOff>25399</xdr:colOff>
      <xdr:row>9</xdr:row>
      <xdr:rowOff>25400</xdr:rowOff>
    </xdr:from>
    <xdr:to>
      <xdr:col>15</xdr:col>
      <xdr:colOff>584200</xdr:colOff>
      <xdr:row>10</xdr:row>
      <xdr:rowOff>177800</xdr:rowOff>
    </xdr:to>
    <xdr:sp macro="" textlink="[1]Pivot!E5">
      <xdr:nvSpPr>
        <xdr:cNvPr id="21" name="TextBox 20">
          <a:extLst>
            <a:ext uri="{FF2B5EF4-FFF2-40B4-BE49-F238E27FC236}">
              <a16:creationId xmlns:a16="http://schemas.microsoft.com/office/drawing/2014/main" id="{C5BF6F09-9A1C-AB2A-341A-65EBC8825179}"/>
            </a:ext>
          </a:extLst>
        </xdr:cNvPr>
        <xdr:cNvSpPr txBox="1"/>
      </xdr:nvSpPr>
      <xdr:spPr>
        <a:xfrm>
          <a:off x="7950199" y="1739900"/>
          <a:ext cx="17780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ln>
                <a:noFill/>
              </a:ln>
              <a:solidFill>
                <a:srgbClr val="7B542F"/>
              </a:solidFill>
              <a:latin typeface="Kulim park"/>
              <a:ea typeface="+mn-ea"/>
              <a:cs typeface="+mn-cs"/>
            </a:rPr>
            <a:t>Peak</a:t>
          </a:r>
          <a:r>
            <a:rPr lang="en-US" sz="1600" b="0" i="0" u="none" strike="noStrike" baseline="0">
              <a:ln>
                <a:noFill/>
              </a:ln>
              <a:solidFill>
                <a:srgbClr val="7B542F"/>
              </a:solidFill>
              <a:latin typeface="Kulim park"/>
              <a:ea typeface="+mn-ea"/>
              <a:cs typeface="+mn-cs"/>
            </a:rPr>
            <a:t> Hour</a:t>
          </a:r>
          <a:endParaRPr lang="en-US" sz="1600" b="0" i="0" u="none" strike="noStrike">
            <a:ln>
              <a:noFill/>
            </a:ln>
            <a:solidFill>
              <a:srgbClr val="7B542F"/>
            </a:solidFill>
            <a:latin typeface="Kulim park"/>
            <a:ea typeface="+mn-ea"/>
            <a:cs typeface="+mn-cs"/>
          </a:endParaRPr>
        </a:p>
      </xdr:txBody>
    </xdr:sp>
    <xdr:clientData/>
  </xdr:twoCellAnchor>
  <xdr:twoCellAnchor>
    <xdr:from>
      <xdr:col>3</xdr:col>
      <xdr:colOff>419100</xdr:colOff>
      <xdr:row>6</xdr:row>
      <xdr:rowOff>146050</xdr:rowOff>
    </xdr:from>
    <xdr:to>
      <xdr:col>6</xdr:col>
      <xdr:colOff>431800</xdr:colOff>
      <xdr:row>9</xdr:row>
      <xdr:rowOff>19050</xdr:rowOff>
    </xdr:to>
    <xdr:sp macro="" textlink="Pivot!E6">
      <xdr:nvSpPr>
        <xdr:cNvPr id="22" name="TextBox 21">
          <a:extLst>
            <a:ext uri="{FF2B5EF4-FFF2-40B4-BE49-F238E27FC236}">
              <a16:creationId xmlns:a16="http://schemas.microsoft.com/office/drawing/2014/main" id="{B3587D64-43EA-4A32-9D9F-A63A20C183C1}"/>
            </a:ext>
          </a:extLst>
        </xdr:cNvPr>
        <xdr:cNvSpPr txBox="1"/>
      </xdr:nvSpPr>
      <xdr:spPr>
        <a:xfrm>
          <a:off x="2247900" y="1289050"/>
          <a:ext cx="1841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74D93C-34A2-43AC-AD2A-2CF8A017D231}" type="TxLink">
            <a:rPr lang="en-US" sz="2800" b="1" i="0" u="none" strike="noStrike">
              <a:ln>
                <a:noFill/>
              </a:ln>
              <a:solidFill>
                <a:schemeClr val="bg1"/>
              </a:solidFill>
              <a:latin typeface="Kulim park"/>
              <a:ea typeface="+mn-ea"/>
              <a:cs typeface="+mn-cs"/>
            </a:rPr>
            <a:pPr algn="ctr"/>
            <a:t>$ 112,2 K</a:t>
          </a:fld>
          <a:endParaRPr lang="id-ID" sz="2800" b="1" i="0" u="none" strike="noStrike">
            <a:ln>
              <a:noFill/>
            </a:ln>
            <a:solidFill>
              <a:schemeClr val="bg1"/>
            </a:solidFill>
            <a:latin typeface="Kulim park"/>
            <a:ea typeface="+mn-ea"/>
            <a:cs typeface="+mn-cs"/>
          </a:endParaRPr>
        </a:p>
      </xdr:txBody>
    </xdr:sp>
    <xdr:clientData/>
  </xdr:twoCellAnchor>
  <xdr:twoCellAnchor>
    <xdr:from>
      <xdr:col>7</xdr:col>
      <xdr:colOff>127000</xdr:colOff>
      <xdr:row>6</xdr:row>
      <xdr:rowOff>146050</xdr:rowOff>
    </xdr:from>
    <xdr:to>
      <xdr:col>9</xdr:col>
      <xdr:colOff>431800</xdr:colOff>
      <xdr:row>9</xdr:row>
      <xdr:rowOff>19050</xdr:rowOff>
    </xdr:to>
    <xdr:sp macro="" textlink="Pivot!F6">
      <xdr:nvSpPr>
        <xdr:cNvPr id="23" name="TextBox 22">
          <a:extLst>
            <a:ext uri="{FF2B5EF4-FFF2-40B4-BE49-F238E27FC236}">
              <a16:creationId xmlns:a16="http://schemas.microsoft.com/office/drawing/2014/main" id="{D05520EA-8810-747D-3274-0F7110380011}"/>
            </a:ext>
          </a:extLst>
        </xdr:cNvPr>
        <xdr:cNvSpPr txBox="1"/>
      </xdr:nvSpPr>
      <xdr:spPr>
        <a:xfrm>
          <a:off x="4394200" y="1289050"/>
          <a:ext cx="15240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BBAB79-942C-4059-8099-3101B2E04A46}" type="TxLink">
            <a:rPr lang="en-US" sz="2800" b="1" i="0" u="none" strike="noStrike">
              <a:ln>
                <a:noFill/>
              </a:ln>
              <a:solidFill>
                <a:srgbClr val="7B542F"/>
              </a:solidFill>
              <a:latin typeface="Kulim park"/>
              <a:ea typeface="+mn-ea"/>
              <a:cs typeface="+mn-cs"/>
            </a:rPr>
            <a:pPr algn="ctr"/>
            <a:t>3547</a:t>
          </a:fld>
          <a:endParaRPr lang="id-ID" sz="2800" b="1" i="0" u="none" strike="noStrike">
            <a:ln>
              <a:noFill/>
            </a:ln>
            <a:solidFill>
              <a:srgbClr val="7B542F"/>
            </a:solidFill>
            <a:latin typeface="Kulim park"/>
            <a:ea typeface="+mn-ea"/>
            <a:cs typeface="+mn-cs"/>
          </a:endParaRPr>
        </a:p>
      </xdr:txBody>
    </xdr:sp>
    <xdr:clientData/>
  </xdr:twoCellAnchor>
  <xdr:twoCellAnchor>
    <xdr:from>
      <xdr:col>9</xdr:col>
      <xdr:colOff>508000</xdr:colOff>
      <xdr:row>6</xdr:row>
      <xdr:rowOff>146050</xdr:rowOff>
    </xdr:from>
    <xdr:to>
      <xdr:col>12</xdr:col>
      <xdr:colOff>520700</xdr:colOff>
      <xdr:row>9</xdr:row>
      <xdr:rowOff>19050</xdr:rowOff>
    </xdr:to>
    <xdr:sp macro="" textlink="Pivot!G6">
      <xdr:nvSpPr>
        <xdr:cNvPr id="24" name="TextBox 23">
          <a:extLst>
            <a:ext uri="{FF2B5EF4-FFF2-40B4-BE49-F238E27FC236}">
              <a16:creationId xmlns:a16="http://schemas.microsoft.com/office/drawing/2014/main" id="{C2775927-EFB8-444C-8DBF-FC48B25ACCE9}"/>
            </a:ext>
          </a:extLst>
        </xdr:cNvPr>
        <xdr:cNvSpPr txBox="1"/>
      </xdr:nvSpPr>
      <xdr:spPr>
        <a:xfrm>
          <a:off x="5994400" y="1289050"/>
          <a:ext cx="1841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FFC866-70F6-440D-A87E-45BCB6DE355D}" type="TxLink">
            <a:rPr lang="en-US" sz="2800" b="1" i="0" u="none" strike="noStrike">
              <a:ln>
                <a:noFill/>
              </a:ln>
              <a:solidFill>
                <a:srgbClr val="7B542F"/>
              </a:solidFill>
              <a:latin typeface="Kulim park"/>
              <a:ea typeface="+mn-ea"/>
              <a:cs typeface="+mn-cs"/>
            </a:rPr>
            <a:pPr marL="0" indent="0" algn="ctr"/>
            <a:t>$ 31,6 </a:t>
          </a:fld>
          <a:endParaRPr lang="id-ID" sz="2800" b="1" i="0" u="none" strike="noStrike">
            <a:ln>
              <a:noFill/>
            </a:ln>
            <a:solidFill>
              <a:srgbClr val="7B542F"/>
            </a:solidFill>
            <a:latin typeface="Kulim park"/>
            <a:ea typeface="+mn-ea"/>
            <a:cs typeface="+mn-cs"/>
          </a:endParaRPr>
        </a:p>
      </xdr:txBody>
    </xdr:sp>
    <xdr:clientData/>
  </xdr:twoCellAnchor>
  <xdr:twoCellAnchor>
    <xdr:from>
      <xdr:col>13</xdr:col>
      <xdr:colOff>228600</xdr:colOff>
      <xdr:row>6</xdr:row>
      <xdr:rowOff>146050</xdr:rowOff>
    </xdr:from>
    <xdr:to>
      <xdr:col>16</xdr:col>
      <xdr:colOff>241300</xdr:colOff>
      <xdr:row>9</xdr:row>
      <xdr:rowOff>19050</xdr:rowOff>
    </xdr:to>
    <xdr:sp macro="" textlink="Pivot!I6">
      <xdr:nvSpPr>
        <xdr:cNvPr id="25" name="TextBox 24">
          <a:extLst>
            <a:ext uri="{FF2B5EF4-FFF2-40B4-BE49-F238E27FC236}">
              <a16:creationId xmlns:a16="http://schemas.microsoft.com/office/drawing/2014/main" id="{2C53C8F3-B8D5-E758-6A66-51E745281DFF}"/>
            </a:ext>
          </a:extLst>
        </xdr:cNvPr>
        <xdr:cNvSpPr txBox="1"/>
      </xdr:nvSpPr>
      <xdr:spPr>
        <a:xfrm>
          <a:off x="8153400" y="1289050"/>
          <a:ext cx="1841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B5135C-C0FA-4978-92E1-0986DFF53E81}" type="TxLink">
            <a:rPr lang="en-US" sz="2800" b="1" i="0" u="none" strike="noStrike">
              <a:ln>
                <a:noFill/>
              </a:ln>
              <a:solidFill>
                <a:srgbClr val="7B542F"/>
              </a:solidFill>
              <a:latin typeface="Kulim park"/>
              <a:ea typeface="+mn-ea"/>
              <a:cs typeface="+mn-cs"/>
            </a:rPr>
            <a:pPr marL="0" indent="0" algn="ctr"/>
            <a:t>10:00 AM</a:t>
          </a:fld>
          <a:endParaRPr lang="id-ID" sz="2800" b="1" i="0" u="none" strike="noStrike">
            <a:ln>
              <a:noFill/>
            </a:ln>
            <a:solidFill>
              <a:srgbClr val="7B542F"/>
            </a:solidFill>
            <a:latin typeface="Kulim park"/>
            <a:ea typeface="+mn-ea"/>
            <a:cs typeface="+mn-cs"/>
          </a:endParaRPr>
        </a:p>
      </xdr:txBody>
    </xdr:sp>
    <xdr:clientData/>
  </xdr:twoCellAnchor>
  <xdr:twoCellAnchor editAs="oneCell">
    <xdr:from>
      <xdr:col>6</xdr:col>
      <xdr:colOff>114300</xdr:colOff>
      <xdr:row>4</xdr:row>
      <xdr:rowOff>88900</xdr:rowOff>
    </xdr:from>
    <xdr:to>
      <xdr:col>6</xdr:col>
      <xdr:colOff>571500</xdr:colOff>
      <xdr:row>6</xdr:row>
      <xdr:rowOff>165100</xdr:rowOff>
    </xdr:to>
    <xdr:pic>
      <xdr:nvPicPr>
        <xdr:cNvPr id="27" name="Picture 26">
          <a:extLst>
            <a:ext uri="{FF2B5EF4-FFF2-40B4-BE49-F238E27FC236}">
              <a16:creationId xmlns:a16="http://schemas.microsoft.com/office/drawing/2014/main" id="{86013526-6752-9E4E-EB78-C9AB8B4699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71900" y="850900"/>
          <a:ext cx="457200" cy="457200"/>
        </a:xfrm>
        <a:prstGeom prst="rect">
          <a:avLst/>
        </a:prstGeom>
      </xdr:spPr>
    </xdr:pic>
    <xdr:clientData/>
  </xdr:twoCellAnchor>
  <xdr:twoCellAnchor editAs="oneCell">
    <xdr:from>
      <xdr:col>9</xdr:col>
      <xdr:colOff>211142</xdr:colOff>
      <xdr:row>4</xdr:row>
      <xdr:rowOff>88900</xdr:rowOff>
    </xdr:from>
    <xdr:to>
      <xdr:col>10</xdr:col>
      <xdr:colOff>57155</xdr:colOff>
      <xdr:row>6</xdr:row>
      <xdr:rowOff>165100</xdr:rowOff>
    </xdr:to>
    <xdr:pic>
      <xdr:nvPicPr>
        <xdr:cNvPr id="7" name="Picture 6">
          <a:extLst>
            <a:ext uri="{FF2B5EF4-FFF2-40B4-BE49-F238E27FC236}">
              <a16:creationId xmlns:a16="http://schemas.microsoft.com/office/drawing/2014/main" id="{D804883A-0D27-1BB5-C8B8-81E6BC787D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97542" y="850900"/>
          <a:ext cx="455613" cy="457200"/>
        </a:xfrm>
        <a:prstGeom prst="rect">
          <a:avLst/>
        </a:prstGeom>
      </xdr:spPr>
    </xdr:pic>
    <xdr:clientData/>
  </xdr:twoCellAnchor>
  <xdr:twoCellAnchor editAs="oneCell">
    <xdr:from>
      <xdr:col>12</xdr:col>
      <xdr:colOff>373341</xdr:colOff>
      <xdr:row>4</xdr:row>
      <xdr:rowOff>128588</xdr:rowOff>
    </xdr:from>
    <xdr:to>
      <xdr:col>13</xdr:col>
      <xdr:colOff>141289</xdr:colOff>
      <xdr:row>6</xdr:row>
      <xdr:rowOff>125413</xdr:rowOff>
    </xdr:to>
    <xdr:pic>
      <xdr:nvPicPr>
        <xdr:cNvPr id="11" name="Picture 10">
          <a:extLst>
            <a:ext uri="{FF2B5EF4-FFF2-40B4-BE49-F238E27FC236}">
              <a16:creationId xmlns:a16="http://schemas.microsoft.com/office/drawing/2014/main" id="{0F180E81-2048-BE73-F684-F4C48FC207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88541" y="890588"/>
          <a:ext cx="377548" cy="377825"/>
        </a:xfrm>
        <a:prstGeom prst="rect">
          <a:avLst/>
        </a:prstGeom>
      </xdr:spPr>
    </xdr:pic>
    <xdr:clientData/>
  </xdr:twoCellAnchor>
  <xdr:twoCellAnchor editAs="oneCell">
    <xdr:from>
      <xdr:col>15</xdr:col>
      <xdr:colOff>428626</xdr:colOff>
      <xdr:row>4</xdr:row>
      <xdr:rowOff>124900</xdr:rowOff>
    </xdr:from>
    <xdr:to>
      <xdr:col>16</xdr:col>
      <xdr:colOff>203977</xdr:colOff>
      <xdr:row>6</xdr:row>
      <xdr:rowOff>129100</xdr:rowOff>
    </xdr:to>
    <xdr:pic>
      <xdr:nvPicPr>
        <xdr:cNvPr id="17" name="Picture 16">
          <a:extLst>
            <a:ext uri="{FF2B5EF4-FFF2-40B4-BE49-F238E27FC236}">
              <a16:creationId xmlns:a16="http://schemas.microsoft.com/office/drawing/2014/main" id="{65D7ACDA-659F-8363-D6FB-D339983E96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72626" y="886900"/>
          <a:ext cx="384951" cy="385200"/>
        </a:xfrm>
        <a:prstGeom prst="rect">
          <a:avLst/>
        </a:prstGeom>
      </xdr:spPr>
    </xdr:pic>
    <xdr:clientData/>
  </xdr:twoCellAnchor>
  <xdr:twoCellAnchor>
    <xdr:from>
      <xdr:col>23</xdr:col>
      <xdr:colOff>533797</xdr:colOff>
      <xdr:row>4</xdr:row>
      <xdr:rowOff>19050</xdr:rowOff>
    </xdr:from>
    <xdr:to>
      <xdr:col>26</xdr:col>
      <xdr:colOff>521097</xdr:colOff>
      <xdr:row>5</xdr:row>
      <xdr:rowOff>171450</xdr:rowOff>
    </xdr:to>
    <xdr:sp macro="" textlink="">
      <xdr:nvSpPr>
        <xdr:cNvPr id="30" name="Rectangle: Rounded Corners 29">
          <a:extLst>
            <a:ext uri="{FF2B5EF4-FFF2-40B4-BE49-F238E27FC236}">
              <a16:creationId xmlns:a16="http://schemas.microsoft.com/office/drawing/2014/main" id="{2BCF7913-0E11-4FA5-969E-577AB7641C14}"/>
            </a:ext>
          </a:extLst>
        </xdr:cNvPr>
        <xdr:cNvSpPr/>
      </xdr:nvSpPr>
      <xdr:spPr>
        <a:xfrm>
          <a:off x="14554597" y="781050"/>
          <a:ext cx="1816100" cy="342900"/>
        </a:xfrm>
        <a:prstGeom prst="roundRect">
          <a:avLst>
            <a:gd name="adj" fmla="val 50000"/>
          </a:avLst>
        </a:prstGeom>
        <a:solidFill>
          <a:srgbClr val="FF9D00"/>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165497</xdr:colOff>
      <xdr:row>4</xdr:row>
      <xdr:rowOff>57150</xdr:rowOff>
    </xdr:from>
    <xdr:to>
      <xdr:col>26</xdr:col>
      <xdr:colOff>584597</xdr:colOff>
      <xdr:row>5</xdr:row>
      <xdr:rowOff>158750</xdr:rowOff>
    </xdr:to>
    <xdr:sp macro="" textlink="[1]Pivot!F2">
      <xdr:nvSpPr>
        <xdr:cNvPr id="31" name="TextBox 30">
          <a:extLst>
            <a:ext uri="{FF2B5EF4-FFF2-40B4-BE49-F238E27FC236}">
              <a16:creationId xmlns:a16="http://schemas.microsoft.com/office/drawing/2014/main" id="{086A339A-FBC8-43DA-886C-D333E76185A3}"/>
            </a:ext>
          </a:extLst>
        </xdr:cNvPr>
        <xdr:cNvSpPr txBox="1"/>
      </xdr:nvSpPr>
      <xdr:spPr>
        <a:xfrm>
          <a:off x="14795897" y="819150"/>
          <a:ext cx="1638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798BE7-9779-484A-8424-15D2FC65F8B6}" type="TxLink">
            <a:rPr lang="en-US" sz="1200" b="0" i="0" u="none" strike="noStrike">
              <a:ln>
                <a:noFill/>
              </a:ln>
              <a:solidFill>
                <a:schemeClr val="tx1"/>
              </a:solidFill>
              <a:latin typeface="Kulim Park" pitchFamily="2" charset="0"/>
              <a:ea typeface="+mn-ea"/>
              <a:cs typeface="Arial" panose="020B0604020202020204" pitchFamily="34" charset="0"/>
            </a:rPr>
            <a:pPr marL="0" indent="0" algn="ctr"/>
            <a:t>November 6, 2025</a:t>
          </a:fld>
          <a:endParaRPr lang="id-ID" sz="1200" b="0" i="0" u="none" strike="noStrike">
            <a:ln>
              <a:noFill/>
            </a:ln>
            <a:solidFill>
              <a:schemeClr val="tx1"/>
            </a:solidFill>
            <a:latin typeface="Kulim Park" pitchFamily="2" charset="0"/>
            <a:ea typeface="+mn-ea"/>
            <a:cs typeface="Arial" panose="020B0604020202020204" pitchFamily="34" charset="0"/>
          </a:endParaRPr>
        </a:p>
      </xdr:txBody>
    </xdr:sp>
    <xdr:clientData/>
  </xdr:twoCellAnchor>
  <xdr:twoCellAnchor editAs="oneCell">
    <xdr:from>
      <xdr:col>24</xdr:col>
      <xdr:colOff>44450</xdr:colOff>
      <xdr:row>4</xdr:row>
      <xdr:rowOff>83344</xdr:rowOff>
    </xdr:from>
    <xdr:to>
      <xdr:col>24</xdr:col>
      <xdr:colOff>282050</xdr:colOff>
      <xdr:row>5</xdr:row>
      <xdr:rowOff>130444</xdr:rowOff>
    </xdr:to>
    <xdr:pic>
      <xdr:nvPicPr>
        <xdr:cNvPr id="32" name="Picture 31">
          <a:extLst>
            <a:ext uri="{FF2B5EF4-FFF2-40B4-BE49-F238E27FC236}">
              <a16:creationId xmlns:a16="http://schemas.microsoft.com/office/drawing/2014/main" id="{DDBD6520-7A3E-400F-97DC-D2FCC790D5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674850" y="845344"/>
          <a:ext cx="237600" cy="237600"/>
        </a:xfrm>
        <a:prstGeom prst="rect">
          <a:avLst/>
        </a:prstGeom>
      </xdr:spPr>
    </xdr:pic>
    <xdr:clientData/>
  </xdr:twoCellAnchor>
  <xdr:twoCellAnchor>
    <xdr:from>
      <xdr:col>3</xdr:col>
      <xdr:colOff>577850</xdr:colOff>
      <xdr:row>26</xdr:row>
      <xdr:rowOff>6350</xdr:rowOff>
    </xdr:from>
    <xdr:to>
      <xdr:col>11</xdr:col>
      <xdr:colOff>514350</xdr:colOff>
      <xdr:row>40</xdr:row>
      <xdr:rowOff>0</xdr:rowOff>
    </xdr:to>
    <xdr:sp macro="" textlink="">
      <xdr:nvSpPr>
        <xdr:cNvPr id="34" name="Rectangle: Rounded Corners 33">
          <a:extLst>
            <a:ext uri="{FF2B5EF4-FFF2-40B4-BE49-F238E27FC236}">
              <a16:creationId xmlns:a16="http://schemas.microsoft.com/office/drawing/2014/main" id="{6450D309-F466-096B-E157-80ED58FAE082}"/>
            </a:ext>
          </a:extLst>
        </xdr:cNvPr>
        <xdr:cNvSpPr/>
      </xdr:nvSpPr>
      <xdr:spPr>
        <a:xfrm>
          <a:off x="2406650" y="4959350"/>
          <a:ext cx="4813300" cy="2660650"/>
        </a:xfrm>
        <a:prstGeom prst="roundRect">
          <a:avLst>
            <a:gd name="adj" fmla="val 2534"/>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12700</xdr:colOff>
      <xdr:row>26</xdr:row>
      <xdr:rowOff>25400</xdr:rowOff>
    </xdr:from>
    <xdr:to>
      <xdr:col>20</xdr:col>
      <xdr:colOff>0</xdr:colOff>
      <xdr:row>40</xdr:row>
      <xdr:rowOff>0</xdr:rowOff>
    </xdr:to>
    <xdr:sp macro="" textlink="">
      <xdr:nvSpPr>
        <xdr:cNvPr id="35" name="Rectangle: Rounded Corners 34">
          <a:extLst>
            <a:ext uri="{FF2B5EF4-FFF2-40B4-BE49-F238E27FC236}">
              <a16:creationId xmlns:a16="http://schemas.microsoft.com/office/drawing/2014/main" id="{6CAA9348-E1DC-52B2-4EDB-6E34E468BBF0}"/>
            </a:ext>
          </a:extLst>
        </xdr:cNvPr>
        <xdr:cNvSpPr/>
      </xdr:nvSpPr>
      <xdr:spPr>
        <a:xfrm>
          <a:off x="7327900" y="4978400"/>
          <a:ext cx="4864100" cy="2641600"/>
        </a:xfrm>
        <a:prstGeom prst="roundRect">
          <a:avLst>
            <a:gd name="adj" fmla="val 1833"/>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590550</xdr:colOff>
      <xdr:row>11</xdr:row>
      <xdr:rowOff>152400</xdr:rowOff>
    </xdr:from>
    <xdr:to>
      <xdr:col>14</xdr:col>
      <xdr:colOff>0</xdr:colOff>
      <xdr:row>25</xdr:row>
      <xdr:rowOff>76200</xdr:rowOff>
    </xdr:to>
    <xdr:sp macro="" textlink="">
      <xdr:nvSpPr>
        <xdr:cNvPr id="36" name="Rectangle: Rounded Corners 35">
          <a:extLst>
            <a:ext uri="{FF2B5EF4-FFF2-40B4-BE49-F238E27FC236}">
              <a16:creationId xmlns:a16="http://schemas.microsoft.com/office/drawing/2014/main" id="{4C82FD0B-F720-9A78-4B46-48E712835D95}"/>
            </a:ext>
          </a:extLst>
        </xdr:cNvPr>
        <xdr:cNvSpPr/>
      </xdr:nvSpPr>
      <xdr:spPr>
        <a:xfrm>
          <a:off x="2419350" y="2247900"/>
          <a:ext cx="6115050" cy="2590800"/>
        </a:xfrm>
        <a:prstGeom prst="roundRect">
          <a:avLst>
            <a:gd name="adj" fmla="val 3496"/>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14</xdr:col>
      <xdr:colOff>133350</xdr:colOff>
      <xdr:row>11</xdr:row>
      <xdr:rowOff>146050</xdr:rowOff>
    </xdr:from>
    <xdr:to>
      <xdr:col>19</xdr:col>
      <xdr:colOff>552450</xdr:colOff>
      <xdr:row>25</xdr:row>
      <xdr:rowOff>82550</xdr:rowOff>
    </xdr:to>
    <xdr:sp macro="" textlink="">
      <xdr:nvSpPr>
        <xdr:cNvPr id="37" name="Rectangle: Rounded Corners 36">
          <a:extLst>
            <a:ext uri="{FF2B5EF4-FFF2-40B4-BE49-F238E27FC236}">
              <a16:creationId xmlns:a16="http://schemas.microsoft.com/office/drawing/2014/main" id="{48158F77-89AB-520D-DD52-5530E1D1855C}"/>
            </a:ext>
          </a:extLst>
        </xdr:cNvPr>
        <xdr:cNvSpPr/>
      </xdr:nvSpPr>
      <xdr:spPr>
        <a:xfrm>
          <a:off x="8667750" y="2241550"/>
          <a:ext cx="3467100" cy="2603500"/>
        </a:xfrm>
        <a:prstGeom prst="roundRect">
          <a:avLst>
            <a:gd name="adj" fmla="val 3538"/>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20</xdr:col>
      <xdr:colOff>101600</xdr:colOff>
      <xdr:row>7</xdr:row>
      <xdr:rowOff>146050</xdr:rowOff>
    </xdr:from>
    <xdr:to>
      <xdr:col>26</xdr:col>
      <xdr:colOff>476250</xdr:colOff>
      <xdr:row>27</xdr:row>
      <xdr:rowOff>76200</xdr:rowOff>
    </xdr:to>
    <xdr:sp macro="" textlink="">
      <xdr:nvSpPr>
        <xdr:cNvPr id="38" name="Rectangle: Rounded Corners 37">
          <a:extLst>
            <a:ext uri="{FF2B5EF4-FFF2-40B4-BE49-F238E27FC236}">
              <a16:creationId xmlns:a16="http://schemas.microsoft.com/office/drawing/2014/main" id="{9F172F73-AB8B-EE2C-3B1F-E846354E4122}"/>
            </a:ext>
          </a:extLst>
        </xdr:cNvPr>
        <xdr:cNvSpPr/>
      </xdr:nvSpPr>
      <xdr:spPr>
        <a:xfrm>
          <a:off x="12293600" y="1479550"/>
          <a:ext cx="4032250" cy="3740150"/>
        </a:xfrm>
        <a:prstGeom prst="roundRect">
          <a:avLst>
            <a:gd name="adj" fmla="val 2544"/>
          </a:avLst>
        </a:prstGeom>
        <a:solidFill>
          <a:srgbClr val="FFCF71"/>
        </a:solidFill>
        <a:ln w="25400">
          <a:solidFill>
            <a:srgbClr val="7B542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20</xdr:col>
      <xdr:colOff>101600</xdr:colOff>
      <xdr:row>28</xdr:row>
      <xdr:rowOff>25400</xdr:rowOff>
    </xdr:from>
    <xdr:to>
      <xdr:col>26</xdr:col>
      <xdr:colOff>482600</xdr:colOff>
      <xdr:row>40</xdr:row>
      <xdr:rowOff>0</xdr:rowOff>
    </xdr:to>
    <xdr:sp macro="" textlink="">
      <xdr:nvSpPr>
        <xdr:cNvPr id="39" name="Rectangle: Rounded Corners 38">
          <a:extLst>
            <a:ext uri="{FF2B5EF4-FFF2-40B4-BE49-F238E27FC236}">
              <a16:creationId xmlns:a16="http://schemas.microsoft.com/office/drawing/2014/main" id="{48216029-7BB9-528C-2F19-6611E5999BA6}"/>
            </a:ext>
          </a:extLst>
        </xdr:cNvPr>
        <xdr:cNvSpPr/>
      </xdr:nvSpPr>
      <xdr:spPr>
        <a:xfrm>
          <a:off x="12293600" y="5359400"/>
          <a:ext cx="4038600" cy="2260600"/>
        </a:xfrm>
        <a:prstGeom prst="roundRect">
          <a:avLst>
            <a:gd name="adj" fmla="val 3756"/>
          </a:avLst>
        </a:prstGeom>
        <a:solidFill>
          <a:srgbClr val="C1785A"/>
        </a:solidFill>
        <a:ln w="254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590550</xdr:colOff>
      <xdr:row>11</xdr:row>
      <xdr:rowOff>152400</xdr:rowOff>
    </xdr:from>
    <xdr:to>
      <xdr:col>7</xdr:col>
      <xdr:colOff>292100</xdr:colOff>
      <xdr:row>13</xdr:row>
      <xdr:rowOff>127000</xdr:rowOff>
    </xdr:to>
    <xdr:sp macro="" textlink="">
      <xdr:nvSpPr>
        <xdr:cNvPr id="40" name="TextBox 39">
          <a:extLst>
            <a:ext uri="{FF2B5EF4-FFF2-40B4-BE49-F238E27FC236}">
              <a16:creationId xmlns:a16="http://schemas.microsoft.com/office/drawing/2014/main" id="{67D4F4C8-2D37-4B4F-90E1-854B67F4E12D}"/>
            </a:ext>
          </a:extLst>
        </xdr:cNvPr>
        <xdr:cNvSpPr txBox="1"/>
      </xdr:nvSpPr>
      <xdr:spPr>
        <a:xfrm>
          <a:off x="2419350" y="2247900"/>
          <a:ext cx="2139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ln>
                <a:noFill/>
              </a:ln>
              <a:solidFill>
                <a:srgbClr val="7B542F"/>
              </a:solidFill>
              <a:latin typeface="Kulim park"/>
            </a:rPr>
            <a:t>Sales Trends by </a:t>
          </a:r>
          <a:r>
            <a:rPr lang="en-US" sz="1400" b="1" i="0" u="none" strike="noStrike">
              <a:ln>
                <a:noFill/>
              </a:ln>
              <a:solidFill>
                <a:srgbClr val="7B542F"/>
              </a:solidFill>
              <a:latin typeface="Kulim park"/>
            </a:rPr>
            <a:t>Month</a:t>
          </a:r>
        </a:p>
      </xdr:txBody>
    </xdr:sp>
    <xdr:clientData/>
  </xdr:twoCellAnchor>
  <xdr:twoCellAnchor>
    <xdr:from>
      <xdr:col>3</xdr:col>
      <xdr:colOff>603250</xdr:colOff>
      <xdr:row>13</xdr:row>
      <xdr:rowOff>25400</xdr:rowOff>
    </xdr:from>
    <xdr:to>
      <xdr:col>13</xdr:col>
      <xdr:colOff>596900</xdr:colOff>
      <xdr:row>25</xdr:row>
      <xdr:rowOff>25400</xdr:rowOff>
    </xdr:to>
    <xdr:graphicFrame macro="">
      <xdr:nvGraphicFramePr>
        <xdr:cNvPr id="41" name="Chart 40">
          <a:extLst>
            <a:ext uri="{FF2B5EF4-FFF2-40B4-BE49-F238E27FC236}">
              <a16:creationId xmlns:a16="http://schemas.microsoft.com/office/drawing/2014/main" id="{D8ED93E6-E97F-4DCE-B731-7BC08C459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571500</xdr:colOff>
      <xdr:row>27</xdr:row>
      <xdr:rowOff>101600</xdr:rowOff>
    </xdr:from>
    <xdr:to>
      <xdr:col>11</xdr:col>
      <xdr:colOff>495300</xdr:colOff>
      <xdr:row>39</xdr:row>
      <xdr:rowOff>165100</xdr:rowOff>
    </xdr:to>
    <xdr:graphicFrame macro="">
      <xdr:nvGraphicFramePr>
        <xdr:cNvPr id="42" name="Chart 41">
          <a:extLst>
            <a:ext uri="{FF2B5EF4-FFF2-40B4-BE49-F238E27FC236}">
              <a16:creationId xmlns:a16="http://schemas.microsoft.com/office/drawing/2014/main" id="{F515F425-6B9D-479B-8F4E-E45BDE737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590550</xdr:colOff>
      <xdr:row>26</xdr:row>
      <xdr:rowOff>25400</xdr:rowOff>
    </xdr:from>
    <xdr:to>
      <xdr:col>7</xdr:col>
      <xdr:colOff>292100</xdr:colOff>
      <xdr:row>28</xdr:row>
      <xdr:rowOff>0</xdr:rowOff>
    </xdr:to>
    <xdr:sp macro="" textlink="">
      <xdr:nvSpPr>
        <xdr:cNvPr id="43" name="TextBox 42">
          <a:extLst>
            <a:ext uri="{FF2B5EF4-FFF2-40B4-BE49-F238E27FC236}">
              <a16:creationId xmlns:a16="http://schemas.microsoft.com/office/drawing/2014/main" id="{34FA65BA-FE65-AE1E-4978-0B29BFE4BF4D}"/>
            </a:ext>
          </a:extLst>
        </xdr:cNvPr>
        <xdr:cNvSpPr txBox="1"/>
      </xdr:nvSpPr>
      <xdr:spPr>
        <a:xfrm>
          <a:off x="2419350" y="4978400"/>
          <a:ext cx="2139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ln>
                <a:noFill/>
              </a:ln>
              <a:solidFill>
                <a:srgbClr val="7B542F"/>
              </a:solidFill>
              <a:latin typeface="Kulim park"/>
            </a:rPr>
            <a:t>Sales Trends by </a:t>
          </a:r>
          <a:r>
            <a:rPr lang="en-US" sz="1400" b="1" i="0" u="none" strike="noStrike">
              <a:ln>
                <a:noFill/>
              </a:ln>
              <a:solidFill>
                <a:srgbClr val="7B542F"/>
              </a:solidFill>
              <a:latin typeface="Kulim park"/>
            </a:rPr>
            <a:t>Days</a:t>
          </a:r>
        </a:p>
      </xdr:txBody>
    </xdr:sp>
    <xdr:clientData/>
  </xdr:twoCellAnchor>
  <xdr:twoCellAnchor>
    <xdr:from>
      <xdr:col>12</xdr:col>
      <xdr:colOff>31750</xdr:colOff>
      <xdr:row>26</xdr:row>
      <xdr:rowOff>25400</xdr:rowOff>
    </xdr:from>
    <xdr:to>
      <xdr:col>15</xdr:col>
      <xdr:colOff>342900</xdr:colOff>
      <xdr:row>28</xdr:row>
      <xdr:rowOff>0</xdr:rowOff>
    </xdr:to>
    <xdr:sp macro="" textlink="">
      <xdr:nvSpPr>
        <xdr:cNvPr id="44" name="TextBox 43">
          <a:extLst>
            <a:ext uri="{FF2B5EF4-FFF2-40B4-BE49-F238E27FC236}">
              <a16:creationId xmlns:a16="http://schemas.microsoft.com/office/drawing/2014/main" id="{33A52DCC-BED1-0D0E-0219-25925E053E80}"/>
            </a:ext>
          </a:extLst>
        </xdr:cNvPr>
        <xdr:cNvSpPr txBox="1"/>
      </xdr:nvSpPr>
      <xdr:spPr>
        <a:xfrm>
          <a:off x="7346950" y="4978400"/>
          <a:ext cx="2139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ln>
                <a:noFill/>
              </a:ln>
              <a:solidFill>
                <a:srgbClr val="7B542F"/>
              </a:solidFill>
              <a:latin typeface="Kulim park"/>
            </a:rPr>
            <a:t>Sales Trends by </a:t>
          </a:r>
          <a:r>
            <a:rPr lang="en-US" sz="1400" b="1" i="0" u="none" strike="noStrike">
              <a:ln>
                <a:noFill/>
              </a:ln>
              <a:solidFill>
                <a:srgbClr val="7B542F"/>
              </a:solidFill>
              <a:latin typeface="Kulim park"/>
            </a:rPr>
            <a:t>Hours</a:t>
          </a:r>
        </a:p>
      </xdr:txBody>
    </xdr:sp>
    <xdr:clientData/>
  </xdr:twoCellAnchor>
  <xdr:twoCellAnchor>
    <xdr:from>
      <xdr:col>12</xdr:col>
      <xdr:colOff>25400</xdr:colOff>
      <xdr:row>27</xdr:row>
      <xdr:rowOff>50800</xdr:rowOff>
    </xdr:from>
    <xdr:to>
      <xdr:col>19</xdr:col>
      <xdr:colOff>596900</xdr:colOff>
      <xdr:row>39</xdr:row>
      <xdr:rowOff>165100</xdr:rowOff>
    </xdr:to>
    <xdr:graphicFrame macro="">
      <xdr:nvGraphicFramePr>
        <xdr:cNvPr id="45" name="Chart 44">
          <a:extLst>
            <a:ext uri="{FF2B5EF4-FFF2-40B4-BE49-F238E27FC236}">
              <a16:creationId xmlns:a16="http://schemas.microsoft.com/office/drawing/2014/main" id="{B0CCA47B-32A4-4282-A49C-D5BB25A40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95250</xdr:colOff>
      <xdr:row>11</xdr:row>
      <xdr:rowOff>152400</xdr:rowOff>
    </xdr:from>
    <xdr:to>
      <xdr:col>18</xdr:col>
      <xdr:colOff>152400</xdr:colOff>
      <xdr:row>13</xdr:row>
      <xdr:rowOff>127000</xdr:rowOff>
    </xdr:to>
    <xdr:sp macro="" textlink="">
      <xdr:nvSpPr>
        <xdr:cNvPr id="6" name="TextBox 5">
          <a:extLst>
            <a:ext uri="{FF2B5EF4-FFF2-40B4-BE49-F238E27FC236}">
              <a16:creationId xmlns:a16="http://schemas.microsoft.com/office/drawing/2014/main" id="{CB4E39BC-8408-1189-9409-8FD4C20D76F0}"/>
            </a:ext>
          </a:extLst>
        </xdr:cNvPr>
        <xdr:cNvSpPr txBox="1"/>
      </xdr:nvSpPr>
      <xdr:spPr>
        <a:xfrm>
          <a:off x="8629650" y="2247900"/>
          <a:ext cx="24955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ln>
                <a:noFill/>
              </a:ln>
              <a:solidFill>
                <a:srgbClr val="7B542F"/>
              </a:solidFill>
              <a:latin typeface="Kulim park"/>
            </a:rPr>
            <a:t>Top</a:t>
          </a:r>
          <a:r>
            <a:rPr lang="en-US" sz="1400" b="0" i="0" u="none" strike="noStrike" baseline="0">
              <a:ln>
                <a:noFill/>
              </a:ln>
              <a:solidFill>
                <a:srgbClr val="7B542F"/>
              </a:solidFill>
              <a:latin typeface="Kulim park"/>
            </a:rPr>
            <a:t> 5 Products by </a:t>
          </a:r>
          <a:r>
            <a:rPr lang="en-US" sz="1400" b="1" i="0" u="none" strike="noStrike" baseline="0">
              <a:ln>
                <a:noFill/>
              </a:ln>
              <a:solidFill>
                <a:srgbClr val="7B542F"/>
              </a:solidFill>
              <a:latin typeface="Kulim park"/>
            </a:rPr>
            <a:t>Revenue</a:t>
          </a:r>
          <a:endParaRPr lang="en-US" sz="1400" b="1" i="0" u="none" strike="noStrike">
            <a:ln>
              <a:noFill/>
            </a:ln>
            <a:solidFill>
              <a:srgbClr val="7B542F"/>
            </a:solidFill>
            <a:latin typeface="Kulim park"/>
          </a:endParaRPr>
        </a:p>
      </xdr:txBody>
    </xdr:sp>
    <xdr:clientData/>
  </xdr:twoCellAnchor>
  <xdr:twoCellAnchor>
    <xdr:from>
      <xdr:col>14</xdr:col>
      <xdr:colOff>209550</xdr:colOff>
      <xdr:row>13</xdr:row>
      <xdr:rowOff>162383</xdr:rowOff>
    </xdr:from>
    <xdr:to>
      <xdr:col>14</xdr:col>
      <xdr:colOff>495850</xdr:colOff>
      <xdr:row>15</xdr:row>
      <xdr:rowOff>66217</xdr:rowOff>
    </xdr:to>
    <xdr:sp macro="" textlink="">
      <xdr:nvSpPr>
        <xdr:cNvPr id="10" name="Flowchart: Connector 9">
          <a:extLst>
            <a:ext uri="{FF2B5EF4-FFF2-40B4-BE49-F238E27FC236}">
              <a16:creationId xmlns:a16="http://schemas.microsoft.com/office/drawing/2014/main" id="{F5EF54A6-8D53-4BAF-B08B-E2FC0E9D7B76}"/>
            </a:ext>
          </a:extLst>
        </xdr:cNvPr>
        <xdr:cNvSpPr/>
      </xdr:nvSpPr>
      <xdr:spPr>
        <a:xfrm>
          <a:off x="8743950" y="2638883"/>
          <a:ext cx="286300" cy="284834"/>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a:solidFill>
                <a:schemeClr val="bg1"/>
              </a:solidFill>
              <a:latin typeface="Kulim Park" pitchFamily="2" charset="0"/>
            </a:rPr>
            <a:t>1</a:t>
          </a:r>
          <a:endParaRPr lang="id-ID" sz="1100" b="1" i="0" u="none">
            <a:solidFill>
              <a:schemeClr val="bg1"/>
            </a:solidFill>
            <a:latin typeface="Kulim Park" pitchFamily="2" charset="0"/>
          </a:endParaRPr>
        </a:p>
      </xdr:txBody>
    </xdr:sp>
    <xdr:clientData/>
  </xdr:twoCellAnchor>
  <xdr:twoCellAnchor>
    <xdr:from>
      <xdr:col>14</xdr:col>
      <xdr:colOff>209550</xdr:colOff>
      <xdr:row>16</xdr:row>
      <xdr:rowOff>35322</xdr:rowOff>
    </xdr:from>
    <xdr:to>
      <xdr:col>14</xdr:col>
      <xdr:colOff>495850</xdr:colOff>
      <xdr:row>17</xdr:row>
      <xdr:rowOff>129656</xdr:rowOff>
    </xdr:to>
    <xdr:sp macro="" textlink="">
      <xdr:nvSpPr>
        <xdr:cNvPr id="12" name="Flowchart: Connector 11">
          <a:extLst>
            <a:ext uri="{FF2B5EF4-FFF2-40B4-BE49-F238E27FC236}">
              <a16:creationId xmlns:a16="http://schemas.microsoft.com/office/drawing/2014/main" id="{EE437B19-F803-4CE2-B68D-AFA765E3216B}"/>
            </a:ext>
          </a:extLst>
        </xdr:cNvPr>
        <xdr:cNvSpPr/>
      </xdr:nvSpPr>
      <xdr:spPr>
        <a:xfrm>
          <a:off x="8743950" y="3083322"/>
          <a:ext cx="286300" cy="284834"/>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a:latin typeface="Kulim Park" pitchFamily="2" charset="0"/>
            </a:rPr>
            <a:t>2</a:t>
          </a:r>
          <a:endParaRPr lang="id-ID" sz="1100" b="1" i="0" u="none">
            <a:latin typeface="Kulim Park" pitchFamily="2" charset="0"/>
          </a:endParaRPr>
        </a:p>
      </xdr:txBody>
    </xdr:sp>
    <xdr:clientData/>
  </xdr:twoCellAnchor>
  <xdr:twoCellAnchor>
    <xdr:from>
      <xdr:col>14</xdr:col>
      <xdr:colOff>209550</xdr:colOff>
      <xdr:row>18</xdr:row>
      <xdr:rowOff>102394</xdr:rowOff>
    </xdr:from>
    <xdr:to>
      <xdr:col>14</xdr:col>
      <xdr:colOff>495850</xdr:colOff>
      <xdr:row>20</xdr:row>
      <xdr:rowOff>6228</xdr:rowOff>
    </xdr:to>
    <xdr:sp macro="" textlink="">
      <xdr:nvSpPr>
        <xdr:cNvPr id="26" name="Flowchart: Connector 25">
          <a:extLst>
            <a:ext uri="{FF2B5EF4-FFF2-40B4-BE49-F238E27FC236}">
              <a16:creationId xmlns:a16="http://schemas.microsoft.com/office/drawing/2014/main" id="{1403F3FF-6A20-49CB-A4A2-73CCFF71BF08}"/>
            </a:ext>
          </a:extLst>
        </xdr:cNvPr>
        <xdr:cNvSpPr/>
      </xdr:nvSpPr>
      <xdr:spPr>
        <a:xfrm>
          <a:off x="8743950" y="3531394"/>
          <a:ext cx="286300" cy="284834"/>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a:latin typeface="Kulim Park" pitchFamily="2" charset="0"/>
            </a:rPr>
            <a:t>3</a:t>
          </a:r>
          <a:endParaRPr lang="id-ID" sz="1100" b="1" i="0" u="none">
            <a:latin typeface="Kulim Park" pitchFamily="2" charset="0"/>
          </a:endParaRPr>
        </a:p>
      </xdr:txBody>
    </xdr:sp>
    <xdr:clientData/>
  </xdr:twoCellAnchor>
  <xdr:twoCellAnchor>
    <xdr:from>
      <xdr:col>14</xdr:col>
      <xdr:colOff>209550</xdr:colOff>
      <xdr:row>20</xdr:row>
      <xdr:rowOff>169466</xdr:rowOff>
    </xdr:from>
    <xdr:to>
      <xdr:col>14</xdr:col>
      <xdr:colOff>495850</xdr:colOff>
      <xdr:row>22</xdr:row>
      <xdr:rowOff>73300</xdr:rowOff>
    </xdr:to>
    <xdr:sp macro="" textlink="">
      <xdr:nvSpPr>
        <xdr:cNvPr id="28" name="Flowchart: Connector 27">
          <a:extLst>
            <a:ext uri="{FF2B5EF4-FFF2-40B4-BE49-F238E27FC236}">
              <a16:creationId xmlns:a16="http://schemas.microsoft.com/office/drawing/2014/main" id="{746E16EC-7361-45A1-8FB8-F3538E086042}"/>
            </a:ext>
          </a:extLst>
        </xdr:cNvPr>
        <xdr:cNvSpPr/>
      </xdr:nvSpPr>
      <xdr:spPr>
        <a:xfrm>
          <a:off x="8743950" y="3979466"/>
          <a:ext cx="286300" cy="284834"/>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a:latin typeface="Kulim Park" pitchFamily="2" charset="0"/>
            </a:rPr>
            <a:t>4</a:t>
          </a:r>
          <a:endParaRPr lang="id-ID" sz="1100" b="1" i="0" u="none">
            <a:latin typeface="Kulim Park" pitchFamily="2" charset="0"/>
          </a:endParaRPr>
        </a:p>
      </xdr:txBody>
    </xdr:sp>
    <xdr:clientData/>
  </xdr:twoCellAnchor>
  <xdr:twoCellAnchor>
    <xdr:from>
      <xdr:col>14</xdr:col>
      <xdr:colOff>209550</xdr:colOff>
      <xdr:row>23</xdr:row>
      <xdr:rowOff>54433</xdr:rowOff>
    </xdr:from>
    <xdr:to>
      <xdr:col>14</xdr:col>
      <xdr:colOff>495850</xdr:colOff>
      <xdr:row>24</xdr:row>
      <xdr:rowOff>148767</xdr:rowOff>
    </xdr:to>
    <xdr:sp macro="" textlink="">
      <xdr:nvSpPr>
        <xdr:cNvPr id="29" name="Flowchart: Connector 28">
          <a:extLst>
            <a:ext uri="{FF2B5EF4-FFF2-40B4-BE49-F238E27FC236}">
              <a16:creationId xmlns:a16="http://schemas.microsoft.com/office/drawing/2014/main" id="{E5BFDAE8-4DC0-41D5-8073-4CB8913FB529}"/>
            </a:ext>
          </a:extLst>
        </xdr:cNvPr>
        <xdr:cNvSpPr/>
      </xdr:nvSpPr>
      <xdr:spPr>
        <a:xfrm>
          <a:off x="8743950" y="4435933"/>
          <a:ext cx="286300" cy="284834"/>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a:latin typeface="Kulim Park" pitchFamily="2" charset="0"/>
            </a:rPr>
            <a:t>5</a:t>
          </a:r>
          <a:endParaRPr lang="id-ID" sz="1100" b="1" i="0" u="none">
            <a:latin typeface="Kulim Park" pitchFamily="2" charset="0"/>
          </a:endParaRPr>
        </a:p>
      </xdr:txBody>
    </xdr:sp>
    <xdr:clientData/>
  </xdr:twoCellAnchor>
  <xdr:twoCellAnchor>
    <xdr:from>
      <xdr:col>14</xdr:col>
      <xdr:colOff>565150</xdr:colOff>
      <xdr:row>13</xdr:row>
      <xdr:rowOff>133350</xdr:rowOff>
    </xdr:from>
    <xdr:to>
      <xdr:col>18</xdr:col>
      <xdr:colOff>88900</xdr:colOff>
      <xdr:row>15</xdr:row>
      <xdr:rowOff>95250</xdr:rowOff>
    </xdr:to>
    <xdr:sp macro="" textlink="Pivot!E90">
      <xdr:nvSpPr>
        <xdr:cNvPr id="33" name="TextBox 32">
          <a:extLst>
            <a:ext uri="{FF2B5EF4-FFF2-40B4-BE49-F238E27FC236}">
              <a16:creationId xmlns:a16="http://schemas.microsoft.com/office/drawing/2014/main" id="{CB150B7E-574B-43D8-953D-787AB45C9BCF}"/>
            </a:ext>
          </a:extLst>
        </xdr:cNvPr>
        <xdr:cNvSpPr txBox="1"/>
      </xdr:nvSpPr>
      <xdr:spPr>
        <a:xfrm>
          <a:off x="9099550" y="2609850"/>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701849-2F6B-46B0-A965-4E2DF2A1925A}" type="TxLink">
            <a:rPr lang="en-US" sz="1400" b="1" i="0" u="none" strike="noStrike">
              <a:ln>
                <a:noFill/>
              </a:ln>
              <a:solidFill>
                <a:srgbClr val="7B542F"/>
              </a:solidFill>
              <a:latin typeface="Kulim Park"/>
              <a:ea typeface="+mn-ea"/>
              <a:cs typeface="+mn-cs"/>
            </a:rPr>
            <a:pPr marL="0" indent="0" algn="l"/>
            <a:t>Latte</a:t>
          </a:fld>
          <a:endParaRPr lang="en-US" sz="1400" b="1" i="0" u="none" strike="noStrike">
            <a:ln>
              <a:noFill/>
            </a:ln>
            <a:solidFill>
              <a:srgbClr val="7B542F"/>
            </a:solidFill>
            <a:latin typeface="Kulim park"/>
            <a:ea typeface="+mn-ea"/>
            <a:cs typeface="+mn-cs"/>
          </a:endParaRPr>
        </a:p>
      </xdr:txBody>
    </xdr:sp>
    <xdr:clientData/>
  </xdr:twoCellAnchor>
  <xdr:twoCellAnchor>
    <xdr:from>
      <xdr:col>18</xdr:col>
      <xdr:colOff>50800</xdr:colOff>
      <xdr:row>13</xdr:row>
      <xdr:rowOff>146050</xdr:rowOff>
    </xdr:from>
    <xdr:to>
      <xdr:col>19</xdr:col>
      <xdr:colOff>377825</xdr:colOff>
      <xdr:row>15</xdr:row>
      <xdr:rowOff>107950</xdr:rowOff>
    </xdr:to>
    <xdr:sp macro="" textlink="Pivot!F90">
      <xdr:nvSpPr>
        <xdr:cNvPr id="50" name="TextBox 49">
          <a:extLst>
            <a:ext uri="{FF2B5EF4-FFF2-40B4-BE49-F238E27FC236}">
              <a16:creationId xmlns:a16="http://schemas.microsoft.com/office/drawing/2014/main" id="{8E3C2B7F-8854-4EDD-B6A0-717C011B134F}"/>
            </a:ext>
          </a:extLst>
        </xdr:cNvPr>
        <xdr:cNvSpPr txBox="1"/>
      </xdr:nvSpPr>
      <xdr:spPr>
        <a:xfrm>
          <a:off x="11023600" y="2622550"/>
          <a:ext cx="9366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9BADF60-8109-477D-8B80-1A0D457AA854}" type="TxLink">
            <a:rPr lang="en-US" sz="1500" b="0" i="0" u="none" strike="noStrike">
              <a:ln>
                <a:noFill/>
              </a:ln>
              <a:solidFill>
                <a:srgbClr val="7B542F"/>
              </a:solidFill>
              <a:latin typeface="Kulim Park"/>
              <a:ea typeface="+mn-ea"/>
              <a:cs typeface="+mn-cs"/>
            </a:rPr>
            <a:pPr marL="0" indent="0" algn="r"/>
            <a:t>$26.875</a:t>
          </a:fld>
          <a:endParaRPr lang="en-US" sz="1500" b="0" i="0" u="none" strike="noStrike">
            <a:ln>
              <a:noFill/>
            </a:ln>
            <a:solidFill>
              <a:srgbClr val="7B542F"/>
            </a:solidFill>
            <a:latin typeface="Kulim Park"/>
            <a:ea typeface="+mn-ea"/>
            <a:cs typeface="+mn-cs"/>
          </a:endParaRPr>
        </a:p>
      </xdr:txBody>
    </xdr:sp>
    <xdr:clientData/>
  </xdr:twoCellAnchor>
  <xdr:twoCellAnchor>
    <xdr:from>
      <xdr:col>14</xdr:col>
      <xdr:colOff>565150</xdr:colOff>
      <xdr:row>16</xdr:row>
      <xdr:rowOff>11113</xdr:rowOff>
    </xdr:from>
    <xdr:to>
      <xdr:col>18</xdr:col>
      <xdr:colOff>88900</xdr:colOff>
      <xdr:row>17</xdr:row>
      <xdr:rowOff>163513</xdr:rowOff>
    </xdr:to>
    <xdr:sp macro="" textlink="Pivot!E91">
      <xdr:nvSpPr>
        <xdr:cNvPr id="55" name="TextBox 54">
          <a:extLst>
            <a:ext uri="{FF2B5EF4-FFF2-40B4-BE49-F238E27FC236}">
              <a16:creationId xmlns:a16="http://schemas.microsoft.com/office/drawing/2014/main" id="{C2C72EA5-ABCE-D18F-9AA6-6420D3096CA5}"/>
            </a:ext>
          </a:extLst>
        </xdr:cNvPr>
        <xdr:cNvSpPr txBox="1"/>
      </xdr:nvSpPr>
      <xdr:spPr>
        <a:xfrm>
          <a:off x="9099550" y="3059113"/>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AADA5F5-144C-407E-ABAB-BF77188BDA4D}" type="TxLink">
            <a:rPr lang="en-US" sz="1400" b="1" i="0" u="none" strike="noStrike">
              <a:ln>
                <a:noFill/>
              </a:ln>
              <a:solidFill>
                <a:srgbClr val="7B542F"/>
              </a:solidFill>
              <a:latin typeface="Kulim Park"/>
              <a:ea typeface="+mn-ea"/>
              <a:cs typeface="+mn-cs"/>
            </a:rPr>
            <a:pPr marL="0" indent="0" algn="l"/>
            <a:t>Americano with Milk</a:t>
          </a:fld>
          <a:endParaRPr lang="en-US" sz="1400" b="1" i="0" u="none" strike="noStrike">
            <a:ln>
              <a:noFill/>
            </a:ln>
            <a:solidFill>
              <a:srgbClr val="7B542F"/>
            </a:solidFill>
            <a:latin typeface="Kulim Park"/>
            <a:ea typeface="+mn-ea"/>
            <a:cs typeface="+mn-cs"/>
          </a:endParaRPr>
        </a:p>
      </xdr:txBody>
    </xdr:sp>
    <xdr:clientData/>
  </xdr:twoCellAnchor>
  <xdr:twoCellAnchor>
    <xdr:from>
      <xdr:col>14</xdr:col>
      <xdr:colOff>565150</xdr:colOff>
      <xdr:row>18</xdr:row>
      <xdr:rowOff>79376</xdr:rowOff>
    </xdr:from>
    <xdr:to>
      <xdr:col>18</xdr:col>
      <xdr:colOff>88900</xdr:colOff>
      <xdr:row>20</xdr:row>
      <xdr:rowOff>41276</xdr:rowOff>
    </xdr:to>
    <xdr:sp macro="" textlink="Pivot!E92">
      <xdr:nvSpPr>
        <xdr:cNvPr id="56" name="TextBox 55">
          <a:extLst>
            <a:ext uri="{FF2B5EF4-FFF2-40B4-BE49-F238E27FC236}">
              <a16:creationId xmlns:a16="http://schemas.microsoft.com/office/drawing/2014/main" id="{854792B1-6C73-E824-B31D-CFFDA60AB8EE}"/>
            </a:ext>
          </a:extLst>
        </xdr:cNvPr>
        <xdr:cNvSpPr txBox="1"/>
      </xdr:nvSpPr>
      <xdr:spPr>
        <a:xfrm>
          <a:off x="9099550" y="3508376"/>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FD7FC9-A168-4516-9265-4F3DB3F5974E}" type="TxLink">
            <a:rPr lang="en-US" sz="1400" b="1" i="0" u="none" strike="noStrike">
              <a:ln>
                <a:noFill/>
              </a:ln>
              <a:solidFill>
                <a:srgbClr val="7B542F"/>
              </a:solidFill>
              <a:latin typeface="Kulim Park"/>
              <a:ea typeface="+mn-ea"/>
              <a:cs typeface="+mn-cs"/>
            </a:rPr>
            <a:pPr marL="0" indent="0" algn="l"/>
            <a:t>Cappuccino</a:t>
          </a:fld>
          <a:endParaRPr lang="en-US" sz="1400" b="1" i="0" u="none" strike="noStrike">
            <a:ln>
              <a:noFill/>
            </a:ln>
            <a:solidFill>
              <a:srgbClr val="7B542F"/>
            </a:solidFill>
            <a:latin typeface="Kulim Park"/>
            <a:ea typeface="+mn-ea"/>
            <a:cs typeface="+mn-cs"/>
          </a:endParaRPr>
        </a:p>
      </xdr:txBody>
    </xdr:sp>
    <xdr:clientData/>
  </xdr:twoCellAnchor>
  <xdr:twoCellAnchor>
    <xdr:from>
      <xdr:col>14</xdr:col>
      <xdr:colOff>565150</xdr:colOff>
      <xdr:row>20</xdr:row>
      <xdr:rowOff>147639</xdr:rowOff>
    </xdr:from>
    <xdr:to>
      <xdr:col>18</xdr:col>
      <xdr:colOff>88900</xdr:colOff>
      <xdr:row>22</xdr:row>
      <xdr:rowOff>109539</xdr:rowOff>
    </xdr:to>
    <xdr:sp macro="" textlink="Pivot!E93">
      <xdr:nvSpPr>
        <xdr:cNvPr id="57" name="TextBox 56">
          <a:extLst>
            <a:ext uri="{FF2B5EF4-FFF2-40B4-BE49-F238E27FC236}">
              <a16:creationId xmlns:a16="http://schemas.microsoft.com/office/drawing/2014/main" id="{B32C8611-56DE-C4A7-EF96-FC05FCD4687B}"/>
            </a:ext>
          </a:extLst>
        </xdr:cNvPr>
        <xdr:cNvSpPr txBox="1"/>
      </xdr:nvSpPr>
      <xdr:spPr>
        <a:xfrm>
          <a:off x="9099550" y="3957639"/>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497FF1-7AF7-4FAB-ACF8-B7EA056122BB}" type="TxLink">
            <a:rPr lang="en-US" sz="1400" b="1" i="0" u="none" strike="noStrike">
              <a:ln>
                <a:noFill/>
              </a:ln>
              <a:solidFill>
                <a:srgbClr val="7B542F"/>
              </a:solidFill>
              <a:latin typeface="Kulim Park"/>
              <a:ea typeface="+mn-ea"/>
              <a:cs typeface="+mn-cs"/>
            </a:rPr>
            <a:pPr marL="0" indent="0" algn="l"/>
            <a:t>Americano</a:t>
          </a:fld>
          <a:endParaRPr lang="en-US" sz="1400" b="1" i="0" u="none" strike="noStrike">
            <a:ln>
              <a:noFill/>
            </a:ln>
            <a:solidFill>
              <a:srgbClr val="7B542F"/>
            </a:solidFill>
            <a:latin typeface="Kulim Park"/>
            <a:ea typeface="+mn-ea"/>
            <a:cs typeface="+mn-cs"/>
          </a:endParaRPr>
        </a:p>
      </xdr:txBody>
    </xdr:sp>
    <xdr:clientData/>
  </xdr:twoCellAnchor>
  <xdr:twoCellAnchor>
    <xdr:from>
      <xdr:col>14</xdr:col>
      <xdr:colOff>565150</xdr:colOff>
      <xdr:row>23</xdr:row>
      <xdr:rowOff>25400</xdr:rowOff>
    </xdr:from>
    <xdr:to>
      <xdr:col>18</xdr:col>
      <xdr:colOff>88900</xdr:colOff>
      <xdr:row>24</xdr:row>
      <xdr:rowOff>177800</xdr:rowOff>
    </xdr:to>
    <xdr:sp macro="" textlink="Pivot!E94">
      <xdr:nvSpPr>
        <xdr:cNvPr id="58" name="TextBox 57">
          <a:extLst>
            <a:ext uri="{FF2B5EF4-FFF2-40B4-BE49-F238E27FC236}">
              <a16:creationId xmlns:a16="http://schemas.microsoft.com/office/drawing/2014/main" id="{32CF59A1-BB92-F464-098D-F0199EBC729E}"/>
            </a:ext>
          </a:extLst>
        </xdr:cNvPr>
        <xdr:cNvSpPr txBox="1"/>
      </xdr:nvSpPr>
      <xdr:spPr>
        <a:xfrm>
          <a:off x="9099550" y="4406900"/>
          <a:ext cx="1962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D665076-A841-4253-9D99-E9F01AAF49C4}" type="TxLink">
            <a:rPr lang="en-US" sz="1400" b="1" i="0" u="none" strike="noStrike">
              <a:ln>
                <a:noFill/>
              </a:ln>
              <a:solidFill>
                <a:srgbClr val="7B542F"/>
              </a:solidFill>
              <a:latin typeface="Kulim Park"/>
              <a:ea typeface="+mn-ea"/>
              <a:cs typeface="+mn-cs"/>
            </a:rPr>
            <a:pPr marL="0" indent="0" algn="l"/>
            <a:t>Hot Chocolate</a:t>
          </a:fld>
          <a:endParaRPr lang="en-US" sz="1400" b="1" i="0" u="none" strike="noStrike">
            <a:ln>
              <a:noFill/>
            </a:ln>
            <a:solidFill>
              <a:srgbClr val="7B542F"/>
            </a:solidFill>
            <a:latin typeface="Kulim Park"/>
            <a:ea typeface="+mn-ea"/>
            <a:cs typeface="+mn-cs"/>
          </a:endParaRPr>
        </a:p>
      </xdr:txBody>
    </xdr:sp>
    <xdr:clientData/>
  </xdr:twoCellAnchor>
  <xdr:twoCellAnchor>
    <xdr:from>
      <xdr:col>18</xdr:col>
      <xdr:colOff>50800</xdr:colOff>
      <xdr:row>16</xdr:row>
      <xdr:rowOff>20638</xdr:rowOff>
    </xdr:from>
    <xdr:to>
      <xdr:col>19</xdr:col>
      <xdr:colOff>377825</xdr:colOff>
      <xdr:row>17</xdr:row>
      <xdr:rowOff>173038</xdr:rowOff>
    </xdr:to>
    <xdr:sp macro="" textlink="Pivot!F91">
      <xdr:nvSpPr>
        <xdr:cNvPr id="59" name="TextBox 58">
          <a:extLst>
            <a:ext uri="{FF2B5EF4-FFF2-40B4-BE49-F238E27FC236}">
              <a16:creationId xmlns:a16="http://schemas.microsoft.com/office/drawing/2014/main" id="{0F84009A-11E7-2AB9-B178-CA5A68D5CF2F}"/>
            </a:ext>
          </a:extLst>
        </xdr:cNvPr>
        <xdr:cNvSpPr txBox="1"/>
      </xdr:nvSpPr>
      <xdr:spPr>
        <a:xfrm>
          <a:off x="11023600" y="3068638"/>
          <a:ext cx="9366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D190E3C-3F8E-422A-9D9C-257A73EFCB9C}" type="TxLink">
            <a:rPr lang="en-US" sz="1500" b="0" i="0" u="none" strike="noStrike">
              <a:ln>
                <a:noFill/>
              </a:ln>
              <a:solidFill>
                <a:srgbClr val="7B542F"/>
              </a:solidFill>
              <a:latin typeface="Kulim Park"/>
              <a:ea typeface="+mn-ea"/>
              <a:cs typeface="+mn-cs"/>
            </a:rPr>
            <a:pPr marL="0" indent="0" algn="r"/>
            <a:t>$24.751</a:t>
          </a:fld>
          <a:endParaRPr lang="en-US" sz="1500" b="0" i="0" u="none" strike="noStrike">
            <a:ln>
              <a:noFill/>
            </a:ln>
            <a:solidFill>
              <a:srgbClr val="7B542F"/>
            </a:solidFill>
            <a:latin typeface="Kulim Park"/>
            <a:ea typeface="+mn-ea"/>
            <a:cs typeface="+mn-cs"/>
          </a:endParaRPr>
        </a:p>
      </xdr:txBody>
    </xdr:sp>
    <xdr:clientData/>
  </xdr:twoCellAnchor>
  <xdr:twoCellAnchor>
    <xdr:from>
      <xdr:col>18</xdr:col>
      <xdr:colOff>50800</xdr:colOff>
      <xdr:row>18</xdr:row>
      <xdr:rowOff>85726</xdr:rowOff>
    </xdr:from>
    <xdr:to>
      <xdr:col>19</xdr:col>
      <xdr:colOff>377825</xdr:colOff>
      <xdr:row>20</xdr:row>
      <xdr:rowOff>47626</xdr:rowOff>
    </xdr:to>
    <xdr:sp macro="" textlink="Pivot!F92">
      <xdr:nvSpPr>
        <xdr:cNvPr id="60" name="TextBox 59">
          <a:extLst>
            <a:ext uri="{FF2B5EF4-FFF2-40B4-BE49-F238E27FC236}">
              <a16:creationId xmlns:a16="http://schemas.microsoft.com/office/drawing/2014/main" id="{7B5F5795-C882-AB6B-85A8-D1A76FA79105}"/>
            </a:ext>
          </a:extLst>
        </xdr:cNvPr>
        <xdr:cNvSpPr txBox="1"/>
      </xdr:nvSpPr>
      <xdr:spPr>
        <a:xfrm>
          <a:off x="11023600" y="3514726"/>
          <a:ext cx="9366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737A6FF-0FF6-4D3A-BC0D-E422CEDEB133}" type="TxLink">
            <a:rPr lang="en-US" sz="1500" b="0" i="0" u="none" strike="noStrike">
              <a:ln>
                <a:noFill/>
              </a:ln>
              <a:solidFill>
                <a:srgbClr val="7B542F"/>
              </a:solidFill>
              <a:latin typeface="Kulim Park"/>
              <a:ea typeface="+mn-ea"/>
              <a:cs typeface="+mn-cs"/>
            </a:rPr>
            <a:pPr marL="0" indent="0" algn="r"/>
            <a:t>$17.439</a:t>
          </a:fld>
          <a:endParaRPr lang="en-US" sz="1500" b="0" i="0" u="none" strike="noStrike">
            <a:ln>
              <a:noFill/>
            </a:ln>
            <a:solidFill>
              <a:srgbClr val="7B542F"/>
            </a:solidFill>
            <a:latin typeface="Kulim Park"/>
            <a:ea typeface="+mn-ea"/>
            <a:cs typeface="+mn-cs"/>
          </a:endParaRPr>
        </a:p>
      </xdr:txBody>
    </xdr:sp>
    <xdr:clientData/>
  </xdr:twoCellAnchor>
  <xdr:twoCellAnchor>
    <xdr:from>
      <xdr:col>18</xdr:col>
      <xdr:colOff>50800</xdr:colOff>
      <xdr:row>20</xdr:row>
      <xdr:rowOff>150814</xdr:rowOff>
    </xdr:from>
    <xdr:to>
      <xdr:col>19</xdr:col>
      <xdr:colOff>377825</xdr:colOff>
      <xdr:row>22</xdr:row>
      <xdr:rowOff>112714</xdr:rowOff>
    </xdr:to>
    <xdr:sp macro="" textlink="Pivot!F93">
      <xdr:nvSpPr>
        <xdr:cNvPr id="61" name="TextBox 60">
          <a:extLst>
            <a:ext uri="{FF2B5EF4-FFF2-40B4-BE49-F238E27FC236}">
              <a16:creationId xmlns:a16="http://schemas.microsoft.com/office/drawing/2014/main" id="{B435B24A-46FE-99F1-47C0-EF9BB67E966B}"/>
            </a:ext>
          </a:extLst>
        </xdr:cNvPr>
        <xdr:cNvSpPr txBox="1"/>
      </xdr:nvSpPr>
      <xdr:spPr>
        <a:xfrm>
          <a:off x="11023600" y="3960814"/>
          <a:ext cx="9366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2819D9-55F8-4BA6-88F5-D6D1226EDC72}" type="TxLink">
            <a:rPr lang="en-US" sz="1500" b="0" i="0" u="none" strike="noStrike">
              <a:ln>
                <a:noFill/>
              </a:ln>
              <a:solidFill>
                <a:srgbClr val="7B542F"/>
              </a:solidFill>
              <a:latin typeface="Kulim Park"/>
              <a:ea typeface="+mn-ea"/>
              <a:cs typeface="+mn-cs"/>
            </a:rPr>
            <a:pPr marL="0" indent="0" algn="r"/>
            <a:t>$14.650</a:t>
          </a:fld>
          <a:endParaRPr lang="en-US" sz="1500" b="0" i="0" u="none" strike="noStrike">
            <a:ln>
              <a:noFill/>
            </a:ln>
            <a:solidFill>
              <a:srgbClr val="7B542F"/>
            </a:solidFill>
            <a:latin typeface="Kulim Park"/>
            <a:ea typeface="+mn-ea"/>
            <a:cs typeface="+mn-cs"/>
          </a:endParaRPr>
        </a:p>
      </xdr:txBody>
    </xdr:sp>
    <xdr:clientData/>
  </xdr:twoCellAnchor>
  <xdr:twoCellAnchor>
    <xdr:from>
      <xdr:col>18</xdr:col>
      <xdr:colOff>50800</xdr:colOff>
      <xdr:row>23</xdr:row>
      <xdr:rowOff>25400</xdr:rowOff>
    </xdr:from>
    <xdr:to>
      <xdr:col>19</xdr:col>
      <xdr:colOff>377825</xdr:colOff>
      <xdr:row>24</xdr:row>
      <xdr:rowOff>177800</xdr:rowOff>
    </xdr:to>
    <xdr:sp macro="" textlink="Pivot!F94">
      <xdr:nvSpPr>
        <xdr:cNvPr id="62" name="TextBox 61">
          <a:extLst>
            <a:ext uri="{FF2B5EF4-FFF2-40B4-BE49-F238E27FC236}">
              <a16:creationId xmlns:a16="http://schemas.microsoft.com/office/drawing/2014/main" id="{B40A8A9D-E9B8-743F-F699-6F9F0B497F3E}"/>
            </a:ext>
          </a:extLst>
        </xdr:cNvPr>
        <xdr:cNvSpPr txBox="1"/>
      </xdr:nvSpPr>
      <xdr:spPr>
        <a:xfrm>
          <a:off x="11023600" y="4406900"/>
          <a:ext cx="9366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BCD236B-95FD-4203-9BAF-DADD61CCCFB7}" type="TxLink">
            <a:rPr lang="en-US" sz="1500" b="0" i="0" u="none" strike="noStrike">
              <a:ln>
                <a:noFill/>
              </a:ln>
              <a:solidFill>
                <a:srgbClr val="7B542F"/>
              </a:solidFill>
              <a:latin typeface="Kulim Park"/>
              <a:ea typeface="+mn-ea"/>
              <a:cs typeface="+mn-cs"/>
            </a:rPr>
            <a:pPr marL="0" indent="0" algn="r"/>
            <a:t>$9.933</a:t>
          </a:fld>
          <a:endParaRPr lang="en-US" sz="1500" b="0" i="0" u="none" strike="noStrike">
            <a:ln>
              <a:noFill/>
            </a:ln>
            <a:solidFill>
              <a:srgbClr val="7B542F"/>
            </a:solidFill>
            <a:latin typeface="Kulim Park"/>
            <a:ea typeface="+mn-ea"/>
            <a:cs typeface="+mn-cs"/>
          </a:endParaRPr>
        </a:p>
      </xdr:txBody>
    </xdr:sp>
    <xdr:clientData/>
  </xdr:twoCellAnchor>
  <xdr:twoCellAnchor>
    <xdr:from>
      <xdr:col>20</xdr:col>
      <xdr:colOff>69850</xdr:colOff>
      <xdr:row>7</xdr:row>
      <xdr:rowOff>177800</xdr:rowOff>
    </xdr:from>
    <xdr:to>
      <xdr:col>24</xdr:col>
      <xdr:colOff>127000</xdr:colOff>
      <xdr:row>9</xdr:row>
      <xdr:rowOff>152400</xdr:rowOff>
    </xdr:to>
    <xdr:sp macro="" textlink="">
      <xdr:nvSpPr>
        <xdr:cNvPr id="63" name="TextBox 62">
          <a:extLst>
            <a:ext uri="{FF2B5EF4-FFF2-40B4-BE49-F238E27FC236}">
              <a16:creationId xmlns:a16="http://schemas.microsoft.com/office/drawing/2014/main" id="{6044576D-0B85-B221-888D-2B62A97594A2}"/>
            </a:ext>
          </a:extLst>
        </xdr:cNvPr>
        <xdr:cNvSpPr txBox="1"/>
      </xdr:nvSpPr>
      <xdr:spPr>
        <a:xfrm>
          <a:off x="12261850" y="1511300"/>
          <a:ext cx="24955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ln>
                <a:noFill/>
              </a:ln>
              <a:solidFill>
                <a:srgbClr val="7B542F"/>
              </a:solidFill>
              <a:latin typeface="Kulim park"/>
            </a:rPr>
            <a:t>Revenue by Time of</a:t>
          </a:r>
          <a:r>
            <a:rPr lang="en-US" sz="1400" b="0" i="0" u="none" strike="noStrike" baseline="0">
              <a:ln>
                <a:noFill/>
              </a:ln>
              <a:solidFill>
                <a:srgbClr val="7B542F"/>
              </a:solidFill>
              <a:latin typeface="Kulim park"/>
            </a:rPr>
            <a:t> </a:t>
          </a:r>
          <a:r>
            <a:rPr lang="en-US" sz="1400" b="1" i="0" u="none" strike="noStrike" baseline="0">
              <a:ln>
                <a:noFill/>
              </a:ln>
              <a:solidFill>
                <a:srgbClr val="7B542F"/>
              </a:solidFill>
              <a:latin typeface="Kulim park"/>
            </a:rPr>
            <a:t>Day</a:t>
          </a:r>
          <a:endParaRPr lang="en-US" sz="1400" b="1" i="0" u="none" strike="noStrike">
            <a:ln>
              <a:noFill/>
            </a:ln>
            <a:solidFill>
              <a:srgbClr val="7B542F"/>
            </a:solidFill>
            <a:latin typeface="Kulim park"/>
          </a:endParaRPr>
        </a:p>
      </xdr:txBody>
    </xdr:sp>
    <xdr:clientData/>
  </xdr:twoCellAnchor>
  <xdr:twoCellAnchor>
    <xdr:from>
      <xdr:col>20</xdr:col>
      <xdr:colOff>127000</xdr:colOff>
      <xdr:row>9</xdr:row>
      <xdr:rowOff>184150</xdr:rowOff>
    </xdr:from>
    <xdr:to>
      <xdr:col>26</xdr:col>
      <xdr:colOff>431800</xdr:colOff>
      <xdr:row>24</xdr:row>
      <xdr:rowOff>69850</xdr:rowOff>
    </xdr:to>
    <xdr:graphicFrame macro="">
      <xdr:nvGraphicFramePr>
        <xdr:cNvPr id="64" name="Chart 63">
          <a:extLst>
            <a:ext uri="{FF2B5EF4-FFF2-40B4-BE49-F238E27FC236}">
              <a16:creationId xmlns:a16="http://schemas.microsoft.com/office/drawing/2014/main" id="{21E29B01-FA27-4A30-B9BB-9F1E3F91B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534670</xdr:colOff>
      <xdr:row>25</xdr:row>
      <xdr:rowOff>76200</xdr:rowOff>
    </xdr:from>
    <xdr:to>
      <xdr:col>22</xdr:col>
      <xdr:colOff>445770</xdr:colOff>
      <xdr:row>26</xdr:row>
      <xdr:rowOff>146050</xdr:rowOff>
    </xdr:to>
    <xdr:sp macro="" textlink="Pivot!E71">
      <xdr:nvSpPr>
        <xdr:cNvPr id="66" name="TextBox 65">
          <a:extLst>
            <a:ext uri="{FF2B5EF4-FFF2-40B4-BE49-F238E27FC236}">
              <a16:creationId xmlns:a16="http://schemas.microsoft.com/office/drawing/2014/main" id="{73F92CCE-BA07-4092-87CB-7D6873B2C1D2}"/>
            </a:ext>
          </a:extLst>
        </xdr:cNvPr>
        <xdr:cNvSpPr txBox="1"/>
      </xdr:nvSpPr>
      <xdr:spPr>
        <a:xfrm>
          <a:off x="12726670" y="4838700"/>
          <a:ext cx="1130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929EF90-D332-45F4-B303-0C571B1A563C}" type="TxLink">
            <a:rPr lang="en-US" sz="1400" b="0" i="0" u="none" strike="noStrike">
              <a:ln>
                <a:noFill/>
              </a:ln>
              <a:solidFill>
                <a:schemeClr val="tx1"/>
              </a:solidFill>
              <a:latin typeface="Kulim park"/>
              <a:ea typeface="+mn-ea"/>
              <a:cs typeface="+mn-cs"/>
            </a:rPr>
            <a:pPr marL="0" indent="0" algn="l"/>
            <a:t>Night</a:t>
          </a:fld>
          <a:endParaRPr lang="en-US" sz="1400" b="0" i="0" u="none" strike="noStrike">
            <a:ln>
              <a:noFill/>
            </a:ln>
            <a:solidFill>
              <a:schemeClr val="tx1"/>
            </a:solidFill>
            <a:latin typeface="Kulim park"/>
            <a:ea typeface="+mn-ea"/>
            <a:cs typeface="+mn-cs"/>
          </a:endParaRPr>
        </a:p>
      </xdr:txBody>
    </xdr:sp>
    <xdr:clientData/>
  </xdr:twoCellAnchor>
  <xdr:twoCellAnchor>
    <xdr:from>
      <xdr:col>20</xdr:col>
      <xdr:colOff>381000</xdr:colOff>
      <xdr:row>25</xdr:row>
      <xdr:rowOff>115794</xdr:rowOff>
    </xdr:from>
    <xdr:to>
      <xdr:col>20</xdr:col>
      <xdr:colOff>565150</xdr:colOff>
      <xdr:row>26</xdr:row>
      <xdr:rowOff>88900</xdr:rowOff>
    </xdr:to>
    <xdr:sp macro="" textlink="">
      <xdr:nvSpPr>
        <xdr:cNvPr id="67" name="Flowchart: Connector 66">
          <a:extLst>
            <a:ext uri="{FF2B5EF4-FFF2-40B4-BE49-F238E27FC236}">
              <a16:creationId xmlns:a16="http://schemas.microsoft.com/office/drawing/2014/main" id="{7362FFD1-D81A-4140-AEC2-2D9C0506E88A}"/>
            </a:ext>
          </a:extLst>
        </xdr:cNvPr>
        <xdr:cNvSpPr/>
      </xdr:nvSpPr>
      <xdr:spPr>
        <a:xfrm>
          <a:off x="12573000" y="4878294"/>
          <a:ext cx="184150" cy="163606"/>
        </a:xfrm>
        <a:prstGeom prst="flowChartConnector">
          <a:avLst/>
        </a:prstGeom>
        <a:solidFill>
          <a:srgbClr val="7B54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chemeClr val="tx1"/>
            </a:solidFill>
          </a:endParaRPr>
        </a:p>
      </xdr:txBody>
    </xdr:sp>
    <xdr:clientData/>
  </xdr:twoCellAnchor>
  <xdr:twoCellAnchor>
    <xdr:from>
      <xdr:col>22</xdr:col>
      <xdr:colOff>505460</xdr:colOff>
      <xdr:row>25</xdr:row>
      <xdr:rowOff>76200</xdr:rowOff>
    </xdr:from>
    <xdr:to>
      <xdr:col>24</xdr:col>
      <xdr:colOff>416560</xdr:colOff>
      <xdr:row>26</xdr:row>
      <xdr:rowOff>146050</xdr:rowOff>
    </xdr:to>
    <xdr:sp macro="" textlink="Pivot!E72">
      <xdr:nvSpPr>
        <xdr:cNvPr id="68" name="TextBox 67">
          <a:extLst>
            <a:ext uri="{FF2B5EF4-FFF2-40B4-BE49-F238E27FC236}">
              <a16:creationId xmlns:a16="http://schemas.microsoft.com/office/drawing/2014/main" id="{5A345EB8-04D9-DC85-14AD-EFCE71535D75}"/>
            </a:ext>
          </a:extLst>
        </xdr:cNvPr>
        <xdr:cNvSpPr txBox="1"/>
      </xdr:nvSpPr>
      <xdr:spPr>
        <a:xfrm>
          <a:off x="13916660" y="4838700"/>
          <a:ext cx="1130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B9E66A7-792A-490A-B938-69A57D946C6B}" type="TxLink">
            <a:rPr lang="en-US" sz="1400" b="0" i="0" u="none" strike="noStrike">
              <a:ln>
                <a:noFill/>
              </a:ln>
              <a:solidFill>
                <a:schemeClr val="tx1"/>
              </a:solidFill>
              <a:latin typeface="Kulim park"/>
              <a:ea typeface="+mn-ea"/>
              <a:cs typeface="+mn-cs"/>
            </a:rPr>
            <a:pPr marL="0" indent="0" algn="l"/>
            <a:t>Afternoon</a:t>
          </a:fld>
          <a:endParaRPr lang="en-US" sz="1400" b="0" i="0" u="none" strike="noStrike">
            <a:ln>
              <a:noFill/>
            </a:ln>
            <a:solidFill>
              <a:schemeClr val="tx1"/>
            </a:solidFill>
            <a:latin typeface="Kulim park"/>
            <a:ea typeface="+mn-ea"/>
            <a:cs typeface="+mn-cs"/>
          </a:endParaRPr>
        </a:p>
      </xdr:txBody>
    </xdr:sp>
    <xdr:clientData/>
  </xdr:twoCellAnchor>
  <xdr:twoCellAnchor>
    <xdr:from>
      <xdr:col>22</xdr:col>
      <xdr:colOff>351790</xdr:colOff>
      <xdr:row>25</xdr:row>
      <xdr:rowOff>115794</xdr:rowOff>
    </xdr:from>
    <xdr:to>
      <xdr:col>22</xdr:col>
      <xdr:colOff>535940</xdr:colOff>
      <xdr:row>26</xdr:row>
      <xdr:rowOff>88900</xdr:rowOff>
    </xdr:to>
    <xdr:sp macro="" textlink="">
      <xdr:nvSpPr>
        <xdr:cNvPr id="69" name="Flowchart: Connector 68">
          <a:extLst>
            <a:ext uri="{FF2B5EF4-FFF2-40B4-BE49-F238E27FC236}">
              <a16:creationId xmlns:a16="http://schemas.microsoft.com/office/drawing/2014/main" id="{6C7328EB-AB91-AB04-53AF-79DBBCCC9B78}"/>
            </a:ext>
          </a:extLst>
        </xdr:cNvPr>
        <xdr:cNvSpPr/>
      </xdr:nvSpPr>
      <xdr:spPr>
        <a:xfrm>
          <a:off x="13762990" y="4878294"/>
          <a:ext cx="184150" cy="163606"/>
        </a:xfrm>
        <a:prstGeom prst="flowChartConnector">
          <a:avLst/>
        </a:prstGeom>
        <a:solidFill>
          <a:srgbClr val="B6771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chemeClr val="tx1"/>
            </a:solidFill>
          </a:endParaRPr>
        </a:p>
      </xdr:txBody>
    </xdr:sp>
    <xdr:clientData/>
  </xdr:twoCellAnchor>
  <xdr:twoCellAnchor>
    <xdr:from>
      <xdr:col>24</xdr:col>
      <xdr:colOff>539750</xdr:colOff>
      <xdr:row>25</xdr:row>
      <xdr:rowOff>76200</xdr:rowOff>
    </xdr:from>
    <xdr:to>
      <xdr:col>26</xdr:col>
      <xdr:colOff>450850</xdr:colOff>
      <xdr:row>26</xdr:row>
      <xdr:rowOff>146050</xdr:rowOff>
    </xdr:to>
    <xdr:sp macro="" textlink="Pivot!E73">
      <xdr:nvSpPr>
        <xdr:cNvPr id="70" name="TextBox 69">
          <a:extLst>
            <a:ext uri="{FF2B5EF4-FFF2-40B4-BE49-F238E27FC236}">
              <a16:creationId xmlns:a16="http://schemas.microsoft.com/office/drawing/2014/main" id="{E40D82AD-3431-0B86-CB22-C9A9840F8DDA}"/>
            </a:ext>
          </a:extLst>
        </xdr:cNvPr>
        <xdr:cNvSpPr txBox="1"/>
      </xdr:nvSpPr>
      <xdr:spPr>
        <a:xfrm>
          <a:off x="15170150" y="4838700"/>
          <a:ext cx="1130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E1DB6C-E5AB-4AC5-9C50-6AEF615CEB2A}" type="TxLink">
            <a:rPr lang="en-US" sz="1400" b="0" i="0" u="none" strike="noStrike">
              <a:ln>
                <a:noFill/>
              </a:ln>
              <a:solidFill>
                <a:schemeClr val="tx1"/>
              </a:solidFill>
              <a:latin typeface="Kulim park"/>
              <a:ea typeface="+mn-ea"/>
              <a:cs typeface="+mn-cs"/>
            </a:rPr>
            <a:pPr marL="0" indent="0" algn="l"/>
            <a:t>Morning</a:t>
          </a:fld>
          <a:endParaRPr lang="en-US" sz="1400" b="0" i="0" u="none" strike="noStrike">
            <a:ln>
              <a:noFill/>
            </a:ln>
            <a:solidFill>
              <a:schemeClr val="tx1"/>
            </a:solidFill>
            <a:latin typeface="Kulim park"/>
            <a:ea typeface="+mn-ea"/>
            <a:cs typeface="+mn-cs"/>
          </a:endParaRPr>
        </a:p>
      </xdr:txBody>
    </xdr:sp>
    <xdr:clientData/>
  </xdr:twoCellAnchor>
  <xdr:twoCellAnchor>
    <xdr:from>
      <xdr:col>24</xdr:col>
      <xdr:colOff>386080</xdr:colOff>
      <xdr:row>25</xdr:row>
      <xdr:rowOff>115794</xdr:rowOff>
    </xdr:from>
    <xdr:to>
      <xdr:col>24</xdr:col>
      <xdr:colOff>570230</xdr:colOff>
      <xdr:row>26</xdr:row>
      <xdr:rowOff>88900</xdr:rowOff>
    </xdr:to>
    <xdr:sp macro="" textlink="">
      <xdr:nvSpPr>
        <xdr:cNvPr id="71" name="Flowchart: Connector 70">
          <a:extLst>
            <a:ext uri="{FF2B5EF4-FFF2-40B4-BE49-F238E27FC236}">
              <a16:creationId xmlns:a16="http://schemas.microsoft.com/office/drawing/2014/main" id="{045A9DDF-187E-03E7-359D-449ABA4D10C6}"/>
            </a:ext>
          </a:extLst>
        </xdr:cNvPr>
        <xdr:cNvSpPr/>
      </xdr:nvSpPr>
      <xdr:spPr>
        <a:xfrm>
          <a:off x="15016480" y="4878294"/>
          <a:ext cx="184150" cy="163606"/>
        </a:xfrm>
        <a:prstGeom prst="flowChartConnector">
          <a:avLst/>
        </a:prstGeom>
        <a:solidFill>
          <a:srgbClr val="FF9D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chemeClr val="tx1"/>
            </a:solidFill>
          </a:endParaRPr>
        </a:p>
      </xdr:txBody>
    </xdr:sp>
    <xdr:clientData/>
  </xdr:twoCellAnchor>
  <xdr:twoCellAnchor>
    <xdr:from>
      <xdr:col>21</xdr:col>
      <xdr:colOff>63500</xdr:colOff>
      <xdr:row>24</xdr:row>
      <xdr:rowOff>152400</xdr:rowOff>
    </xdr:from>
    <xdr:to>
      <xdr:col>26</xdr:col>
      <xdr:colOff>12700</xdr:colOff>
      <xdr:row>24</xdr:row>
      <xdr:rowOff>152400</xdr:rowOff>
    </xdr:to>
    <xdr:cxnSp macro="">
      <xdr:nvCxnSpPr>
        <xdr:cNvPr id="72" name="Straight Connector 71">
          <a:extLst>
            <a:ext uri="{FF2B5EF4-FFF2-40B4-BE49-F238E27FC236}">
              <a16:creationId xmlns:a16="http://schemas.microsoft.com/office/drawing/2014/main" id="{471A0170-DB1B-4438-A7AC-3080F32C40B9}"/>
            </a:ext>
          </a:extLst>
        </xdr:cNvPr>
        <xdr:cNvCxnSpPr/>
      </xdr:nvCxnSpPr>
      <xdr:spPr>
        <a:xfrm>
          <a:off x="12865100" y="4724400"/>
          <a:ext cx="2997200" cy="0"/>
        </a:xfrm>
        <a:prstGeom prst="line">
          <a:avLst/>
        </a:prstGeom>
        <a:solidFill>
          <a:schemeClr val="bg1"/>
        </a:solidFill>
        <a:ln w="19050">
          <a:solidFill>
            <a:srgbClr val="B6771D"/>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20</xdr:col>
      <xdr:colOff>355600</xdr:colOff>
      <xdr:row>29</xdr:row>
      <xdr:rowOff>0</xdr:rowOff>
    </xdr:from>
    <xdr:to>
      <xdr:col>23</xdr:col>
      <xdr:colOff>317500</xdr:colOff>
      <xdr:row>33</xdr:row>
      <xdr:rowOff>95250</xdr:rowOff>
    </xdr:to>
    <xdr:sp macro="" textlink="">
      <xdr:nvSpPr>
        <xdr:cNvPr id="73" name="TextBox 72">
          <a:extLst>
            <a:ext uri="{FF2B5EF4-FFF2-40B4-BE49-F238E27FC236}">
              <a16:creationId xmlns:a16="http://schemas.microsoft.com/office/drawing/2014/main" id="{E5CF8A0F-7D26-47DE-B96A-E7C5327F6EAE}"/>
            </a:ext>
          </a:extLst>
        </xdr:cNvPr>
        <xdr:cNvSpPr txBox="1"/>
      </xdr:nvSpPr>
      <xdr:spPr>
        <a:xfrm>
          <a:off x="12547600" y="5524500"/>
          <a:ext cx="17907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ln>
                <a:noFill/>
              </a:ln>
              <a:solidFill>
                <a:schemeClr val="bg1"/>
              </a:solidFill>
              <a:latin typeface="Kulim park"/>
            </a:rPr>
            <a:t>Best Selling</a:t>
          </a:r>
        </a:p>
        <a:p>
          <a:pPr algn="l"/>
          <a:r>
            <a:rPr lang="en-US" sz="2400" b="1" i="0" u="none" strike="noStrike">
              <a:ln>
                <a:noFill/>
              </a:ln>
              <a:solidFill>
                <a:schemeClr val="bg1"/>
              </a:solidFill>
              <a:latin typeface="Kulim park"/>
            </a:rPr>
            <a:t>Product</a:t>
          </a:r>
        </a:p>
      </xdr:txBody>
    </xdr:sp>
    <xdr:clientData/>
  </xdr:twoCellAnchor>
  <xdr:twoCellAnchor>
    <xdr:from>
      <xdr:col>20</xdr:col>
      <xdr:colOff>368300</xdr:colOff>
      <xdr:row>32</xdr:row>
      <xdr:rowOff>177800</xdr:rowOff>
    </xdr:from>
    <xdr:to>
      <xdr:col>23</xdr:col>
      <xdr:colOff>406400</xdr:colOff>
      <xdr:row>36</xdr:row>
      <xdr:rowOff>31750</xdr:rowOff>
    </xdr:to>
    <xdr:sp macro="" textlink="">
      <xdr:nvSpPr>
        <xdr:cNvPr id="74" name="TextBox 73">
          <a:extLst>
            <a:ext uri="{FF2B5EF4-FFF2-40B4-BE49-F238E27FC236}">
              <a16:creationId xmlns:a16="http://schemas.microsoft.com/office/drawing/2014/main" id="{77481395-6957-466E-A9B2-A3B5D1B6F01D}"/>
            </a:ext>
          </a:extLst>
        </xdr:cNvPr>
        <xdr:cNvSpPr txBox="1"/>
      </xdr:nvSpPr>
      <xdr:spPr>
        <a:xfrm>
          <a:off x="12560300" y="6273800"/>
          <a:ext cx="186690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ln>
                <a:noFill/>
              </a:ln>
              <a:solidFill>
                <a:schemeClr val="bg1">
                  <a:lumMod val="95000"/>
                </a:schemeClr>
              </a:solidFill>
              <a:latin typeface="Kulim park"/>
            </a:rPr>
            <a:t>Based on total sales so far</a:t>
          </a:r>
        </a:p>
      </xdr:txBody>
    </xdr:sp>
    <xdr:clientData/>
  </xdr:twoCellAnchor>
  <xdr:twoCellAnchor>
    <xdr:from>
      <xdr:col>20</xdr:col>
      <xdr:colOff>177800</xdr:colOff>
      <xdr:row>36</xdr:row>
      <xdr:rowOff>25400</xdr:rowOff>
    </xdr:from>
    <xdr:to>
      <xdr:col>26</xdr:col>
      <xdr:colOff>152400</xdr:colOff>
      <xdr:row>38</xdr:row>
      <xdr:rowOff>88900</xdr:rowOff>
    </xdr:to>
    <xdr:sp macro="" textlink="Pivot!H6">
      <xdr:nvSpPr>
        <xdr:cNvPr id="75" name="TextBox 74">
          <a:extLst>
            <a:ext uri="{FF2B5EF4-FFF2-40B4-BE49-F238E27FC236}">
              <a16:creationId xmlns:a16="http://schemas.microsoft.com/office/drawing/2014/main" id="{A80A5037-57A8-4AB7-83D6-2279CDFCEF3B}"/>
            </a:ext>
          </a:extLst>
        </xdr:cNvPr>
        <xdr:cNvSpPr txBox="1"/>
      </xdr:nvSpPr>
      <xdr:spPr>
        <a:xfrm>
          <a:off x="12369800" y="6883400"/>
          <a:ext cx="36322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3BA947-E6F6-42E9-9131-F418537816F9}" type="TxLink">
            <a:rPr lang="en-US" sz="2800" b="1" i="0" u="none" strike="noStrike">
              <a:ln>
                <a:noFill/>
              </a:ln>
              <a:solidFill>
                <a:schemeClr val="bg1"/>
              </a:solidFill>
              <a:latin typeface="Kulim park"/>
              <a:ea typeface="+mn-ea"/>
              <a:cs typeface="+mn-cs"/>
            </a:rPr>
            <a:pPr marL="0" indent="0" algn="r"/>
            <a:t>Latte (23,9%)</a:t>
          </a:fld>
          <a:endParaRPr lang="id-ID" sz="2800" b="1" i="0" u="none" strike="noStrike">
            <a:ln>
              <a:noFill/>
            </a:ln>
            <a:solidFill>
              <a:schemeClr val="bg1"/>
            </a:solidFill>
            <a:latin typeface="Kulim park"/>
            <a:ea typeface="+mn-ea"/>
            <a:cs typeface="+mn-cs"/>
          </a:endParaRPr>
        </a:p>
      </xdr:txBody>
    </xdr:sp>
    <xdr:clientData/>
  </xdr:twoCellAnchor>
  <xdr:twoCellAnchor editAs="oneCell">
    <xdr:from>
      <xdr:col>24</xdr:col>
      <xdr:colOff>482600</xdr:colOff>
      <xdr:row>29</xdr:row>
      <xdr:rowOff>88900</xdr:rowOff>
    </xdr:from>
    <xdr:to>
      <xdr:col>26</xdr:col>
      <xdr:colOff>215900</xdr:colOff>
      <xdr:row>34</xdr:row>
      <xdr:rowOff>88900</xdr:rowOff>
    </xdr:to>
    <xdr:pic>
      <xdr:nvPicPr>
        <xdr:cNvPr id="77" name="Picture 76">
          <a:extLst>
            <a:ext uri="{FF2B5EF4-FFF2-40B4-BE49-F238E27FC236}">
              <a16:creationId xmlns:a16="http://schemas.microsoft.com/office/drawing/2014/main" id="{7B7F8C1A-A220-F938-77A0-15E22E27BD9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113000" y="5613400"/>
          <a:ext cx="952500" cy="952500"/>
        </a:xfrm>
        <a:prstGeom prst="rect">
          <a:avLst/>
        </a:prstGeom>
      </xdr:spPr>
    </xdr:pic>
    <xdr:clientData/>
  </xdr:twoCellAnchor>
  <xdr:twoCellAnchor editAs="oneCell">
    <xdr:from>
      <xdr:col>0</xdr:col>
      <xdr:colOff>381000</xdr:colOff>
      <xdr:row>13</xdr:row>
      <xdr:rowOff>101600</xdr:rowOff>
    </xdr:from>
    <xdr:to>
      <xdr:col>3</xdr:col>
      <xdr:colOff>469900</xdr:colOff>
      <xdr:row>26</xdr:row>
      <xdr:rowOff>149225</xdr:rowOff>
    </xdr:to>
    <mc:AlternateContent xmlns:mc="http://schemas.openxmlformats.org/markup-compatibility/2006" xmlns:a14="http://schemas.microsoft.com/office/drawing/2010/main">
      <mc:Choice Requires="a14">
        <xdr:graphicFrame macro="">
          <xdr:nvGraphicFramePr>
            <xdr:cNvPr id="46" name="coffee_name 1">
              <a:extLst>
                <a:ext uri="{FF2B5EF4-FFF2-40B4-BE49-F238E27FC236}">
                  <a16:creationId xmlns:a16="http://schemas.microsoft.com/office/drawing/2014/main" id="{BED713C1-3D42-4B0F-AA09-4C9CC3F7717C}"/>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381000" y="2578100"/>
              <a:ext cx="19177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387350</xdr:colOff>
      <xdr:row>29</xdr:row>
      <xdr:rowOff>127001</xdr:rowOff>
    </xdr:from>
    <xdr:to>
      <xdr:col>3</xdr:col>
      <xdr:colOff>387350</xdr:colOff>
      <xdr:row>36</xdr:row>
      <xdr:rowOff>38101</xdr:rowOff>
    </xdr:to>
    <mc:AlternateContent xmlns:mc="http://schemas.openxmlformats.org/markup-compatibility/2006" xmlns:a14="http://schemas.microsoft.com/office/drawing/2010/main">
      <mc:Choice Requires="a14">
        <xdr:graphicFrame macro="">
          <xdr:nvGraphicFramePr>
            <xdr:cNvPr id="47" name="Time_of_Day 1">
              <a:extLst>
                <a:ext uri="{FF2B5EF4-FFF2-40B4-BE49-F238E27FC236}">
                  <a16:creationId xmlns:a16="http://schemas.microsoft.com/office/drawing/2014/main" id="{D1B55124-5347-45B5-902D-4467240AE295}"/>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387350" y="5651501"/>
              <a:ext cx="1828800" cy="12446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10</xdr:row>
      <xdr:rowOff>57150</xdr:rowOff>
    </xdr:from>
    <xdr:to>
      <xdr:col>2</xdr:col>
      <xdr:colOff>298450</xdr:colOff>
      <xdr:row>11</xdr:row>
      <xdr:rowOff>133350</xdr:rowOff>
    </xdr:to>
    <xdr:sp macro="" textlink="">
      <xdr:nvSpPr>
        <xdr:cNvPr id="48" name="TextBox 47">
          <a:extLst>
            <a:ext uri="{FF2B5EF4-FFF2-40B4-BE49-F238E27FC236}">
              <a16:creationId xmlns:a16="http://schemas.microsoft.com/office/drawing/2014/main" id="{9D55435D-6AA2-46BB-BF46-B8393496CE43}"/>
            </a:ext>
          </a:extLst>
        </xdr:cNvPr>
        <xdr:cNvSpPr txBox="1"/>
      </xdr:nvSpPr>
      <xdr:spPr>
        <a:xfrm>
          <a:off x="628650" y="1962150"/>
          <a:ext cx="88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ln>
                <a:noFill/>
              </a:ln>
              <a:solidFill>
                <a:srgbClr val="FF9D00"/>
              </a:solidFill>
              <a:latin typeface="Kulim park"/>
            </a:rPr>
            <a:t>Menu</a:t>
          </a:r>
        </a:p>
      </xdr:txBody>
    </xdr:sp>
    <xdr:clientData/>
  </xdr:twoCellAnchor>
  <xdr:twoCellAnchor editAs="oneCell">
    <xdr:from>
      <xdr:col>2</xdr:col>
      <xdr:colOff>228600</xdr:colOff>
      <xdr:row>10</xdr:row>
      <xdr:rowOff>25400</xdr:rowOff>
    </xdr:from>
    <xdr:to>
      <xdr:col>3</xdr:col>
      <xdr:colOff>11400</xdr:colOff>
      <xdr:row>12</xdr:row>
      <xdr:rowOff>36800</xdr:rowOff>
    </xdr:to>
    <xdr:pic>
      <xdr:nvPicPr>
        <xdr:cNvPr id="52" name="Picture 51">
          <a:extLst>
            <a:ext uri="{FF2B5EF4-FFF2-40B4-BE49-F238E27FC236}">
              <a16:creationId xmlns:a16="http://schemas.microsoft.com/office/drawing/2014/main" id="{74D79300-C737-9D12-4BC5-0D79D691CFD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47800" y="1930400"/>
          <a:ext cx="392400" cy="392400"/>
        </a:xfrm>
        <a:prstGeom prst="rect">
          <a:avLst/>
        </a:prstGeom>
      </xdr:spPr>
    </xdr:pic>
    <xdr:clientData/>
  </xdr:twoCellAnchor>
  <xdr:twoCellAnchor>
    <xdr:from>
      <xdr:col>0</xdr:col>
      <xdr:colOff>330200</xdr:colOff>
      <xdr:row>12</xdr:row>
      <xdr:rowOff>177800</xdr:rowOff>
    </xdr:from>
    <xdr:to>
      <xdr:col>3</xdr:col>
      <xdr:colOff>31750</xdr:colOff>
      <xdr:row>14</xdr:row>
      <xdr:rowOff>57150</xdr:rowOff>
    </xdr:to>
    <xdr:sp macro="" textlink="">
      <xdr:nvSpPr>
        <xdr:cNvPr id="2048" name="TextBox 2047">
          <a:extLst>
            <a:ext uri="{FF2B5EF4-FFF2-40B4-BE49-F238E27FC236}">
              <a16:creationId xmlns:a16="http://schemas.microsoft.com/office/drawing/2014/main" id="{4E9FB4C7-0417-45B8-A49D-41B6988CC000}"/>
            </a:ext>
          </a:extLst>
        </xdr:cNvPr>
        <xdr:cNvSpPr txBox="1"/>
      </xdr:nvSpPr>
      <xdr:spPr>
        <a:xfrm>
          <a:off x="330200" y="2463800"/>
          <a:ext cx="1530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ln>
                <a:noFill/>
              </a:ln>
              <a:solidFill>
                <a:srgbClr val="FF9D00"/>
              </a:solidFill>
              <a:latin typeface="Kulim park"/>
            </a:rPr>
            <a:t>Branch</a:t>
          </a:r>
          <a:r>
            <a:rPr lang="en-US" sz="1400" b="1" i="0" u="none" strike="noStrike" baseline="0">
              <a:ln>
                <a:noFill/>
              </a:ln>
              <a:solidFill>
                <a:srgbClr val="FF9D00"/>
              </a:solidFill>
              <a:latin typeface="Kulim park"/>
            </a:rPr>
            <a:t> Location</a:t>
          </a:r>
          <a:endParaRPr lang="en-US" sz="1400" b="1" i="0" u="none" strike="noStrike">
            <a:ln>
              <a:noFill/>
            </a:ln>
            <a:solidFill>
              <a:srgbClr val="FF9D00"/>
            </a:solidFill>
            <a:latin typeface="Kulim park"/>
          </a:endParaRPr>
        </a:p>
      </xdr:txBody>
    </xdr:sp>
    <xdr:clientData/>
  </xdr:twoCellAnchor>
  <xdr:twoCellAnchor>
    <xdr:from>
      <xdr:col>0</xdr:col>
      <xdr:colOff>431800</xdr:colOff>
      <xdr:row>26</xdr:row>
      <xdr:rowOff>127000</xdr:rowOff>
    </xdr:from>
    <xdr:to>
      <xdr:col>3</xdr:col>
      <xdr:colOff>317500</xdr:colOff>
      <xdr:row>26</xdr:row>
      <xdr:rowOff>127000</xdr:rowOff>
    </xdr:to>
    <xdr:cxnSp macro="">
      <xdr:nvCxnSpPr>
        <xdr:cNvPr id="2050" name="Straight Connector 2049">
          <a:extLst>
            <a:ext uri="{FF2B5EF4-FFF2-40B4-BE49-F238E27FC236}">
              <a16:creationId xmlns:a16="http://schemas.microsoft.com/office/drawing/2014/main" id="{DF949250-FCCE-4743-AC00-32522ED30D4F}"/>
            </a:ext>
          </a:extLst>
        </xdr:cNvPr>
        <xdr:cNvCxnSpPr/>
      </xdr:nvCxnSpPr>
      <xdr:spPr>
        <a:xfrm>
          <a:off x="431800" y="5080000"/>
          <a:ext cx="1714500" cy="0"/>
        </a:xfrm>
        <a:prstGeom prst="line">
          <a:avLst/>
        </a:prstGeom>
        <a:solidFill>
          <a:schemeClr val="bg1"/>
        </a:solidFill>
        <a:ln w="12700">
          <a:solidFill>
            <a:srgbClr val="FF9D00"/>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0</xdr:col>
      <xdr:colOff>330200</xdr:colOff>
      <xdr:row>28</xdr:row>
      <xdr:rowOff>63500</xdr:rowOff>
    </xdr:from>
    <xdr:to>
      <xdr:col>3</xdr:col>
      <xdr:colOff>31750</xdr:colOff>
      <xdr:row>29</xdr:row>
      <xdr:rowOff>133350</xdr:rowOff>
    </xdr:to>
    <xdr:sp macro="" textlink="">
      <xdr:nvSpPr>
        <xdr:cNvPr id="2052" name="TextBox 2051">
          <a:extLst>
            <a:ext uri="{FF2B5EF4-FFF2-40B4-BE49-F238E27FC236}">
              <a16:creationId xmlns:a16="http://schemas.microsoft.com/office/drawing/2014/main" id="{1FC124CB-A062-9856-64AB-9BCCFC911AAE}"/>
            </a:ext>
          </a:extLst>
        </xdr:cNvPr>
        <xdr:cNvSpPr txBox="1"/>
      </xdr:nvSpPr>
      <xdr:spPr>
        <a:xfrm>
          <a:off x="330200" y="5397500"/>
          <a:ext cx="1530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ln>
                <a:noFill/>
              </a:ln>
              <a:solidFill>
                <a:srgbClr val="FF9D00"/>
              </a:solidFill>
              <a:latin typeface="Kulim park"/>
            </a:rPr>
            <a:t>Time of Day</a:t>
          </a:r>
        </a:p>
      </xdr:txBody>
    </xdr:sp>
    <xdr:clientData/>
  </xdr:twoCellAnchor>
  <xdr:twoCellAnchor>
    <xdr:from>
      <xdr:col>0</xdr:col>
      <xdr:colOff>431800</xdr:colOff>
      <xdr:row>36</xdr:row>
      <xdr:rowOff>12700</xdr:rowOff>
    </xdr:from>
    <xdr:to>
      <xdr:col>3</xdr:col>
      <xdr:colOff>317500</xdr:colOff>
      <xdr:row>36</xdr:row>
      <xdr:rowOff>12700</xdr:rowOff>
    </xdr:to>
    <xdr:cxnSp macro="">
      <xdr:nvCxnSpPr>
        <xdr:cNvPr id="2053" name="Straight Connector 2052">
          <a:extLst>
            <a:ext uri="{FF2B5EF4-FFF2-40B4-BE49-F238E27FC236}">
              <a16:creationId xmlns:a16="http://schemas.microsoft.com/office/drawing/2014/main" id="{E3D07BB3-2454-C814-5E01-E0ADC9288FC0}"/>
            </a:ext>
          </a:extLst>
        </xdr:cNvPr>
        <xdr:cNvCxnSpPr/>
      </xdr:nvCxnSpPr>
      <xdr:spPr>
        <a:xfrm>
          <a:off x="431800" y="6870700"/>
          <a:ext cx="1714500" cy="0"/>
        </a:xfrm>
        <a:prstGeom prst="line">
          <a:avLst/>
        </a:prstGeom>
        <a:solidFill>
          <a:schemeClr val="bg1"/>
        </a:solidFill>
        <a:ln w="12700">
          <a:solidFill>
            <a:srgbClr val="FF9D00"/>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Belajar%20Data%20Analisis\data%20analisis%20project%20menggunakan%20excel\17.%20Sales%20Tracker%20Dashboard\Data%20table.xlsx" TargetMode="External"/><Relationship Id="rId1" Type="http://schemas.openxmlformats.org/officeDocument/2006/relationships/externalLinkPath" Target="/Belajar%20Data%20Analisis/data%20analisis%20project%20menggunakan%20excel/17.%20Sales%20Tracker%20Dashboard/Data%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Table"/>
      <sheetName val="Pivot"/>
      <sheetName val="Dashboard"/>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59.918685532408" createdVersion="8" refreshedVersion="8" minRefreshableVersion="3" recordCount="3547" xr:uid="{2C9149F7-B964-4108-86D8-C7F80FEB2DF3}">
  <cacheSource type="worksheet">
    <worksheetSource name="Table1"/>
  </cacheSource>
  <cacheFields count="13">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2"/>
    </cacheField>
    <cacheField name="Month_Year" numFmtId="14">
      <sharedItems count="13">
        <s v="Mar 2024"/>
        <s v="Apr 2024"/>
        <s v="May 2024"/>
        <s v="Jun 2024"/>
        <s v="Jul 2024"/>
        <s v="Aug 2024"/>
        <s v="Sep 2024"/>
        <s v="Oct 2024"/>
        <s v="Nov 2024"/>
        <s v="Dec 2024"/>
        <s v="Jan 2025"/>
        <s v="Feb 2025"/>
        <s v="Mar 2025"/>
      </sharedItems>
    </cacheField>
    <cacheField name="Weekdays" numFmtId="14">
      <sharedItems count="7">
        <s v="Fri"/>
        <s v="Sat"/>
        <s v="Sun"/>
        <s v="Mon"/>
        <s v="Tue"/>
        <s v="Wed"/>
        <s v="Thu"/>
      </sharedItems>
    </cacheField>
    <cacheField name="Months (Date)" numFmtId="0" databaseField="0">
      <fieldGroup base="8">
        <rangePr groupBy="months" startDate="2024-03-01T00:00:00" endDate="2025-03-24T00:00:00"/>
        <groupItems count="14">
          <s v="&lt;01/03/2024"/>
          <s v="Jan"/>
          <s v="Feb"/>
          <s v="Mar"/>
          <s v="Apr"/>
          <s v="Mei"/>
          <s v="Jun"/>
          <s v="Jul"/>
          <s v="Agu"/>
          <s v="Sep"/>
          <s v="Okt"/>
          <s v="Nov"/>
          <s v="Des"/>
          <s v="&gt;24/03/2025"/>
        </groupItems>
      </fieldGroup>
    </cacheField>
    <cacheField name="Years (Date)" numFmtId="0" databaseField="0">
      <fieldGroup base="8">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674797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s v="card"/>
    <n v="38.700000000000003"/>
    <x v="0"/>
    <x v="0"/>
    <s v="Mar"/>
    <n v="5"/>
    <n v="3"/>
    <x v="0"/>
    <x v="0"/>
    <x v="0"/>
  </r>
  <r>
    <x v="1"/>
    <s v="card"/>
    <n v="38.700000000000003"/>
    <x v="1"/>
    <x v="1"/>
    <s v="Mar"/>
    <n v="5"/>
    <n v="3"/>
    <x v="0"/>
    <x v="0"/>
    <x v="0"/>
  </r>
  <r>
    <x v="1"/>
    <s v="card"/>
    <n v="38.700000000000003"/>
    <x v="1"/>
    <x v="1"/>
    <s v="Mar"/>
    <n v="5"/>
    <n v="3"/>
    <x v="0"/>
    <x v="0"/>
    <x v="0"/>
  </r>
  <r>
    <x v="2"/>
    <s v="card"/>
    <n v="28.9"/>
    <x v="2"/>
    <x v="1"/>
    <s v="Mar"/>
    <n v="5"/>
    <n v="3"/>
    <x v="0"/>
    <x v="0"/>
    <x v="0"/>
  </r>
  <r>
    <x v="2"/>
    <s v="card"/>
    <n v="38.700000000000003"/>
    <x v="0"/>
    <x v="1"/>
    <s v="Mar"/>
    <n v="5"/>
    <n v="3"/>
    <x v="0"/>
    <x v="0"/>
    <x v="0"/>
  </r>
  <r>
    <x v="3"/>
    <s v="card"/>
    <n v="33.799999999999997"/>
    <x v="3"/>
    <x v="1"/>
    <s v="Mar"/>
    <n v="5"/>
    <n v="3"/>
    <x v="0"/>
    <x v="0"/>
    <x v="0"/>
  </r>
  <r>
    <x v="4"/>
    <s v="card"/>
    <n v="38.700000000000003"/>
    <x v="1"/>
    <x v="1"/>
    <s v="Mar"/>
    <n v="5"/>
    <n v="3"/>
    <x v="0"/>
    <x v="0"/>
    <x v="0"/>
  </r>
  <r>
    <x v="5"/>
    <s v="card"/>
    <n v="33.799999999999997"/>
    <x v="3"/>
    <x v="2"/>
    <s v="Mar"/>
    <n v="5"/>
    <n v="3"/>
    <x v="0"/>
    <x v="0"/>
    <x v="0"/>
  </r>
  <r>
    <x v="6"/>
    <s v="card"/>
    <n v="38.700000000000003"/>
    <x v="4"/>
    <x v="2"/>
    <s v="Mar"/>
    <n v="5"/>
    <n v="3"/>
    <x v="0"/>
    <x v="0"/>
    <x v="0"/>
  </r>
  <r>
    <x v="6"/>
    <s v="card"/>
    <n v="33.799999999999997"/>
    <x v="3"/>
    <x v="2"/>
    <s v="Mar"/>
    <n v="5"/>
    <n v="3"/>
    <x v="0"/>
    <x v="0"/>
    <x v="0"/>
  </r>
  <r>
    <x v="6"/>
    <s v="card"/>
    <n v="33.799999999999997"/>
    <x v="3"/>
    <x v="2"/>
    <s v="Mar"/>
    <n v="5"/>
    <n v="3"/>
    <x v="0"/>
    <x v="0"/>
    <x v="0"/>
  </r>
  <r>
    <x v="0"/>
    <s v="card"/>
    <n v="28.9"/>
    <x v="2"/>
    <x v="0"/>
    <s v="Mar"/>
    <n v="6"/>
    <n v="3"/>
    <x v="1"/>
    <x v="0"/>
    <x v="1"/>
  </r>
  <r>
    <x v="0"/>
    <s v="card"/>
    <n v="33.799999999999997"/>
    <x v="3"/>
    <x v="0"/>
    <s v="Mar"/>
    <n v="6"/>
    <n v="3"/>
    <x v="1"/>
    <x v="0"/>
    <x v="1"/>
  </r>
  <r>
    <x v="7"/>
    <s v="card"/>
    <n v="33.799999999999997"/>
    <x v="3"/>
    <x v="0"/>
    <s v="Mar"/>
    <n v="6"/>
    <n v="3"/>
    <x v="1"/>
    <x v="0"/>
    <x v="1"/>
  </r>
  <r>
    <x v="8"/>
    <s v="card"/>
    <n v="28.9"/>
    <x v="2"/>
    <x v="1"/>
    <s v="Mar"/>
    <n v="6"/>
    <n v="3"/>
    <x v="1"/>
    <x v="0"/>
    <x v="1"/>
  </r>
  <r>
    <x v="4"/>
    <s v="card"/>
    <n v="33.799999999999997"/>
    <x v="3"/>
    <x v="1"/>
    <s v="Mar"/>
    <n v="6"/>
    <n v="3"/>
    <x v="1"/>
    <x v="0"/>
    <x v="1"/>
  </r>
  <r>
    <x v="9"/>
    <s v="card"/>
    <n v="28.9"/>
    <x v="2"/>
    <x v="2"/>
    <s v="Mar"/>
    <n v="6"/>
    <n v="3"/>
    <x v="1"/>
    <x v="0"/>
    <x v="1"/>
  </r>
  <r>
    <x v="0"/>
    <s v="card"/>
    <n v="38.700000000000003"/>
    <x v="0"/>
    <x v="0"/>
    <s v="Mar"/>
    <n v="7"/>
    <n v="3"/>
    <x v="2"/>
    <x v="0"/>
    <x v="2"/>
  </r>
  <r>
    <x v="7"/>
    <s v="card"/>
    <n v="28.9"/>
    <x v="5"/>
    <x v="0"/>
    <s v="Mar"/>
    <n v="7"/>
    <n v="3"/>
    <x v="2"/>
    <x v="0"/>
    <x v="2"/>
  </r>
  <r>
    <x v="1"/>
    <s v="card"/>
    <n v="28.9"/>
    <x v="2"/>
    <x v="1"/>
    <s v="Mar"/>
    <n v="7"/>
    <n v="3"/>
    <x v="2"/>
    <x v="0"/>
    <x v="2"/>
  </r>
  <r>
    <x v="2"/>
    <s v="card"/>
    <n v="38.700000000000003"/>
    <x v="1"/>
    <x v="1"/>
    <s v="Mar"/>
    <n v="7"/>
    <n v="3"/>
    <x v="2"/>
    <x v="0"/>
    <x v="2"/>
  </r>
  <r>
    <x v="9"/>
    <s v="card"/>
    <n v="38.700000000000003"/>
    <x v="4"/>
    <x v="2"/>
    <s v="Mar"/>
    <n v="7"/>
    <n v="3"/>
    <x v="2"/>
    <x v="0"/>
    <x v="2"/>
  </r>
  <r>
    <x v="9"/>
    <s v="card"/>
    <n v="28.9"/>
    <x v="5"/>
    <x v="2"/>
    <s v="Mar"/>
    <n v="7"/>
    <n v="3"/>
    <x v="2"/>
    <x v="0"/>
    <x v="2"/>
  </r>
  <r>
    <x v="5"/>
    <s v="card"/>
    <n v="33.799999999999997"/>
    <x v="3"/>
    <x v="2"/>
    <s v="Mar"/>
    <n v="7"/>
    <n v="3"/>
    <x v="2"/>
    <x v="0"/>
    <x v="2"/>
  </r>
  <r>
    <x v="5"/>
    <s v="card"/>
    <n v="33.799999999999997"/>
    <x v="3"/>
    <x v="2"/>
    <s v="Mar"/>
    <n v="7"/>
    <n v="3"/>
    <x v="2"/>
    <x v="0"/>
    <x v="2"/>
  </r>
  <r>
    <x v="5"/>
    <s v="card"/>
    <n v="38.700000000000003"/>
    <x v="1"/>
    <x v="2"/>
    <s v="Mar"/>
    <n v="7"/>
    <n v="3"/>
    <x v="2"/>
    <x v="0"/>
    <x v="2"/>
  </r>
  <r>
    <x v="0"/>
    <s v="card"/>
    <n v="38.700000000000003"/>
    <x v="0"/>
    <x v="0"/>
    <s v="Mar"/>
    <n v="1"/>
    <n v="3"/>
    <x v="3"/>
    <x v="0"/>
    <x v="3"/>
  </r>
  <r>
    <x v="0"/>
    <s v="card"/>
    <n v="38.700000000000003"/>
    <x v="0"/>
    <x v="0"/>
    <s v="Mar"/>
    <n v="1"/>
    <n v="3"/>
    <x v="3"/>
    <x v="0"/>
    <x v="3"/>
  </r>
  <r>
    <x v="7"/>
    <s v="card"/>
    <n v="33.799999999999997"/>
    <x v="3"/>
    <x v="0"/>
    <s v="Mar"/>
    <n v="1"/>
    <n v="3"/>
    <x v="3"/>
    <x v="0"/>
    <x v="3"/>
  </r>
  <r>
    <x v="8"/>
    <s v="card"/>
    <n v="24"/>
    <x v="6"/>
    <x v="1"/>
    <s v="Mar"/>
    <n v="1"/>
    <n v="3"/>
    <x v="3"/>
    <x v="0"/>
    <x v="3"/>
  </r>
  <r>
    <x v="10"/>
    <s v="card"/>
    <n v="38.700000000000003"/>
    <x v="0"/>
    <x v="0"/>
    <s v="Mar"/>
    <n v="2"/>
    <n v="3"/>
    <x v="4"/>
    <x v="0"/>
    <x v="4"/>
  </r>
  <r>
    <x v="8"/>
    <s v="card"/>
    <n v="38.700000000000003"/>
    <x v="0"/>
    <x v="1"/>
    <s v="Mar"/>
    <n v="2"/>
    <n v="3"/>
    <x v="4"/>
    <x v="0"/>
    <x v="4"/>
  </r>
  <r>
    <x v="9"/>
    <s v="card"/>
    <n v="38.700000000000003"/>
    <x v="0"/>
    <x v="2"/>
    <s v="Mar"/>
    <n v="2"/>
    <n v="3"/>
    <x v="4"/>
    <x v="0"/>
    <x v="4"/>
  </r>
  <r>
    <x v="9"/>
    <s v="card"/>
    <n v="38.700000000000003"/>
    <x v="1"/>
    <x v="2"/>
    <s v="Mar"/>
    <n v="2"/>
    <n v="3"/>
    <x v="4"/>
    <x v="0"/>
    <x v="4"/>
  </r>
  <r>
    <x v="9"/>
    <s v="card"/>
    <n v="38.700000000000003"/>
    <x v="4"/>
    <x v="2"/>
    <s v="Mar"/>
    <n v="2"/>
    <n v="3"/>
    <x v="4"/>
    <x v="0"/>
    <x v="4"/>
  </r>
  <r>
    <x v="9"/>
    <s v="card"/>
    <n v="38.700000000000003"/>
    <x v="1"/>
    <x v="2"/>
    <s v="Mar"/>
    <n v="2"/>
    <n v="3"/>
    <x v="4"/>
    <x v="0"/>
    <x v="4"/>
  </r>
  <r>
    <x v="9"/>
    <s v="card"/>
    <n v="38.700000000000003"/>
    <x v="1"/>
    <x v="2"/>
    <s v="Mar"/>
    <n v="2"/>
    <n v="3"/>
    <x v="4"/>
    <x v="0"/>
    <x v="4"/>
  </r>
  <r>
    <x v="9"/>
    <s v="card"/>
    <n v="28.9"/>
    <x v="5"/>
    <x v="2"/>
    <s v="Mar"/>
    <n v="2"/>
    <n v="3"/>
    <x v="4"/>
    <x v="0"/>
    <x v="4"/>
  </r>
  <r>
    <x v="5"/>
    <s v="card"/>
    <n v="38.700000000000003"/>
    <x v="1"/>
    <x v="2"/>
    <s v="Mar"/>
    <n v="2"/>
    <n v="3"/>
    <x v="4"/>
    <x v="0"/>
    <x v="4"/>
  </r>
  <r>
    <x v="2"/>
    <s v="card"/>
    <n v="28.9"/>
    <x v="2"/>
    <x v="1"/>
    <s v="Mar"/>
    <n v="3"/>
    <n v="3"/>
    <x v="5"/>
    <x v="0"/>
    <x v="5"/>
  </r>
  <r>
    <x v="2"/>
    <s v="card"/>
    <n v="28.9"/>
    <x v="5"/>
    <x v="1"/>
    <s v="Mar"/>
    <n v="3"/>
    <n v="3"/>
    <x v="5"/>
    <x v="0"/>
    <x v="5"/>
  </r>
  <r>
    <x v="8"/>
    <s v="card"/>
    <n v="38.700000000000003"/>
    <x v="7"/>
    <x v="1"/>
    <s v="Mar"/>
    <n v="3"/>
    <n v="3"/>
    <x v="5"/>
    <x v="0"/>
    <x v="5"/>
  </r>
  <r>
    <x v="8"/>
    <s v="card"/>
    <n v="38.700000000000003"/>
    <x v="7"/>
    <x v="1"/>
    <s v="Mar"/>
    <n v="3"/>
    <n v="3"/>
    <x v="5"/>
    <x v="0"/>
    <x v="5"/>
  </r>
  <r>
    <x v="0"/>
    <s v="card"/>
    <n v="38.700000000000003"/>
    <x v="1"/>
    <x v="0"/>
    <s v="Mar"/>
    <n v="4"/>
    <n v="3"/>
    <x v="6"/>
    <x v="0"/>
    <x v="6"/>
  </r>
  <r>
    <x v="7"/>
    <s v="card"/>
    <n v="38.700000000000003"/>
    <x v="0"/>
    <x v="0"/>
    <s v="Mar"/>
    <n v="4"/>
    <n v="3"/>
    <x v="6"/>
    <x v="0"/>
    <x v="6"/>
  </r>
  <r>
    <x v="3"/>
    <s v="card"/>
    <n v="28.9"/>
    <x v="2"/>
    <x v="1"/>
    <s v="Mar"/>
    <n v="4"/>
    <n v="3"/>
    <x v="6"/>
    <x v="0"/>
    <x v="6"/>
  </r>
  <r>
    <x v="3"/>
    <s v="card"/>
    <n v="33.799999999999997"/>
    <x v="3"/>
    <x v="1"/>
    <s v="Mar"/>
    <n v="4"/>
    <n v="3"/>
    <x v="6"/>
    <x v="0"/>
    <x v="6"/>
  </r>
  <r>
    <x v="0"/>
    <s v="card"/>
    <n v="28.9"/>
    <x v="5"/>
    <x v="0"/>
    <s v="Mar"/>
    <n v="5"/>
    <n v="3"/>
    <x v="7"/>
    <x v="0"/>
    <x v="0"/>
  </r>
  <r>
    <x v="1"/>
    <s v="card"/>
    <n v="38.700000000000003"/>
    <x v="7"/>
    <x v="1"/>
    <s v="Mar"/>
    <n v="5"/>
    <n v="3"/>
    <x v="7"/>
    <x v="0"/>
    <x v="0"/>
  </r>
  <r>
    <x v="2"/>
    <s v="card"/>
    <n v="28.9"/>
    <x v="2"/>
    <x v="1"/>
    <s v="Mar"/>
    <n v="5"/>
    <n v="3"/>
    <x v="7"/>
    <x v="0"/>
    <x v="0"/>
  </r>
  <r>
    <x v="8"/>
    <s v="card"/>
    <n v="28.9"/>
    <x v="2"/>
    <x v="1"/>
    <s v="Mar"/>
    <n v="5"/>
    <n v="3"/>
    <x v="7"/>
    <x v="0"/>
    <x v="0"/>
  </r>
  <r>
    <x v="8"/>
    <s v="card"/>
    <n v="28.9"/>
    <x v="2"/>
    <x v="1"/>
    <s v="Mar"/>
    <n v="5"/>
    <n v="3"/>
    <x v="7"/>
    <x v="0"/>
    <x v="0"/>
  </r>
  <r>
    <x v="8"/>
    <s v="card"/>
    <n v="33.799999999999997"/>
    <x v="3"/>
    <x v="1"/>
    <s v="Mar"/>
    <n v="5"/>
    <n v="3"/>
    <x v="7"/>
    <x v="0"/>
    <x v="0"/>
  </r>
  <r>
    <x v="5"/>
    <s v="card"/>
    <n v="38.700000000000003"/>
    <x v="0"/>
    <x v="2"/>
    <s v="Mar"/>
    <n v="5"/>
    <n v="3"/>
    <x v="7"/>
    <x v="0"/>
    <x v="0"/>
  </r>
  <r>
    <x v="5"/>
    <s v="card"/>
    <n v="38.700000000000003"/>
    <x v="0"/>
    <x v="2"/>
    <s v="Mar"/>
    <n v="5"/>
    <n v="3"/>
    <x v="7"/>
    <x v="0"/>
    <x v="0"/>
  </r>
  <r>
    <x v="1"/>
    <s v="card"/>
    <n v="24"/>
    <x v="6"/>
    <x v="1"/>
    <s v="Mar"/>
    <n v="6"/>
    <n v="3"/>
    <x v="8"/>
    <x v="0"/>
    <x v="1"/>
  </r>
  <r>
    <x v="1"/>
    <s v="card"/>
    <n v="28.9"/>
    <x v="2"/>
    <x v="1"/>
    <s v="Mar"/>
    <n v="6"/>
    <n v="3"/>
    <x v="8"/>
    <x v="0"/>
    <x v="1"/>
  </r>
  <r>
    <x v="1"/>
    <s v="card"/>
    <n v="38.700000000000003"/>
    <x v="7"/>
    <x v="1"/>
    <s v="Mar"/>
    <n v="6"/>
    <n v="3"/>
    <x v="8"/>
    <x v="0"/>
    <x v="1"/>
  </r>
  <r>
    <x v="1"/>
    <s v="card"/>
    <n v="28.9"/>
    <x v="2"/>
    <x v="1"/>
    <s v="Mar"/>
    <n v="6"/>
    <n v="3"/>
    <x v="8"/>
    <x v="0"/>
    <x v="1"/>
  </r>
  <r>
    <x v="1"/>
    <s v="card"/>
    <n v="28.9"/>
    <x v="2"/>
    <x v="1"/>
    <s v="Mar"/>
    <n v="6"/>
    <n v="3"/>
    <x v="8"/>
    <x v="0"/>
    <x v="1"/>
  </r>
  <r>
    <x v="2"/>
    <s v="card"/>
    <n v="38.700000000000003"/>
    <x v="0"/>
    <x v="1"/>
    <s v="Mar"/>
    <n v="6"/>
    <n v="3"/>
    <x v="8"/>
    <x v="0"/>
    <x v="1"/>
  </r>
  <r>
    <x v="2"/>
    <s v="card"/>
    <n v="33.799999999999997"/>
    <x v="3"/>
    <x v="1"/>
    <s v="Mar"/>
    <n v="6"/>
    <n v="3"/>
    <x v="8"/>
    <x v="0"/>
    <x v="1"/>
  </r>
  <r>
    <x v="2"/>
    <s v="card"/>
    <n v="28.9"/>
    <x v="5"/>
    <x v="1"/>
    <s v="Mar"/>
    <n v="6"/>
    <n v="3"/>
    <x v="8"/>
    <x v="0"/>
    <x v="1"/>
  </r>
  <r>
    <x v="2"/>
    <s v="card"/>
    <n v="38.700000000000003"/>
    <x v="7"/>
    <x v="1"/>
    <s v="Mar"/>
    <n v="6"/>
    <n v="3"/>
    <x v="8"/>
    <x v="0"/>
    <x v="1"/>
  </r>
  <r>
    <x v="8"/>
    <s v="card"/>
    <n v="33.799999999999997"/>
    <x v="3"/>
    <x v="1"/>
    <s v="Mar"/>
    <n v="6"/>
    <n v="3"/>
    <x v="8"/>
    <x v="0"/>
    <x v="1"/>
  </r>
  <r>
    <x v="8"/>
    <s v="card"/>
    <n v="38.700000000000003"/>
    <x v="1"/>
    <x v="1"/>
    <s v="Mar"/>
    <n v="6"/>
    <n v="3"/>
    <x v="8"/>
    <x v="0"/>
    <x v="1"/>
  </r>
  <r>
    <x v="6"/>
    <s v="card"/>
    <n v="38.700000000000003"/>
    <x v="7"/>
    <x v="2"/>
    <s v="Mar"/>
    <n v="6"/>
    <n v="3"/>
    <x v="8"/>
    <x v="0"/>
    <x v="1"/>
  </r>
  <r>
    <x v="6"/>
    <s v="card"/>
    <n v="38.700000000000003"/>
    <x v="1"/>
    <x v="2"/>
    <s v="Mar"/>
    <n v="6"/>
    <n v="3"/>
    <x v="8"/>
    <x v="0"/>
    <x v="1"/>
  </r>
  <r>
    <x v="7"/>
    <s v="card"/>
    <n v="24"/>
    <x v="6"/>
    <x v="0"/>
    <s v="Mar"/>
    <n v="7"/>
    <n v="3"/>
    <x v="9"/>
    <x v="0"/>
    <x v="2"/>
  </r>
  <r>
    <x v="6"/>
    <s v="card"/>
    <n v="38.700000000000003"/>
    <x v="0"/>
    <x v="2"/>
    <s v="Mar"/>
    <n v="7"/>
    <n v="3"/>
    <x v="9"/>
    <x v="0"/>
    <x v="2"/>
  </r>
  <r>
    <x v="6"/>
    <s v="card"/>
    <n v="28.9"/>
    <x v="5"/>
    <x v="2"/>
    <s v="Mar"/>
    <n v="7"/>
    <n v="3"/>
    <x v="9"/>
    <x v="0"/>
    <x v="2"/>
  </r>
  <r>
    <x v="7"/>
    <s v="card"/>
    <n v="38.700000000000003"/>
    <x v="7"/>
    <x v="0"/>
    <s v="Mar"/>
    <n v="1"/>
    <n v="3"/>
    <x v="10"/>
    <x v="0"/>
    <x v="3"/>
  </r>
  <r>
    <x v="4"/>
    <s v="card"/>
    <n v="28.9"/>
    <x v="2"/>
    <x v="1"/>
    <s v="Mar"/>
    <n v="1"/>
    <n v="3"/>
    <x v="10"/>
    <x v="0"/>
    <x v="3"/>
  </r>
  <r>
    <x v="4"/>
    <s v="card"/>
    <n v="38.700000000000003"/>
    <x v="0"/>
    <x v="1"/>
    <s v="Mar"/>
    <n v="1"/>
    <n v="3"/>
    <x v="10"/>
    <x v="0"/>
    <x v="3"/>
  </r>
  <r>
    <x v="4"/>
    <s v="card"/>
    <n v="28.9"/>
    <x v="5"/>
    <x v="1"/>
    <s v="Mar"/>
    <n v="1"/>
    <n v="3"/>
    <x v="10"/>
    <x v="0"/>
    <x v="3"/>
  </r>
  <r>
    <x v="0"/>
    <s v="card"/>
    <n v="28.9"/>
    <x v="2"/>
    <x v="0"/>
    <s v="Mar"/>
    <n v="2"/>
    <n v="3"/>
    <x v="11"/>
    <x v="0"/>
    <x v="4"/>
  </r>
  <r>
    <x v="0"/>
    <s v="card"/>
    <n v="28.9"/>
    <x v="5"/>
    <x v="0"/>
    <s v="Mar"/>
    <n v="2"/>
    <n v="3"/>
    <x v="11"/>
    <x v="0"/>
    <x v="4"/>
  </r>
  <r>
    <x v="7"/>
    <s v="card"/>
    <n v="38.700000000000003"/>
    <x v="1"/>
    <x v="0"/>
    <s v="Mar"/>
    <n v="2"/>
    <n v="3"/>
    <x v="11"/>
    <x v="0"/>
    <x v="4"/>
  </r>
  <r>
    <x v="1"/>
    <s v="card"/>
    <n v="33.799999999999997"/>
    <x v="3"/>
    <x v="1"/>
    <s v="Mar"/>
    <n v="2"/>
    <n v="3"/>
    <x v="11"/>
    <x v="0"/>
    <x v="4"/>
  </r>
  <r>
    <x v="1"/>
    <s v="card"/>
    <n v="28.9"/>
    <x v="2"/>
    <x v="1"/>
    <s v="Mar"/>
    <n v="2"/>
    <n v="3"/>
    <x v="11"/>
    <x v="0"/>
    <x v="4"/>
  </r>
  <r>
    <x v="4"/>
    <s v="card"/>
    <n v="28.9"/>
    <x v="2"/>
    <x v="1"/>
    <s v="Mar"/>
    <n v="2"/>
    <n v="3"/>
    <x v="11"/>
    <x v="0"/>
    <x v="4"/>
  </r>
  <r>
    <x v="7"/>
    <s v="card"/>
    <n v="38.700000000000003"/>
    <x v="1"/>
    <x v="0"/>
    <s v="Mar"/>
    <n v="3"/>
    <n v="3"/>
    <x v="12"/>
    <x v="0"/>
    <x v="5"/>
  </r>
  <r>
    <x v="7"/>
    <s v="card"/>
    <n v="28.9"/>
    <x v="2"/>
    <x v="0"/>
    <s v="Mar"/>
    <n v="3"/>
    <n v="3"/>
    <x v="12"/>
    <x v="0"/>
    <x v="5"/>
  </r>
  <r>
    <x v="1"/>
    <s v="card"/>
    <n v="28.9"/>
    <x v="2"/>
    <x v="1"/>
    <s v="Mar"/>
    <n v="3"/>
    <n v="3"/>
    <x v="12"/>
    <x v="0"/>
    <x v="5"/>
  </r>
  <r>
    <x v="1"/>
    <s v="card"/>
    <n v="28.9"/>
    <x v="2"/>
    <x v="1"/>
    <s v="Mar"/>
    <n v="3"/>
    <n v="3"/>
    <x v="12"/>
    <x v="0"/>
    <x v="5"/>
  </r>
  <r>
    <x v="8"/>
    <s v="card"/>
    <n v="33.799999999999997"/>
    <x v="3"/>
    <x v="1"/>
    <s v="Mar"/>
    <n v="3"/>
    <n v="3"/>
    <x v="12"/>
    <x v="0"/>
    <x v="5"/>
  </r>
  <r>
    <x v="3"/>
    <s v="card"/>
    <n v="24"/>
    <x v="6"/>
    <x v="1"/>
    <s v="Mar"/>
    <n v="3"/>
    <n v="3"/>
    <x v="12"/>
    <x v="0"/>
    <x v="5"/>
  </r>
  <r>
    <x v="3"/>
    <s v="card"/>
    <n v="24"/>
    <x v="6"/>
    <x v="1"/>
    <s v="Mar"/>
    <n v="3"/>
    <n v="3"/>
    <x v="12"/>
    <x v="0"/>
    <x v="5"/>
  </r>
  <r>
    <x v="4"/>
    <s v="card"/>
    <n v="24"/>
    <x v="6"/>
    <x v="1"/>
    <s v="Mar"/>
    <n v="3"/>
    <n v="3"/>
    <x v="12"/>
    <x v="0"/>
    <x v="5"/>
  </r>
  <r>
    <x v="0"/>
    <s v="card"/>
    <n v="38.700000000000003"/>
    <x v="0"/>
    <x v="0"/>
    <s v="Mar"/>
    <n v="4"/>
    <n v="3"/>
    <x v="13"/>
    <x v="0"/>
    <x v="6"/>
  </r>
  <r>
    <x v="0"/>
    <s v="card"/>
    <n v="38.700000000000003"/>
    <x v="1"/>
    <x v="0"/>
    <s v="Mar"/>
    <n v="4"/>
    <n v="3"/>
    <x v="13"/>
    <x v="0"/>
    <x v="6"/>
  </r>
  <r>
    <x v="2"/>
    <s v="card"/>
    <n v="28.9"/>
    <x v="5"/>
    <x v="1"/>
    <s v="Mar"/>
    <n v="4"/>
    <n v="3"/>
    <x v="13"/>
    <x v="0"/>
    <x v="6"/>
  </r>
  <r>
    <x v="2"/>
    <s v="card"/>
    <n v="28.9"/>
    <x v="2"/>
    <x v="1"/>
    <s v="Mar"/>
    <n v="4"/>
    <n v="3"/>
    <x v="13"/>
    <x v="0"/>
    <x v="6"/>
  </r>
  <r>
    <x v="2"/>
    <s v="card"/>
    <n v="33.799999999999997"/>
    <x v="3"/>
    <x v="1"/>
    <s v="Mar"/>
    <n v="4"/>
    <n v="3"/>
    <x v="13"/>
    <x v="0"/>
    <x v="6"/>
  </r>
  <r>
    <x v="2"/>
    <s v="card"/>
    <n v="24"/>
    <x v="6"/>
    <x v="1"/>
    <s v="Mar"/>
    <n v="4"/>
    <n v="3"/>
    <x v="13"/>
    <x v="0"/>
    <x v="6"/>
  </r>
  <r>
    <x v="3"/>
    <s v="card"/>
    <n v="38.700000000000003"/>
    <x v="0"/>
    <x v="1"/>
    <s v="Mar"/>
    <n v="4"/>
    <n v="3"/>
    <x v="13"/>
    <x v="0"/>
    <x v="6"/>
  </r>
  <r>
    <x v="4"/>
    <s v="card"/>
    <n v="33.799999999999997"/>
    <x v="3"/>
    <x v="1"/>
    <s v="Mar"/>
    <n v="4"/>
    <n v="3"/>
    <x v="13"/>
    <x v="0"/>
    <x v="6"/>
  </r>
  <r>
    <x v="4"/>
    <s v="card"/>
    <n v="24"/>
    <x v="6"/>
    <x v="1"/>
    <s v="Mar"/>
    <n v="4"/>
    <n v="3"/>
    <x v="13"/>
    <x v="0"/>
    <x v="6"/>
  </r>
  <r>
    <x v="5"/>
    <s v="card"/>
    <n v="38.700000000000003"/>
    <x v="1"/>
    <x v="2"/>
    <s v="Mar"/>
    <n v="4"/>
    <n v="3"/>
    <x v="13"/>
    <x v="0"/>
    <x v="6"/>
  </r>
  <r>
    <x v="6"/>
    <s v="card"/>
    <n v="28.9"/>
    <x v="5"/>
    <x v="2"/>
    <s v="Mar"/>
    <n v="4"/>
    <n v="3"/>
    <x v="13"/>
    <x v="0"/>
    <x v="6"/>
  </r>
  <r>
    <x v="0"/>
    <s v="card"/>
    <n v="38.700000000000003"/>
    <x v="1"/>
    <x v="0"/>
    <s v="Mar"/>
    <n v="5"/>
    <n v="3"/>
    <x v="14"/>
    <x v="0"/>
    <x v="0"/>
  </r>
  <r>
    <x v="5"/>
    <s v="card"/>
    <n v="28.9"/>
    <x v="2"/>
    <x v="2"/>
    <s v="Mar"/>
    <n v="5"/>
    <n v="3"/>
    <x v="14"/>
    <x v="0"/>
    <x v="0"/>
  </r>
  <r>
    <x v="1"/>
    <s v="card"/>
    <n v="33.799999999999997"/>
    <x v="3"/>
    <x v="1"/>
    <s v="Mar"/>
    <n v="6"/>
    <n v="3"/>
    <x v="15"/>
    <x v="0"/>
    <x v="1"/>
  </r>
  <r>
    <x v="1"/>
    <s v="card"/>
    <n v="28.9"/>
    <x v="2"/>
    <x v="1"/>
    <s v="Mar"/>
    <n v="6"/>
    <n v="3"/>
    <x v="15"/>
    <x v="0"/>
    <x v="1"/>
  </r>
  <r>
    <x v="3"/>
    <s v="card"/>
    <n v="28.9"/>
    <x v="5"/>
    <x v="1"/>
    <s v="Mar"/>
    <n v="6"/>
    <n v="3"/>
    <x v="15"/>
    <x v="0"/>
    <x v="1"/>
  </r>
  <r>
    <x v="4"/>
    <s v="card"/>
    <n v="28.9"/>
    <x v="5"/>
    <x v="1"/>
    <s v="Mar"/>
    <n v="6"/>
    <n v="3"/>
    <x v="15"/>
    <x v="0"/>
    <x v="1"/>
  </r>
  <r>
    <x v="4"/>
    <s v="card"/>
    <n v="28.9"/>
    <x v="5"/>
    <x v="1"/>
    <s v="Mar"/>
    <n v="6"/>
    <n v="3"/>
    <x v="15"/>
    <x v="0"/>
    <x v="1"/>
  </r>
  <r>
    <x v="9"/>
    <s v="card"/>
    <n v="33.799999999999997"/>
    <x v="3"/>
    <x v="2"/>
    <s v="Mar"/>
    <n v="6"/>
    <n v="3"/>
    <x v="15"/>
    <x v="0"/>
    <x v="1"/>
  </r>
  <r>
    <x v="1"/>
    <s v="card"/>
    <n v="28.9"/>
    <x v="5"/>
    <x v="1"/>
    <s v="Mar"/>
    <n v="7"/>
    <n v="3"/>
    <x v="16"/>
    <x v="0"/>
    <x v="2"/>
  </r>
  <r>
    <x v="7"/>
    <s v="card"/>
    <n v="28.9"/>
    <x v="5"/>
    <x v="0"/>
    <s v="Mar"/>
    <n v="1"/>
    <n v="3"/>
    <x v="17"/>
    <x v="0"/>
    <x v="3"/>
  </r>
  <r>
    <x v="3"/>
    <s v="card"/>
    <n v="28.9"/>
    <x v="2"/>
    <x v="1"/>
    <s v="Mar"/>
    <n v="1"/>
    <n v="3"/>
    <x v="17"/>
    <x v="0"/>
    <x v="3"/>
  </r>
  <r>
    <x v="3"/>
    <s v="card"/>
    <n v="28.9"/>
    <x v="2"/>
    <x v="1"/>
    <s v="Mar"/>
    <n v="1"/>
    <n v="3"/>
    <x v="17"/>
    <x v="0"/>
    <x v="3"/>
  </r>
  <r>
    <x v="3"/>
    <s v="card"/>
    <n v="28.9"/>
    <x v="2"/>
    <x v="1"/>
    <s v="Mar"/>
    <n v="1"/>
    <n v="3"/>
    <x v="17"/>
    <x v="0"/>
    <x v="3"/>
  </r>
  <r>
    <x v="8"/>
    <s v="card"/>
    <n v="38.700000000000003"/>
    <x v="0"/>
    <x v="1"/>
    <s v="Mar"/>
    <n v="2"/>
    <n v="3"/>
    <x v="18"/>
    <x v="0"/>
    <x v="4"/>
  </r>
  <r>
    <x v="8"/>
    <s v="card"/>
    <n v="38.700000000000003"/>
    <x v="0"/>
    <x v="1"/>
    <s v="Mar"/>
    <n v="2"/>
    <n v="3"/>
    <x v="18"/>
    <x v="0"/>
    <x v="4"/>
  </r>
  <r>
    <x v="3"/>
    <s v="card"/>
    <n v="38.700000000000003"/>
    <x v="1"/>
    <x v="1"/>
    <s v="Mar"/>
    <n v="2"/>
    <n v="3"/>
    <x v="18"/>
    <x v="0"/>
    <x v="4"/>
  </r>
  <r>
    <x v="4"/>
    <s v="card"/>
    <n v="33.799999999999997"/>
    <x v="3"/>
    <x v="1"/>
    <s v="Mar"/>
    <n v="2"/>
    <n v="3"/>
    <x v="18"/>
    <x v="0"/>
    <x v="4"/>
  </r>
  <r>
    <x v="7"/>
    <s v="card"/>
    <n v="28.9"/>
    <x v="5"/>
    <x v="0"/>
    <s v="Mar"/>
    <n v="3"/>
    <n v="3"/>
    <x v="19"/>
    <x v="0"/>
    <x v="5"/>
  </r>
  <r>
    <x v="1"/>
    <s v="card"/>
    <n v="28.9"/>
    <x v="5"/>
    <x v="1"/>
    <s v="Mar"/>
    <n v="3"/>
    <n v="3"/>
    <x v="19"/>
    <x v="0"/>
    <x v="5"/>
  </r>
  <r>
    <x v="2"/>
    <s v="card"/>
    <n v="38.700000000000003"/>
    <x v="7"/>
    <x v="1"/>
    <s v="Mar"/>
    <n v="3"/>
    <n v="3"/>
    <x v="19"/>
    <x v="0"/>
    <x v="5"/>
  </r>
  <r>
    <x v="4"/>
    <s v="card"/>
    <n v="38.700000000000003"/>
    <x v="4"/>
    <x v="1"/>
    <s v="Mar"/>
    <n v="3"/>
    <n v="3"/>
    <x v="19"/>
    <x v="0"/>
    <x v="5"/>
  </r>
  <r>
    <x v="9"/>
    <s v="card"/>
    <n v="38.700000000000003"/>
    <x v="0"/>
    <x v="2"/>
    <s v="Mar"/>
    <n v="3"/>
    <n v="3"/>
    <x v="19"/>
    <x v="0"/>
    <x v="5"/>
  </r>
  <r>
    <x v="1"/>
    <s v="card"/>
    <n v="28.9"/>
    <x v="5"/>
    <x v="1"/>
    <s v="Mar"/>
    <n v="4"/>
    <n v="3"/>
    <x v="20"/>
    <x v="0"/>
    <x v="6"/>
  </r>
  <r>
    <x v="1"/>
    <s v="card"/>
    <n v="38.700000000000003"/>
    <x v="7"/>
    <x v="1"/>
    <s v="Mar"/>
    <n v="4"/>
    <n v="3"/>
    <x v="20"/>
    <x v="0"/>
    <x v="6"/>
  </r>
  <r>
    <x v="9"/>
    <s v="card"/>
    <n v="28.9"/>
    <x v="5"/>
    <x v="2"/>
    <s v="Mar"/>
    <n v="4"/>
    <n v="3"/>
    <x v="20"/>
    <x v="0"/>
    <x v="6"/>
  </r>
  <r>
    <x v="6"/>
    <s v="card"/>
    <n v="38.700000000000003"/>
    <x v="0"/>
    <x v="2"/>
    <s v="Mar"/>
    <n v="4"/>
    <n v="3"/>
    <x v="20"/>
    <x v="0"/>
    <x v="6"/>
  </r>
  <r>
    <x v="0"/>
    <s v="card"/>
    <n v="33.799999999999997"/>
    <x v="3"/>
    <x v="0"/>
    <s v="Mar"/>
    <n v="5"/>
    <n v="3"/>
    <x v="21"/>
    <x v="0"/>
    <x v="0"/>
  </r>
  <r>
    <x v="2"/>
    <s v="card"/>
    <n v="33.799999999999997"/>
    <x v="3"/>
    <x v="1"/>
    <s v="Mar"/>
    <n v="5"/>
    <n v="3"/>
    <x v="21"/>
    <x v="0"/>
    <x v="0"/>
  </r>
  <r>
    <x v="9"/>
    <s v="card"/>
    <n v="28.9"/>
    <x v="2"/>
    <x v="2"/>
    <s v="Mar"/>
    <n v="5"/>
    <n v="3"/>
    <x v="21"/>
    <x v="0"/>
    <x v="0"/>
  </r>
  <r>
    <x v="9"/>
    <s v="card"/>
    <n v="24"/>
    <x v="6"/>
    <x v="2"/>
    <s v="Mar"/>
    <n v="5"/>
    <n v="3"/>
    <x v="21"/>
    <x v="0"/>
    <x v="0"/>
  </r>
  <r>
    <x v="9"/>
    <s v="card"/>
    <n v="28.9"/>
    <x v="2"/>
    <x v="2"/>
    <s v="Mar"/>
    <n v="5"/>
    <n v="3"/>
    <x v="21"/>
    <x v="0"/>
    <x v="0"/>
  </r>
  <r>
    <x v="0"/>
    <s v="card"/>
    <n v="38.700000000000003"/>
    <x v="0"/>
    <x v="0"/>
    <s v="Mar"/>
    <n v="6"/>
    <n v="3"/>
    <x v="22"/>
    <x v="0"/>
    <x v="1"/>
  </r>
  <r>
    <x v="0"/>
    <s v="card"/>
    <n v="33.799999999999997"/>
    <x v="3"/>
    <x v="0"/>
    <s v="Mar"/>
    <n v="6"/>
    <n v="3"/>
    <x v="22"/>
    <x v="0"/>
    <x v="1"/>
  </r>
  <r>
    <x v="2"/>
    <s v="card"/>
    <n v="38.700000000000003"/>
    <x v="7"/>
    <x v="1"/>
    <s v="Mar"/>
    <n v="6"/>
    <n v="3"/>
    <x v="22"/>
    <x v="0"/>
    <x v="1"/>
  </r>
  <r>
    <x v="2"/>
    <s v="card"/>
    <n v="38.700000000000003"/>
    <x v="4"/>
    <x v="1"/>
    <s v="Mar"/>
    <n v="6"/>
    <n v="3"/>
    <x v="22"/>
    <x v="0"/>
    <x v="1"/>
  </r>
  <r>
    <x v="8"/>
    <s v="card"/>
    <n v="33.799999999999997"/>
    <x v="3"/>
    <x v="1"/>
    <s v="Mar"/>
    <n v="6"/>
    <n v="3"/>
    <x v="22"/>
    <x v="0"/>
    <x v="1"/>
  </r>
  <r>
    <x v="3"/>
    <s v="card"/>
    <n v="38.700000000000003"/>
    <x v="0"/>
    <x v="1"/>
    <s v="Mar"/>
    <n v="6"/>
    <n v="3"/>
    <x v="22"/>
    <x v="0"/>
    <x v="1"/>
  </r>
  <r>
    <x v="3"/>
    <s v="card"/>
    <n v="33.799999999999997"/>
    <x v="3"/>
    <x v="1"/>
    <s v="Mar"/>
    <n v="6"/>
    <n v="3"/>
    <x v="22"/>
    <x v="0"/>
    <x v="1"/>
  </r>
  <r>
    <x v="4"/>
    <s v="card"/>
    <n v="28.9"/>
    <x v="5"/>
    <x v="1"/>
    <s v="Mar"/>
    <n v="6"/>
    <n v="3"/>
    <x v="22"/>
    <x v="0"/>
    <x v="1"/>
  </r>
  <r>
    <x v="5"/>
    <s v="card"/>
    <n v="38.700000000000003"/>
    <x v="0"/>
    <x v="2"/>
    <s v="Mar"/>
    <n v="7"/>
    <n v="3"/>
    <x v="23"/>
    <x v="0"/>
    <x v="2"/>
  </r>
  <r>
    <x v="0"/>
    <s v="card"/>
    <n v="38.700000000000003"/>
    <x v="0"/>
    <x v="0"/>
    <s v="Mar"/>
    <n v="1"/>
    <n v="3"/>
    <x v="24"/>
    <x v="0"/>
    <x v="3"/>
  </r>
  <r>
    <x v="8"/>
    <s v="card"/>
    <n v="38.700000000000003"/>
    <x v="0"/>
    <x v="1"/>
    <s v="Mar"/>
    <n v="1"/>
    <n v="3"/>
    <x v="24"/>
    <x v="0"/>
    <x v="3"/>
  </r>
  <r>
    <x v="8"/>
    <s v="card"/>
    <n v="38.700000000000003"/>
    <x v="0"/>
    <x v="1"/>
    <s v="Mar"/>
    <n v="1"/>
    <n v="3"/>
    <x v="24"/>
    <x v="0"/>
    <x v="3"/>
  </r>
  <r>
    <x v="5"/>
    <s v="card"/>
    <n v="33.799999999999997"/>
    <x v="3"/>
    <x v="2"/>
    <s v="Mar"/>
    <n v="1"/>
    <n v="3"/>
    <x v="24"/>
    <x v="0"/>
    <x v="3"/>
  </r>
  <r>
    <x v="6"/>
    <s v="card"/>
    <n v="38.700000000000003"/>
    <x v="7"/>
    <x v="2"/>
    <s v="Mar"/>
    <n v="1"/>
    <n v="3"/>
    <x v="24"/>
    <x v="0"/>
    <x v="3"/>
  </r>
  <r>
    <x v="0"/>
    <s v="card"/>
    <n v="38.700000000000003"/>
    <x v="4"/>
    <x v="0"/>
    <s v="Mar"/>
    <n v="2"/>
    <n v="3"/>
    <x v="25"/>
    <x v="0"/>
    <x v="4"/>
  </r>
  <r>
    <x v="0"/>
    <s v="card"/>
    <n v="38.700000000000003"/>
    <x v="0"/>
    <x v="0"/>
    <s v="Mar"/>
    <n v="2"/>
    <n v="3"/>
    <x v="25"/>
    <x v="0"/>
    <x v="4"/>
  </r>
  <r>
    <x v="0"/>
    <s v="card"/>
    <n v="38.700000000000003"/>
    <x v="0"/>
    <x v="0"/>
    <s v="Mar"/>
    <n v="2"/>
    <n v="3"/>
    <x v="25"/>
    <x v="0"/>
    <x v="4"/>
  </r>
  <r>
    <x v="7"/>
    <s v="card"/>
    <n v="28.9"/>
    <x v="5"/>
    <x v="0"/>
    <s v="Mar"/>
    <n v="2"/>
    <n v="3"/>
    <x v="25"/>
    <x v="0"/>
    <x v="4"/>
  </r>
  <r>
    <x v="2"/>
    <s v="card"/>
    <n v="28.9"/>
    <x v="2"/>
    <x v="1"/>
    <s v="Mar"/>
    <n v="2"/>
    <n v="3"/>
    <x v="25"/>
    <x v="0"/>
    <x v="4"/>
  </r>
  <r>
    <x v="2"/>
    <s v="card"/>
    <n v="28.9"/>
    <x v="5"/>
    <x v="1"/>
    <s v="Mar"/>
    <n v="2"/>
    <n v="3"/>
    <x v="25"/>
    <x v="0"/>
    <x v="4"/>
  </r>
  <r>
    <x v="2"/>
    <s v="card"/>
    <n v="28.9"/>
    <x v="5"/>
    <x v="1"/>
    <s v="Mar"/>
    <n v="2"/>
    <n v="3"/>
    <x v="25"/>
    <x v="0"/>
    <x v="4"/>
  </r>
  <r>
    <x v="2"/>
    <s v="card"/>
    <n v="28.9"/>
    <x v="2"/>
    <x v="1"/>
    <s v="Mar"/>
    <n v="2"/>
    <n v="3"/>
    <x v="25"/>
    <x v="0"/>
    <x v="4"/>
  </r>
  <r>
    <x v="3"/>
    <s v="card"/>
    <n v="38.700000000000003"/>
    <x v="0"/>
    <x v="1"/>
    <s v="Mar"/>
    <n v="2"/>
    <n v="3"/>
    <x v="25"/>
    <x v="0"/>
    <x v="4"/>
  </r>
  <r>
    <x v="5"/>
    <s v="card"/>
    <n v="38.700000000000003"/>
    <x v="0"/>
    <x v="2"/>
    <s v="Mar"/>
    <n v="2"/>
    <n v="3"/>
    <x v="25"/>
    <x v="0"/>
    <x v="4"/>
  </r>
  <r>
    <x v="5"/>
    <s v="card"/>
    <n v="38.700000000000003"/>
    <x v="1"/>
    <x v="2"/>
    <s v="Mar"/>
    <n v="2"/>
    <n v="3"/>
    <x v="25"/>
    <x v="0"/>
    <x v="4"/>
  </r>
  <r>
    <x v="7"/>
    <s v="card"/>
    <n v="28.9"/>
    <x v="5"/>
    <x v="0"/>
    <s v="Mar"/>
    <n v="3"/>
    <n v="3"/>
    <x v="26"/>
    <x v="0"/>
    <x v="5"/>
  </r>
  <r>
    <x v="7"/>
    <s v="card"/>
    <n v="33.799999999999997"/>
    <x v="3"/>
    <x v="0"/>
    <s v="Mar"/>
    <n v="3"/>
    <n v="3"/>
    <x v="26"/>
    <x v="0"/>
    <x v="5"/>
  </r>
  <r>
    <x v="1"/>
    <s v="card"/>
    <n v="33.799999999999997"/>
    <x v="3"/>
    <x v="1"/>
    <s v="Mar"/>
    <n v="3"/>
    <n v="3"/>
    <x v="26"/>
    <x v="0"/>
    <x v="5"/>
  </r>
  <r>
    <x v="2"/>
    <s v="card"/>
    <n v="38.700000000000003"/>
    <x v="1"/>
    <x v="1"/>
    <s v="Mar"/>
    <n v="3"/>
    <n v="3"/>
    <x v="26"/>
    <x v="0"/>
    <x v="5"/>
  </r>
  <r>
    <x v="8"/>
    <s v="card"/>
    <n v="38.700000000000003"/>
    <x v="7"/>
    <x v="1"/>
    <s v="Mar"/>
    <n v="3"/>
    <n v="3"/>
    <x v="26"/>
    <x v="0"/>
    <x v="5"/>
  </r>
  <r>
    <x v="8"/>
    <s v="card"/>
    <n v="28.9"/>
    <x v="2"/>
    <x v="1"/>
    <s v="Mar"/>
    <n v="3"/>
    <n v="3"/>
    <x v="26"/>
    <x v="0"/>
    <x v="5"/>
  </r>
  <r>
    <x v="5"/>
    <s v="card"/>
    <n v="28.9"/>
    <x v="5"/>
    <x v="2"/>
    <s v="Mar"/>
    <n v="3"/>
    <n v="3"/>
    <x v="26"/>
    <x v="0"/>
    <x v="5"/>
  </r>
  <r>
    <x v="8"/>
    <s v="card"/>
    <n v="28.9"/>
    <x v="5"/>
    <x v="1"/>
    <s v="Mar"/>
    <n v="4"/>
    <n v="3"/>
    <x v="27"/>
    <x v="0"/>
    <x v="6"/>
  </r>
  <r>
    <x v="9"/>
    <s v="card"/>
    <n v="28.9"/>
    <x v="5"/>
    <x v="2"/>
    <s v="Mar"/>
    <n v="4"/>
    <n v="3"/>
    <x v="27"/>
    <x v="0"/>
    <x v="6"/>
  </r>
  <r>
    <x v="9"/>
    <s v="card"/>
    <n v="28.9"/>
    <x v="2"/>
    <x v="2"/>
    <s v="Mar"/>
    <n v="4"/>
    <n v="3"/>
    <x v="27"/>
    <x v="0"/>
    <x v="6"/>
  </r>
  <r>
    <x v="9"/>
    <s v="card"/>
    <n v="38.700000000000003"/>
    <x v="0"/>
    <x v="2"/>
    <s v="Mar"/>
    <n v="4"/>
    <n v="3"/>
    <x v="27"/>
    <x v="0"/>
    <x v="6"/>
  </r>
  <r>
    <x v="0"/>
    <s v="card"/>
    <n v="38.700000000000003"/>
    <x v="0"/>
    <x v="0"/>
    <s v="Mar"/>
    <n v="5"/>
    <n v="3"/>
    <x v="28"/>
    <x v="0"/>
    <x v="0"/>
  </r>
  <r>
    <x v="1"/>
    <s v="card"/>
    <n v="38.700000000000003"/>
    <x v="7"/>
    <x v="1"/>
    <s v="Mar"/>
    <n v="5"/>
    <n v="3"/>
    <x v="28"/>
    <x v="0"/>
    <x v="0"/>
  </r>
  <r>
    <x v="1"/>
    <s v="card"/>
    <n v="38.700000000000003"/>
    <x v="7"/>
    <x v="1"/>
    <s v="Mar"/>
    <n v="5"/>
    <n v="3"/>
    <x v="28"/>
    <x v="0"/>
    <x v="0"/>
  </r>
  <r>
    <x v="7"/>
    <s v="card"/>
    <n v="38.700000000000003"/>
    <x v="0"/>
    <x v="0"/>
    <s v="Mar"/>
    <n v="6"/>
    <n v="3"/>
    <x v="29"/>
    <x v="0"/>
    <x v="1"/>
  </r>
  <r>
    <x v="4"/>
    <s v="card"/>
    <n v="38.700000000000003"/>
    <x v="0"/>
    <x v="1"/>
    <s v="Mar"/>
    <n v="6"/>
    <n v="3"/>
    <x v="29"/>
    <x v="0"/>
    <x v="1"/>
  </r>
  <r>
    <x v="4"/>
    <s v="card"/>
    <n v="38.700000000000003"/>
    <x v="0"/>
    <x v="1"/>
    <s v="Mar"/>
    <n v="6"/>
    <n v="3"/>
    <x v="29"/>
    <x v="0"/>
    <x v="1"/>
  </r>
  <r>
    <x v="4"/>
    <s v="card"/>
    <n v="33.799999999999997"/>
    <x v="3"/>
    <x v="1"/>
    <s v="Mar"/>
    <n v="6"/>
    <n v="3"/>
    <x v="29"/>
    <x v="0"/>
    <x v="1"/>
  </r>
  <r>
    <x v="0"/>
    <s v="card"/>
    <n v="38.700000000000003"/>
    <x v="7"/>
    <x v="0"/>
    <s v="Mar"/>
    <n v="7"/>
    <n v="3"/>
    <x v="30"/>
    <x v="0"/>
    <x v="2"/>
  </r>
  <r>
    <x v="0"/>
    <s v="card"/>
    <n v="28.9"/>
    <x v="2"/>
    <x v="0"/>
    <s v="Apr"/>
    <n v="1"/>
    <n v="4"/>
    <x v="31"/>
    <x v="1"/>
    <x v="3"/>
  </r>
  <r>
    <x v="0"/>
    <s v="card"/>
    <n v="33.799999999999997"/>
    <x v="3"/>
    <x v="0"/>
    <s v="Apr"/>
    <n v="1"/>
    <n v="4"/>
    <x v="31"/>
    <x v="1"/>
    <x v="3"/>
  </r>
  <r>
    <x v="0"/>
    <s v="card"/>
    <n v="33.799999999999997"/>
    <x v="3"/>
    <x v="0"/>
    <s v="Apr"/>
    <n v="1"/>
    <n v="4"/>
    <x v="31"/>
    <x v="1"/>
    <x v="3"/>
  </r>
  <r>
    <x v="7"/>
    <s v="card"/>
    <n v="33.799999999999997"/>
    <x v="3"/>
    <x v="0"/>
    <s v="Apr"/>
    <n v="1"/>
    <n v="4"/>
    <x v="31"/>
    <x v="1"/>
    <x v="3"/>
  </r>
  <r>
    <x v="5"/>
    <s v="card"/>
    <n v="33.799999999999997"/>
    <x v="3"/>
    <x v="2"/>
    <s v="Apr"/>
    <n v="1"/>
    <n v="4"/>
    <x v="31"/>
    <x v="1"/>
    <x v="3"/>
  </r>
  <r>
    <x v="5"/>
    <s v="card"/>
    <n v="38.700000000000003"/>
    <x v="1"/>
    <x v="2"/>
    <s v="Apr"/>
    <n v="1"/>
    <n v="4"/>
    <x v="31"/>
    <x v="1"/>
    <x v="3"/>
  </r>
  <r>
    <x v="0"/>
    <s v="card"/>
    <n v="38.700000000000003"/>
    <x v="0"/>
    <x v="0"/>
    <s v="Apr"/>
    <n v="2"/>
    <n v="4"/>
    <x v="32"/>
    <x v="1"/>
    <x v="4"/>
  </r>
  <r>
    <x v="4"/>
    <s v="card"/>
    <n v="28.9"/>
    <x v="2"/>
    <x v="1"/>
    <s v="Apr"/>
    <n v="2"/>
    <n v="4"/>
    <x v="32"/>
    <x v="1"/>
    <x v="4"/>
  </r>
  <r>
    <x v="4"/>
    <s v="card"/>
    <n v="28.9"/>
    <x v="5"/>
    <x v="1"/>
    <s v="Apr"/>
    <n v="2"/>
    <n v="4"/>
    <x v="32"/>
    <x v="1"/>
    <x v="4"/>
  </r>
  <r>
    <x v="0"/>
    <s v="card"/>
    <n v="28.9"/>
    <x v="5"/>
    <x v="0"/>
    <s v="Apr"/>
    <n v="3"/>
    <n v="4"/>
    <x v="33"/>
    <x v="1"/>
    <x v="5"/>
  </r>
  <r>
    <x v="0"/>
    <s v="card"/>
    <n v="28.9"/>
    <x v="2"/>
    <x v="0"/>
    <s v="Apr"/>
    <n v="3"/>
    <n v="4"/>
    <x v="33"/>
    <x v="1"/>
    <x v="5"/>
  </r>
  <r>
    <x v="2"/>
    <s v="card"/>
    <n v="38.700000000000003"/>
    <x v="7"/>
    <x v="1"/>
    <s v="Apr"/>
    <n v="3"/>
    <n v="4"/>
    <x v="33"/>
    <x v="1"/>
    <x v="5"/>
  </r>
  <r>
    <x v="0"/>
    <s v="card"/>
    <n v="38.700000000000003"/>
    <x v="0"/>
    <x v="0"/>
    <s v="Apr"/>
    <n v="4"/>
    <n v="4"/>
    <x v="34"/>
    <x v="1"/>
    <x v="6"/>
  </r>
  <r>
    <x v="7"/>
    <s v="card"/>
    <n v="38.700000000000003"/>
    <x v="0"/>
    <x v="0"/>
    <s v="Apr"/>
    <n v="4"/>
    <n v="4"/>
    <x v="34"/>
    <x v="1"/>
    <x v="6"/>
  </r>
  <r>
    <x v="7"/>
    <s v="card"/>
    <n v="38.700000000000003"/>
    <x v="7"/>
    <x v="0"/>
    <s v="Apr"/>
    <n v="4"/>
    <n v="4"/>
    <x v="34"/>
    <x v="1"/>
    <x v="6"/>
  </r>
  <r>
    <x v="1"/>
    <s v="card"/>
    <n v="28.9"/>
    <x v="5"/>
    <x v="1"/>
    <s v="Apr"/>
    <n v="4"/>
    <n v="4"/>
    <x v="34"/>
    <x v="1"/>
    <x v="6"/>
  </r>
  <r>
    <x v="0"/>
    <s v="card"/>
    <n v="28.9"/>
    <x v="2"/>
    <x v="0"/>
    <s v="Apr"/>
    <n v="5"/>
    <n v="4"/>
    <x v="35"/>
    <x v="1"/>
    <x v="0"/>
  </r>
  <r>
    <x v="0"/>
    <s v="card"/>
    <n v="28.9"/>
    <x v="2"/>
    <x v="0"/>
    <s v="Apr"/>
    <n v="5"/>
    <n v="4"/>
    <x v="35"/>
    <x v="1"/>
    <x v="0"/>
  </r>
  <r>
    <x v="7"/>
    <s v="card"/>
    <n v="28.9"/>
    <x v="5"/>
    <x v="0"/>
    <s v="Apr"/>
    <n v="5"/>
    <n v="4"/>
    <x v="35"/>
    <x v="1"/>
    <x v="0"/>
  </r>
  <r>
    <x v="1"/>
    <s v="card"/>
    <n v="33.799999999999997"/>
    <x v="3"/>
    <x v="1"/>
    <s v="Apr"/>
    <n v="5"/>
    <n v="4"/>
    <x v="35"/>
    <x v="1"/>
    <x v="0"/>
  </r>
  <r>
    <x v="8"/>
    <s v="card"/>
    <n v="38.700000000000003"/>
    <x v="0"/>
    <x v="1"/>
    <s v="Apr"/>
    <n v="5"/>
    <n v="4"/>
    <x v="35"/>
    <x v="1"/>
    <x v="0"/>
  </r>
  <r>
    <x v="8"/>
    <s v="card"/>
    <n v="28.9"/>
    <x v="5"/>
    <x v="1"/>
    <s v="Apr"/>
    <n v="5"/>
    <n v="4"/>
    <x v="35"/>
    <x v="1"/>
    <x v="0"/>
  </r>
  <r>
    <x v="4"/>
    <s v="card"/>
    <n v="24"/>
    <x v="6"/>
    <x v="1"/>
    <s v="Apr"/>
    <n v="5"/>
    <n v="4"/>
    <x v="35"/>
    <x v="1"/>
    <x v="0"/>
  </r>
  <r>
    <x v="1"/>
    <s v="card"/>
    <n v="33.799999999999997"/>
    <x v="3"/>
    <x v="1"/>
    <s v="Apr"/>
    <n v="6"/>
    <n v="4"/>
    <x v="36"/>
    <x v="1"/>
    <x v="1"/>
  </r>
  <r>
    <x v="8"/>
    <s v="card"/>
    <n v="38.700000000000003"/>
    <x v="7"/>
    <x v="1"/>
    <s v="Apr"/>
    <n v="6"/>
    <n v="4"/>
    <x v="36"/>
    <x v="1"/>
    <x v="1"/>
  </r>
  <r>
    <x v="8"/>
    <s v="card"/>
    <n v="28.9"/>
    <x v="2"/>
    <x v="1"/>
    <s v="Apr"/>
    <n v="6"/>
    <n v="4"/>
    <x v="36"/>
    <x v="1"/>
    <x v="1"/>
  </r>
  <r>
    <x v="8"/>
    <s v="card"/>
    <n v="38.700000000000003"/>
    <x v="0"/>
    <x v="1"/>
    <s v="Apr"/>
    <n v="6"/>
    <n v="4"/>
    <x v="36"/>
    <x v="1"/>
    <x v="1"/>
  </r>
  <r>
    <x v="0"/>
    <s v="card"/>
    <n v="38.700000000000003"/>
    <x v="0"/>
    <x v="0"/>
    <s v="Apr"/>
    <n v="7"/>
    <n v="4"/>
    <x v="37"/>
    <x v="1"/>
    <x v="2"/>
  </r>
  <r>
    <x v="1"/>
    <s v="card"/>
    <n v="38.700000000000003"/>
    <x v="7"/>
    <x v="1"/>
    <s v="Apr"/>
    <n v="7"/>
    <n v="4"/>
    <x v="37"/>
    <x v="1"/>
    <x v="2"/>
  </r>
  <r>
    <x v="1"/>
    <s v="card"/>
    <n v="38.700000000000003"/>
    <x v="7"/>
    <x v="1"/>
    <s v="Apr"/>
    <n v="7"/>
    <n v="4"/>
    <x v="37"/>
    <x v="1"/>
    <x v="2"/>
  </r>
  <r>
    <x v="8"/>
    <s v="card"/>
    <n v="28.9"/>
    <x v="5"/>
    <x v="1"/>
    <s v="Apr"/>
    <n v="7"/>
    <n v="4"/>
    <x v="37"/>
    <x v="1"/>
    <x v="2"/>
  </r>
  <r>
    <x v="8"/>
    <s v="card"/>
    <n v="24"/>
    <x v="6"/>
    <x v="1"/>
    <s v="Apr"/>
    <n v="7"/>
    <n v="4"/>
    <x v="37"/>
    <x v="1"/>
    <x v="2"/>
  </r>
  <r>
    <x v="5"/>
    <s v="card"/>
    <n v="38.700000000000003"/>
    <x v="1"/>
    <x v="2"/>
    <s v="Apr"/>
    <n v="7"/>
    <n v="4"/>
    <x v="37"/>
    <x v="1"/>
    <x v="2"/>
  </r>
  <r>
    <x v="5"/>
    <s v="card"/>
    <n v="33.799999999999997"/>
    <x v="3"/>
    <x v="2"/>
    <s v="Apr"/>
    <n v="7"/>
    <n v="4"/>
    <x v="37"/>
    <x v="1"/>
    <x v="2"/>
  </r>
  <r>
    <x v="0"/>
    <s v="card"/>
    <n v="33.799999999999997"/>
    <x v="3"/>
    <x v="0"/>
    <s v="Apr"/>
    <n v="1"/>
    <n v="4"/>
    <x v="38"/>
    <x v="1"/>
    <x v="3"/>
  </r>
  <r>
    <x v="0"/>
    <s v="card"/>
    <n v="38.700000000000003"/>
    <x v="7"/>
    <x v="0"/>
    <s v="Apr"/>
    <n v="1"/>
    <n v="4"/>
    <x v="38"/>
    <x v="1"/>
    <x v="3"/>
  </r>
  <r>
    <x v="7"/>
    <s v="card"/>
    <n v="28.9"/>
    <x v="2"/>
    <x v="0"/>
    <s v="Apr"/>
    <n v="1"/>
    <n v="4"/>
    <x v="38"/>
    <x v="1"/>
    <x v="3"/>
  </r>
  <r>
    <x v="7"/>
    <s v="card"/>
    <n v="38.700000000000003"/>
    <x v="7"/>
    <x v="0"/>
    <s v="Apr"/>
    <n v="1"/>
    <n v="4"/>
    <x v="38"/>
    <x v="1"/>
    <x v="3"/>
  </r>
  <r>
    <x v="4"/>
    <s v="card"/>
    <n v="38.700000000000003"/>
    <x v="0"/>
    <x v="1"/>
    <s v="Apr"/>
    <n v="1"/>
    <n v="4"/>
    <x v="38"/>
    <x v="1"/>
    <x v="3"/>
  </r>
  <r>
    <x v="5"/>
    <s v="card"/>
    <n v="28.9"/>
    <x v="2"/>
    <x v="2"/>
    <s v="Apr"/>
    <n v="1"/>
    <n v="4"/>
    <x v="38"/>
    <x v="1"/>
    <x v="3"/>
  </r>
  <r>
    <x v="6"/>
    <s v="card"/>
    <n v="33.799999999999997"/>
    <x v="3"/>
    <x v="2"/>
    <s v="Apr"/>
    <n v="1"/>
    <n v="4"/>
    <x v="38"/>
    <x v="1"/>
    <x v="3"/>
  </r>
  <r>
    <x v="6"/>
    <s v="card"/>
    <n v="38.700000000000003"/>
    <x v="7"/>
    <x v="2"/>
    <s v="Apr"/>
    <n v="1"/>
    <n v="4"/>
    <x v="38"/>
    <x v="1"/>
    <x v="3"/>
  </r>
  <r>
    <x v="7"/>
    <s v="card"/>
    <n v="38.700000000000003"/>
    <x v="0"/>
    <x v="0"/>
    <s v="Apr"/>
    <n v="2"/>
    <n v="4"/>
    <x v="39"/>
    <x v="1"/>
    <x v="4"/>
  </r>
  <r>
    <x v="3"/>
    <s v="card"/>
    <n v="38.700000000000003"/>
    <x v="1"/>
    <x v="1"/>
    <s v="Apr"/>
    <n v="2"/>
    <n v="4"/>
    <x v="39"/>
    <x v="1"/>
    <x v="4"/>
  </r>
  <r>
    <x v="9"/>
    <s v="card"/>
    <n v="38.700000000000003"/>
    <x v="1"/>
    <x v="2"/>
    <s v="Apr"/>
    <n v="2"/>
    <n v="4"/>
    <x v="39"/>
    <x v="1"/>
    <x v="4"/>
  </r>
  <r>
    <x v="9"/>
    <s v="card"/>
    <n v="24"/>
    <x v="6"/>
    <x v="2"/>
    <s v="Apr"/>
    <n v="3"/>
    <n v="4"/>
    <x v="40"/>
    <x v="1"/>
    <x v="5"/>
  </r>
  <r>
    <x v="5"/>
    <s v="card"/>
    <n v="38.700000000000003"/>
    <x v="7"/>
    <x v="2"/>
    <s v="Apr"/>
    <n v="3"/>
    <n v="4"/>
    <x v="40"/>
    <x v="1"/>
    <x v="5"/>
  </r>
  <r>
    <x v="11"/>
    <s v="card"/>
    <n v="38.700000000000003"/>
    <x v="0"/>
    <x v="2"/>
    <s v="Apr"/>
    <n v="3"/>
    <n v="4"/>
    <x v="40"/>
    <x v="1"/>
    <x v="5"/>
  </r>
  <r>
    <x v="0"/>
    <s v="card"/>
    <n v="28.9"/>
    <x v="2"/>
    <x v="0"/>
    <s v="Apr"/>
    <n v="4"/>
    <n v="4"/>
    <x v="41"/>
    <x v="1"/>
    <x v="6"/>
  </r>
  <r>
    <x v="0"/>
    <s v="card"/>
    <n v="28.9"/>
    <x v="2"/>
    <x v="0"/>
    <s v="Apr"/>
    <n v="4"/>
    <n v="4"/>
    <x v="41"/>
    <x v="1"/>
    <x v="6"/>
  </r>
  <r>
    <x v="4"/>
    <s v="card"/>
    <n v="38.700000000000003"/>
    <x v="0"/>
    <x v="1"/>
    <s v="Apr"/>
    <n v="4"/>
    <n v="4"/>
    <x v="41"/>
    <x v="1"/>
    <x v="6"/>
  </r>
  <r>
    <x v="6"/>
    <s v="card"/>
    <n v="38.700000000000003"/>
    <x v="7"/>
    <x v="2"/>
    <s v="Apr"/>
    <n v="4"/>
    <n v="4"/>
    <x v="41"/>
    <x v="1"/>
    <x v="6"/>
  </r>
  <r>
    <x v="6"/>
    <s v="card"/>
    <n v="33.799999999999997"/>
    <x v="3"/>
    <x v="2"/>
    <s v="Apr"/>
    <n v="4"/>
    <n v="4"/>
    <x v="41"/>
    <x v="1"/>
    <x v="6"/>
  </r>
  <r>
    <x v="6"/>
    <s v="card"/>
    <n v="38.700000000000003"/>
    <x v="1"/>
    <x v="2"/>
    <s v="Apr"/>
    <n v="5"/>
    <n v="4"/>
    <x v="42"/>
    <x v="1"/>
    <x v="0"/>
  </r>
  <r>
    <x v="6"/>
    <s v="card"/>
    <n v="28.9"/>
    <x v="5"/>
    <x v="2"/>
    <s v="Apr"/>
    <n v="5"/>
    <n v="4"/>
    <x v="42"/>
    <x v="1"/>
    <x v="0"/>
  </r>
  <r>
    <x v="1"/>
    <s v="card"/>
    <n v="38.700000000000003"/>
    <x v="0"/>
    <x v="1"/>
    <s v="Apr"/>
    <n v="6"/>
    <n v="4"/>
    <x v="43"/>
    <x v="1"/>
    <x v="1"/>
  </r>
  <r>
    <x v="1"/>
    <s v="card"/>
    <n v="28.9"/>
    <x v="2"/>
    <x v="1"/>
    <s v="Apr"/>
    <n v="6"/>
    <n v="4"/>
    <x v="43"/>
    <x v="1"/>
    <x v="1"/>
  </r>
  <r>
    <x v="4"/>
    <s v="card"/>
    <n v="38.700000000000003"/>
    <x v="7"/>
    <x v="1"/>
    <s v="Apr"/>
    <n v="6"/>
    <n v="4"/>
    <x v="43"/>
    <x v="1"/>
    <x v="1"/>
  </r>
  <r>
    <x v="4"/>
    <s v="card"/>
    <n v="38.700000000000003"/>
    <x v="0"/>
    <x v="1"/>
    <s v="Apr"/>
    <n v="6"/>
    <n v="4"/>
    <x v="43"/>
    <x v="1"/>
    <x v="1"/>
  </r>
  <r>
    <x v="9"/>
    <s v="card"/>
    <n v="38.700000000000003"/>
    <x v="7"/>
    <x v="2"/>
    <s v="Apr"/>
    <n v="6"/>
    <n v="4"/>
    <x v="43"/>
    <x v="1"/>
    <x v="1"/>
  </r>
  <r>
    <x v="9"/>
    <s v="card"/>
    <n v="38.700000000000003"/>
    <x v="7"/>
    <x v="2"/>
    <s v="Apr"/>
    <n v="6"/>
    <n v="4"/>
    <x v="43"/>
    <x v="1"/>
    <x v="1"/>
  </r>
  <r>
    <x v="1"/>
    <s v="card"/>
    <n v="38.700000000000003"/>
    <x v="7"/>
    <x v="1"/>
    <s v="Apr"/>
    <n v="7"/>
    <n v="4"/>
    <x v="44"/>
    <x v="1"/>
    <x v="2"/>
  </r>
  <r>
    <x v="2"/>
    <s v="card"/>
    <n v="28.9"/>
    <x v="5"/>
    <x v="1"/>
    <s v="Apr"/>
    <n v="7"/>
    <n v="4"/>
    <x v="44"/>
    <x v="1"/>
    <x v="2"/>
  </r>
  <r>
    <x v="8"/>
    <s v="card"/>
    <n v="28.9"/>
    <x v="2"/>
    <x v="1"/>
    <s v="Apr"/>
    <n v="7"/>
    <n v="4"/>
    <x v="44"/>
    <x v="1"/>
    <x v="2"/>
  </r>
  <r>
    <x v="8"/>
    <s v="card"/>
    <n v="28.9"/>
    <x v="2"/>
    <x v="1"/>
    <s v="Apr"/>
    <n v="7"/>
    <n v="4"/>
    <x v="44"/>
    <x v="1"/>
    <x v="2"/>
  </r>
  <r>
    <x v="8"/>
    <s v="card"/>
    <n v="28.9"/>
    <x v="2"/>
    <x v="1"/>
    <s v="Apr"/>
    <n v="7"/>
    <n v="4"/>
    <x v="44"/>
    <x v="1"/>
    <x v="2"/>
  </r>
  <r>
    <x v="3"/>
    <s v="card"/>
    <n v="38.700000000000003"/>
    <x v="7"/>
    <x v="1"/>
    <s v="Apr"/>
    <n v="7"/>
    <n v="4"/>
    <x v="44"/>
    <x v="1"/>
    <x v="2"/>
  </r>
  <r>
    <x v="4"/>
    <s v="card"/>
    <n v="28.9"/>
    <x v="5"/>
    <x v="1"/>
    <s v="Apr"/>
    <n v="7"/>
    <n v="4"/>
    <x v="44"/>
    <x v="1"/>
    <x v="2"/>
  </r>
  <r>
    <x v="9"/>
    <s v="card"/>
    <n v="38.700000000000003"/>
    <x v="0"/>
    <x v="2"/>
    <s v="Apr"/>
    <n v="7"/>
    <n v="4"/>
    <x v="44"/>
    <x v="1"/>
    <x v="2"/>
  </r>
  <r>
    <x v="5"/>
    <s v="card"/>
    <n v="38.700000000000003"/>
    <x v="7"/>
    <x v="2"/>
    <s v="Apr"/>
    <n v="7"/>
    <n v="4"/>
    <x v="44"/>
    <x v="1"/>
    <x v="2"/>
  </r>
  <r>
    <x v="7"/>
    <s v="card"/>
    <n v="28.9"/>
    <x v="2"/>
    <x v="0"/>
    <s v="Apr"/>
    <n v="1"/>
    <n v="4"/>
    <x v="45"/>
    <x v="1"/>
    <x v="3"/>
  </r>
  <r>
    <x v="9"/>
    <s v="card"/>
    <n v="28.9"/>
    <x v="2"/>
    <x v="2"/>
    <s v="Apr"/>
    <n v="1"/>
    <n v="4"/>
    <x v="45"/>
    <x v="1"/>
    <x v="3"/>
  </r>
  <r>
    <x v="9"/>
    <s v="card"/>
    <n v="33.799999999999997"/>
    <x v="3"/>
    <x v="2"/>
    <s v="Apr"/>
    <n v="1"/>
    <n v="4"/>
    <x v="45"/>
    <x v="1"/>
    <x v="3"/>
  </r>
  <r>
    <x v="6"/>
    <s v="card"/>
    <n v="33.799999999999997"/>
    <x v="3"/>
    <x v="2"/>
    <s v="Apr"/>
    <n v="1"/>
    <n v="4"/>
    <x v="45"/>
    <x v="1"/>
    <x v="3"/>
  </r>
  <r>
    <x v="0"/>
    <s v="card"/>
    <n v="33.799999999999997"/>
    <x v="3"/>
    <x v="0"/>
    <s v="Apr"/>
    <n v="2"/>
    <n v="4"/>
    <x v="46"/>
    <x v="1"/>
    <x v="4"/>
  </r>
  <r>
    <x v="1"/>
    <s v="card"/>
    <n v="38.700000000000003"/>
    <x v="4"/>
    <x v="1"/>
    <s v="Apr"/>
    <n v="2"/>
    <n v="4"/>
    <x v="46"/>
    <x v="1"/>
    <x v="4"/>
  </r>
  <r>
    <x v="1"/>
    <s v="card"/>
    <n v="28.9"/>
    <x v="5"/>
    <x v="1"/>
    <s v="Apr"/>
    <n v="2"/>
    <n v="4"/>
    <x v="46"/>
    <x v="1"/>
    <x v="4"/>
  </r>
  <r>
    <x v="3"/>
    <s v="card"/>
    <n v="28.9"/>
    <x v="2"/>
    <x v="1"/>
    <s v="Apr"/>
    <n v="2"/>
    <n v="4"/>
    <x v="46"/>
    <x v="1"/>
    <x v="4"/>
  </r>
  <r>
    <x v="9"/>
    <s v="card"/>
    <n v="33.799999999999997"/>
    <x v="3"/>
    <x v="2"/>
    <s v="Apr"/>
    <n v="2"/>
    <n v="4"/>
    <x v="46"/>
    <x v="1"/>
    <x v="4"/>
  </r>
  <r>
    <x v="9"/>
    <s v="card"/>
    <n v="38.700000000000003"/>
    <x v="7"/>
    <x v="2"/>
    <s v="Apr"/>
    <n v="2"/>
    <n v="4"/>
    <x v="46"/>
    <x v="1"/>
    <x v="4"/>
  </r>
  <r>
    <x v="5"/>
    <s v="card"/>
    <n v="38.700000000000003"/>
    <x v="4"/>
    <x v="2"/>
    <s v="Apr"/>
    <n v="2"/>
    <n v="4"/>
    <x v="46"/>
    <x v="1"/>
    <x v="4"/>
  </r>
  <r>
    <x v="2"/>
    <s v="card"/>
    <n v="28.9"/>
    <x v="2"/>
    <x v="1"/>
    <s v="Apr"/>
    <n v="3"/>
    <n v="4"/>
    <x v="47"/>
    <x v="1"/>
    <x v="5"/>
  </r>
  <r>
    <x v="2"/>
    <s v="card"/>
    <n v="24"/>
    <x v="6"/>
    <x v="1"/>
    <s v="Apr"/>
    <n v="3"/>
    <n v="4"/>
    <x v="47"/>
    <x v="1"/>
    <x v="5"/>
  </r>
  <r>
    <x v="9"/>
    <s v="card"/>
    <n v="38.700000000000003"/>
    <x v="7"/>
    <x v="2"/>
    <s v="Apr"/>
    <n v="3"/>
    <n v="4"/>
    <x v="47"/>
    <x v="1"/>
    <x v="5"/>
  </r>
  <r>
    <x v="9"/>
    <s v="card"/>
    <n v="38.700000000000003"/>
    <x v="7"/>
    <x v="2"/>
    <s v="Apr"/>
    <n v="3"/>
    <n v="4"/>
    <x v="47"/>
    <x v="1"/>
    <x v="5"/>
  </r>
  <r>
    <x v="5"/>
    <s v="card"/>
    <n v="28.9"/>
    <x v="5"/>
    <x v="2"/>
    <s v="Apr"/>
    <n v="3"/>
    <n v="4"/>
    <x v="47"/>
    <x v="1"/>
    <x v="5"/>
  </r>
  <r>
    <x v="7"/>
    <s v="card"/>
    <n v="28.9"/>
    <x v="2"/>
    <x v="0"/>
    <s v="Apr"/>
    <n v="4"/>
    <n v="4"/>
    <x v="48"/>
    <x v="1"/>
    <x v="6"/>
  </r>
  <r>
    <x v="7"/>
    <s v="card"/>
    <n v="28.9"/>
    <x v="2"/>
    <x v="0"/>
    <s v="Apr"/>
    <n v="4"/>
    <n v="4"/>
    <x v="48"/>
    <x v="1"/>
    <x v="6"/>
  </r>
  <r>
    <x v="2"/>
    <s v="card"/>
    <n v="33.799999999999997"/>
    <x v="3"/>
    <x v="1"/>
    <s v="Apr"/>
    <n v="4"/>
    <n v="4"/>
    <x v="48"/>
    <x v="1"/>
    <x v="6"/>
  </r>
  <r>
    <x v="2"/>
    <s v="card"/>
    <n v="28.9"/>
    <x v="5"/>
    <x v="1"/>
    <s v="Apr"/>
    <n v="4"/>
    <n v="4"/>
    <x v="48"/>
    <x v="1"/>
    <x v="6"/>
  </r>
  <r>
    <x v="8"/>
    <s v="card"/>
    <n v="38.700000000000003"/>
    <x v="7"/>
    <x v="1"/>
    <s v="Apr"/>
    <n v="4"/>
    <n v="4"/>
    <x v="48"/>
    <x v="1"/>
    <x v="6"/>
  </r>
  <r>
    <x v="8"/>
    <s v="card"/>
    <n v="38.700000000000003"/>
    <x v="0"/>
    <x v="1"/>
    <s v="Apr"/>
    <n v="4"/>
    <n v="4"/>
    <x v="48"/>
    <x v="1"/>
    <x v="6"/>
  </r>
  <r>
    <x v="9"/>
    <s v="card"/>
    <n v="38.700000000000003"/>
    <x v="0"/>
    <x v="2"/>
    <s v="Apr"/>
    <n v="4"/>
    <n v="4"/>
    <x v="48"/>
    <x v="1"/>
    <x v="6"/>
  </r>
  <r>
    <x v="5"/>
    <s v="card"/>
    <n v="38.700000000000003"/>
    <x v="7"/>
    <x v="2"/>
    <s v="Apr"/>
    <n v="4"/>
    <n v="4"/>
    <x v="48"/>
    <x v="1"/>
    <x v="6"/>
  </r>
  <r>
    <x v="6"/>
    <s v="card"/>
    <n v="38.700000000000003"/>
    <x v="1"/>
    <x v="2"/>
    <s v="Apr"/>
    <n v="4"/>
    <n v="4"/>
    <x v="48"/>
    <x v="1"/>
    <x v="6"/>
  </r>
  <r>
    <x v="6"/>
    <s v="card"/>
    <n v="38.700000000000003"/>
    <x v="1"/>
    <x v="2"/>
    <s v="Apr"/>
    <n v="4"/>
    <n v="4"/>
    <x v="48"/>
    <x v="1"/>
    <x v="6"/>
  </r>
  <r>
    <x v="0"/>
    <s v="card"/>
    <n v="38.700000000000003"/>
    <x v="0"/>
    <x v="0"/>
    <s v="Apr"/>
    <n v="5"/>
    <n v="4"/>
    <x v="49"/>
    <x v="1"/>
    <x v="0"/>
  </r>
  <r>
    <x v="2"/>
    <s v="card"/>
    <n v="33.799999999999997"/>
    <x v="3"/>
    <x v="1"/>
    <s v="Apr"/>
    <n v="5"/>
    <n v="4"/>
    <x v="49"/>
    <x v="1"/>
    <x v="0"/>
  </r>
  <r>
    <x v="2"/>
    <s v="card"/>
    <n v="38.700000000000003"/>
    <x v="7"/>
    <x v="1"/>
    <s v="Apr"/>
    <n v="5"/>
    <n v="4"/>
    <x v="49"/>
    <x v="1"/>
    <x v="0"/>
  </r>
  <r>
    <x v="2"/>
    <s v="card"/>
    <n v="38.700000000000003"/>
    <x v="1"/>
    <x v="1"/>
    <s v="Apr"/>
    <n v="5"/>
    <n v="4"/>
    <x v="49"/>
    <x v="1"/>
    <x v="0"/>
  </r>
  <r>
    <x v="2"/>
    <s v="card"/>
    <n v="38.700000000000003"/>
    <x v="7"/>
    <x v="1"/>
    <s v="Apr"/>
    <n v="5"/>
    <n v="4"/>
    <x v="49"/>
    <x v="1"/>
    <x v="0"/>
  </r>
  <r>
    <x v="5"/>
    <s v="card"/>
    <n v="38.700000000000003"/>
    <x v="4"/>
    <x v="2"/>
    <s v="Apr"/>
    <n v="5"/>
    <n v="4"/>
    <x v="49"/>
    <x v="1"/>
    <x v="0"/>
  </r>
  <r>
    <x v="5"/>
    <s v="card"/>
    <n v="33.799999999999997"/>
    <x v="3"/>
    <x v="2"/>
    <s v="Apr"/>
    <n v="5"/>
    <n v="4"/>
    <x v="49"/>
    <x v="1"/>
    <x v="0"/>
  </r>
  <r>
    <x v="1"/>
    <s v="card"/>
    <n v="33.799999999999997"/>
    <x v="3"/>
    <x v="1"/>
    <s v="Apr"/>
    <n v="6"/>
    <n v="4"/>
    <x v="50"/>
    <x v="1"/>
    <x v="1"/>
  </r>
  <r>
    <x v="1"/>
    <s v="card"/>
    <n v="33.799999999999997"/>
    <x v="3"/>
    <x v="1"/>
    <s v="Apr"/>
    <n v="6"/>
    <n v="4"/>
    <x v="50"/>
    <x v="1"/>
    <x v="1"/>
  </r>
  <r>
    <x v="2"/>
    <s v="card"/>
    <n v="28.9"/>
    <x v="2"/>
    <x v="1"/>
    <s v="Apr"/>
    <n v="6"/>
    <n v="4"/>
    <x v="50"/>
    <x v="1"/>
    <x v="1"/>
  </r>
  <r>
    <x v="2"/>
    <s v="card"/>
    <n v="33.799999999999997"/>
    <x v="3"/>
    <x v="1"/>
    <s v="Apr"/>
    <n v="6"/>
    <n v="4"/>
    <x v="50"/>
    <x v="1"/>
    <x v="1"/>
  </r>
  <r>
    <x v="2"/>
    <s v="card"/>
    <n v="38.700000000000003"/>
    <x v="1"/>
    <x v="1"/>
    <s v="Apr"/>
    <n v="6"/>
    <n v="4"/>
    <x v="50"/>
    <x v="1"/>
    <x v="1"/>
  </r>
  <r>
    <x v="8"/>
    <s v="card"/>
    <n v="38.700000000000003"/>
    <x v="7"/>
    <x v="1"/>
    <s v="Apr"/>
    <n v="6"/>
    <n v="4"/>
    <x v="50"/>
    <x v="1"/>
    <x v="1"/>
  </r>
  <r>
    <x v="3"/>
    <s v="card"/>
    <n v="33.799999999999997"/>
    <x v="3"/>
    <x v="1"/>
    <s v="Apr"/>
    <n v="6"/>
    <n v="4"/>
    <x v="50"/>
    <x v="1"/>
    <x v="1"/>
  </r>
  <r>
    <x v="3"/>
    <s v="card"/>
    <n v="32.82"/>
    <x v="3"/>
    <x v="1"/>
    <s v="Apr"/>
    <n v="6"/>
    <n v="4"/>
    <x v="50"/>
    <x v="1"/>
    <x v="1"/>
  </r>
  <r>
    <x v="3"/>
    <s v="card"/>
    <n v="32.82"/>
    <x v="3"/>
    <x v="1"/>
    <s v="Apr"/>
    <n v="6"/>
    <n v="4"/>
    <x v="50"/>
    <x v="1"/>
    <x v="1"/>
  </r>
  <r>
    <x v="5"/>
    <s v="card"/>
    <n v="37.72"/>
    <x v="7"/>
    <x v="2"/>
    <s v="Apr"/>
    <n v="6"/>
    <n v="4"/>
    <x v="50"/>
    <x v="1"/>
    <x v="1"/>
  </r>
  <r>
    <x v="5"/>
    <s v="card"/>
    <n v="37.72"/>
    <x v="7"/>
    <x v="2"/>
    <s v="Apr"/>
    <n v="6"/>
    <n v="4"/>
    <x v="50"/>
    <x v="1"/>
    <x v="1"/>
  </r>
  <r>
    <x v="6"/>
    <s v="card"/>
    <n v="37.72"/>
    <x v="0"/>
    <x v="2"/>
    <s v="Apr"/>
    <n v="6"/>
    <n v="4"/>
    <x v="50"/>
    <x v="1"/>
    <x v="1"/>
  </r>
  <r>
    <x v="7"/>
    <s v="card"/>
    <n v="37.72"/>
    <x v="0"/>
    <x v="0"/>
    <s v="Apr"/>
    <n v="7"/>
    <n v="4"/>
    <x v="51"/>
    <x v="1"/>
    <x v="2"/>
  </r>
  <r>
    <x v="8"/>
    <s v="card"/>
    <n v="27.92"/>
    <x v="2"/>
    <x v="1"/>
    <s v="Apr"/>
    <n v="7"/>
    <n v="4"/>
    <x v="51"/>
    <x v="1"/>
    <x v="2"/>
  </r>
  <r>
    <x v="7"/>
    <s v="card"/>
    <n v="27.92"/>
    <x v="2"/>
    <x v="0"/>
    <s v="Apr"/>
    <n v="1"/>
    <n v="4"/>
    <x v="52"/>
    <x v="1"/>
    <x v="3"/>
  </r>
  <r>
    <x v="7"/>
    <s v="card"/>
    <n v="32.82"/>
    <x v="3"/>
    <x v="0"/>
    <s v="Apr"/>
    <n v="1"/>
    <n v="4"/>
    <x v="52"/>
    <x v="1"/>
    <x v="3"/>
  </r>
  <r>
    <x v="6"/>
    <s v="card"/>
    <n v="37.72"/>
    <x v="0"/>
    <x v="2"/>
    <s v="Apr"/>
    <n v="1"/>
    <n v="4"/>
    <x v="52"/>
    <x v="1"/>
    <x v="3"/>
  </r>
  <r>
    <x v="8"/>
    <s v="card"/>
    <n v="37.72"/>
    <x v="7"/>
    <x v="1"/>
    <s v="Apr"/>
    <n v="2"/>
    <n v="4"/>
    <x v="53"/>
    <x v="1"/>
    <x v="4"/>
  </r>
  <r>
    <x v="8"/>
    <s v="card"/>
    <n v="32.82"/>
    <x v="3"/>
    <x v="1"/>
    <s v="Apr"/>
    <n v="2"/>
    <n v="4"/>
    <x v="53"/>
    <x v="1"/>
    <x v="4"/>
  </r>
  <r>
    <x v="8"/>
    <s v="card"/>
    <n v="37.72"/>
    <x v="7"/>
    <x v="1"/>
    <s v="Apr"/>
    <n v="2"/>
    <n v="4"/>
    <x v="53"/>
    <x v="1"/>
    <x v="4"/>
  </r>
  <r>
    <x v="6"/>
    <s v="card"/>
    <n v="32.82"/>
    <x v="3"/>
    <x v="2"/>
    <s v="Apr"/>
    <n v="2"/>
    <n v="4"/>
    <x v="53"/>
    <x v="1"/>
    <x v="4"/>
  </r>
  <r>
    <x v="6"/>
    <s v="card"/>
    <n v="32.82"/>
    <x v="3"/>
    <x v="2"/>
    <s v="Apr"/>
    <n v="2"/>
    <n v="4"/>
    <x v="53"/>
    <x v="1"/>
    <x v="4"/>
  </r>
  <r>
    <x v="0"/>
    <s v="card"/>
    <n v="37.72"/>
    <x v="0"/>
    <x v="0"/>
    <s v="Apr"/>
    <n v="3"/>
    <n v="4"/>
    <x v="54"/>
    <x v="1"/>
    <x v="5"/>
  </r>
  <r>
    <x v="0"/>
    <s v="card"/>
    <n v="32.82"/>
    <x v="3"/>
    <x v="0"/>
    <s v="Apr"/>
    <n v="3"/>
    <n v="4"/>
    <x v="54"/>
    <x v="1"/>
    <x v="5"/>
  </r>
  <r>
    <x v="7"/>
    <s v="card"/>
    <n v="32.82"/>
    <x v="3"/>
    <x v="0"/>
    <s v="Apr"/>
    <n v="3"/>
    <n v="4"/>
    <x v="54"/>
    <x v="1"/>
    <x v="5"/>
  </r>
  <r>
    <x v="7"/>
    <s v="card"/>
    <n v="32.82"/>
    <x v="3"/>
    <x v="0"/>
    <s v="Apr"/>
    <n v="3"/>
    <n v="4"/>
    <x v="54"/>
    <x v="1"/>
    <x v="5"/>
  </r>
  <r>
    <x v="1"/>
    <s v="card"/>
    <n v="32.82"/>
    <x v="3"/>
    <x v="1"/>
    <s v="Apr"/>
    <n v="3"/>
    <n v="4"/>
    <x v="54"/>
    <x v="1"/>
    <x v="5"/>
  </r>
  <r>
    <x v="4"/>
    <s v="card"/>
    <n v="32.82"/>
    <x v="3"/>
    <x v="1"/>
    <s v="Apr"/>
    <n v="3"/>
    <n v="4"/>
    <x v="54"/>
    <x v="1"/>
    <x v="5"/>
  </r>
  <r>
    <x v="6"/>
    <s v="card"/>
    <n v="32.82"/>
    <x v="3"/>
    <x v="2"/>
    <s v="Apr"/>
    <n v="3"/>
    <n v="4"/>
    <x v="54"/>
    <x v="1"/>
    <x v="5"/>
  </r>
  <r>
    <x v="6"/>
    <s v="card"/>
    <n v="37.72"/>
    <x v="7"/>
    <x v="2"/>
    <s v="Apr"/>
    <n v="3"/>
    <n v="4"/>
    <x v="54"/>
    <x v="1"/>
    <x v="5"/>
  </r>
  <r>
    <x v="0"/>
    <s v="card"/>
    <n v="27.92"/>
    <x v="2"/>
    <x v="0"/>
    <s v="Apr"/>
    <n v="4"/>
    <n v="4"/>
    <x v="55"/>
    <x v="1"/>
    <x v="6"/>
  </r>
  <r>
    <x v="3"/>
    <s v="card"/>
    <n v="37.72"/>
    <x v="0"/>
    <x v="1"/>
    <s v="Apr"/>
    <n v="4"/>
    <n v="4"/>
    <x v="55"/>
    <x v="1"/>
    <x v="6"/>
  </r>
  <r>
    <x v="9"/>
    <s v="card"/>
    <n v="27.92"/>
    <x v="2"/>
    <x v="2"/>
    <s v="Apr"/>
    <n v="4"/>
    <n v="4"/>
    <x v="55"/>
    <x v="1"/>
    <x v="6"/>
  </r>
  <r>
    <x v="9"/>
    <s v="card"/>
    <n v="27.92"/>
    <x v="2"/>
    <x v="2"/>
    <s v="Apr"/>
    <n v="4"/>
    <n v="4"/>
    <x v="55"/>
    <x v="1"/>
    <x v="6"/>
  </r>
  <r>
    <x v="0"/>
    <s v="card"/>
    <n v="37.72"/>
    <x v="0"/>
    <x v="0"/>
    <s v="Apr"/>
    <n v="5"/>
    <n v="4"/>
    <x v="56"/>
    <x v="1"/>
    <x v="0"/>
  </r>
  <r>
    <x v="1"/>
    <s v="card"/>
    <n v="37.72"/>
    <x v="0"/>
    <x v="1"/>
    <s v="Apr"/>
    <n v="5"/>
    <n v="4"/>
    <x v="56"/>
    <x v="1"/>
    <x v="0"/>
  </r>
  <r>
    <x v="2"/>
    <s v="card"/>
    <n v="37.72"/>
    <x v="7"/>
    <x v="1"/>
    <s v="Apr"/>
    <n v="5"/>
    <n v="4"/>
    <x v="56"/>
    <x v="1"/>
    <x v="0"/>
  </r>
  <r>
    <x v="3"/>
    <s v="card"/>
    <n v="27.92"/>
    <x v="2"/>
    <x v="1"/>
    <s v="Apr"/>
    <n v="5"/>
    <n v="4"/>
    <x v="56"/>
    <x v="1"/>
    <x v="0"/>
  </r>
  <r>
    <x v="3"/>
    <s v="card"/>
    <n v="27.92"/>
    <x v="2"/>
    <x v="1"/>
    <s v="Apr"/>
    <n v="5"/>
    <n v="4"/>
    <x v="56"/>
    <x v="1"/>
    <x v="0"/>
  </r>
  <r>
    <x v="4"/>
    <s v="card"/>
    <n v="27.92"/>
    <x v="5"/>
    <x v="1"/>
    <s v="Apr"/>
    <n v="5"/>
    <n v="4"/>
    <x v="56"/>
    <x v="1"/>
    <x v="0"/>
  </r>
  <r>
    <x v="4"/>
    <s v="card"/>
    <n v="27.92"/>
    <x v="2"/>
    <x v="1"/>
    <s v="Apr"/>
    <n v="5"/>
    <n v="4"/>
    <x v="56"/>
    <x v="1"/>
    <x v="0"/>
  </r>
  <r>
    <x v="6"/>
    <s v="card"/>
    <n v="37.72"/>
    <x v="1"/>
    <x v="2"/>
    <s v="Apr"/>
    <n v="5"/>
    <n v="4"/>
    <x v="56"/>
    <x v="1"/>
    <x v="0"/>
  </r>
  <r>
    <x v="6"/>
    <s v="card"/>
    <n v="37.72"/>
    <x v="4"/>
    <x v="2"/>
    <s v="Apr"/>
    <n v="5"/>
    <n v="4"/>
    <x v="56"/>
    <x v="1"/>
    <x v="0"/>
  </r>
  <r>
    <x v="3"/>
    <s v="card"/>
    <n v="37.72"/>
    <x v="7"/>
    <x v="1"/>
    <s v="Apr"/>
    <n v="6"/>
    <n v="4"/>
    <x v="57"/>
    <x v="1"/>
    <x v="1"/>
  </r>
  <r>
    <x v="0"/>
    <s v="card"/>
    <n v="37.72"/>
    <x v="0"/>
    <x v="0"/>
    <s v="Apr"/>
    <n v="7"/>
    <n v="4"/>
    <x v="58"/>
    <x v="1"/>
    <x v="2"/>
  </r>
  <r>
    <x v="1"/>
    <s v="card"/>
    <n v="37.72"/>
    <x v="7"/>
    <x v="1"/>
    <s v="Apr"/>
    <n v="7"/>
    <n v="4"/>
    <x v="58"/>
    <x v="1"/>
    <x v="2"/>
  </r>
  <r>
    <x v="5"/>
    <s v="card"/>
    <n v="27.92"/>
    <x v="2"/>
    <x v="2"/>
    <s v="Apr"/>
    <n v="7"/>
    <n v="4"/>
    <x v="58"/>
    <x v="1"/>
    <x v="2"/>
  </r>
  <r>
    <x v="5"/>
    <s v="card"/>
    <n v="27.92"/>
    <x v="2"/>
    <x v="2"/>
    <s v="Apr"/>
    <n v="7"/>
    <n v="4"/>
    <x v="58"/>
    <x v="1"/>
    <x v="2"/>
  </r>
  <r>
    <x v="5"/>
    <s v="card"/>
    <n v="37.72"/>
    <x v="0"/>
    <x v="2"/>
    <s v="Apr"/>
    <n v="7"/>
    <n v="4"/>
    <x v="58"/>
    <x v="1"/>
    <x v="2"/>
  </r>
  <r>
    <x v="7"/>
    <s v="card"/>
    <n v="27.92"/>
    <x v="5"/>
    <x v="0"/>
    <s v="Apr"/>
    <n v="1"/>
    <n v="4"/>
    <x v="59"/>
    <x v="1"/>
    <x v="3"/>
  </r>
  <r>
    <x v="2"/>
    <s v="card"/>
    <n v="27.92"/>
    <x v="2"/>
    <x v="1"/>
    <s v="Apr"/>
    <n v="1"/>
    <n v="4"/>
    <x v="59"/>
    <x v="1"/>
    <x v="3"/>
  </r>
  <r>
    <x v="2"/>
    <s v="card"/>
    <n v="27.92"/>
    <x v="5"/>
    <x v="1"/>
    <s v="Apr"/>
    <n v="1"/>
    <n v="4"/>
    <x v="59"/>
    <x v="1"/>
    <x v="3"/>
  </r>
  <r>
    <x v="2"/>
    <s v="card"/>
    <n v="27.92"/>
    <x v="5"/>
    <x v="1"/>
    <s v="Apr"/>
    <n v="1"/>
    <n v="4"/>
    <x v="59"/>
    <x v="1"/>
    <x v="3"/>
  </r>
  <r>
    <x v="2"/>
    <s v="card"/>
    <n v="32.82"/>
    <x v="3"/>
    <x v="1"/>
    <s v="Apr"/>
    <n v="1"/>
    <n v="4"/>
    <x v="59"/>
    <x v="1"/>
    <x v="3"/>
  </r>
  <r>
    <x v="5"/>
    <s v="card"/>
    <n v="37.72"/>
    <x v="7"/>
    <x v="2"/>
    <s v="Apr"/>
    <n v="1"/>
    <n v="4"/>
    <x v="59"/>
    <x v="1"/>
    <x v="3"/>
  </r>
  <r>
    <x v="6"/>
    <s v="card"/>
    <n v="37.72"/>
    <x v="7"/>
    <x v="2"/>
    <s v="Apr"/>
    <n v="1"/>
    <n v="4"/>
    <x v="59"/>
    <x v="1"/>
    <x v="3"/>
  </r>
  <r>
    <x v="6"/>
    <s v="card"/>
    <n v="37.72"/>
    <x v="7"/>
    <x v="2"/>
    <s v="Apr"/>
    <n v="1"/>
    <n v="4"/>
    <x v="59"/>
    <x v="1"/>
    <x v="3"/>
  </r>
  <r>
    <x v="0"/>
    <s v="card"/>
    <n v="37.72"/>
    <x v="0"/>
    <x v="0"/>
    <s v="Apr"/>
    <n v="2"/>
    <n v="4"/>
    <x v="60"/>
    <x v="1"/>
    <x v="4"/>
  </r>
  <r>
    <x v="0"/>
    <s v="card"/>
    <n v="32.82"/>
    <x v="3"/>
    <x v="0"/>
    <s v="Apr"/>
    <n v="2"/>
    <n v="4"/>
    <x v="60"/>
    <x v="1"/>
    <x v="4"/>
  </r>
  <r>
    <x v="0"/>
    <s v="card"/>
    <n v="32.82"/>
    <x v="3"/>
    <x v="0"/>
    <s v="Apr"/>
    <n v="2"/>
    <n v="4"/>
    <x v="60"/>
    <x v="1"/>
    <x v="4"/>
  </r>
  <r>
    <x v="2"/>
    <s v="card"/>
    <n v="27.92"/>
    <x v="2"/>
    <x v="1"/>
    <s v="Apr"/>
    <n v="2"/>
    <n v="4"/>
    <x v="60"/>
    <x v="1"/>
    <x v="4"/>
  </r>
  <r>
    <x v="2"/>
    <s v="card"/>
    <n v="32.82"/>
    <x v="3"/>
    <x v="1"/>
    <s v="Apr"/>
    <n v="2"/>
    <n v="4"/>
    <x v="60"/>
    <x v="1"/>
    <x v="4"/>
  </r>
  <r>
    <x v="6"/>
    <s v="card"/>
    <n v="37.72"/>
    <x v="7"/>
    <x v="2"/>
    <s v="Apr"/>
    <n v="2"/>
    <n v="4"/>
    <x v="60"/>
    <x v="1"/>
    <x v="4"/>
  </r>
  <r>
    <x v="6"/>
    <s v="card"/>
    <n v="32.82"/>
    <x v="3"/>
    <x v="2"/>
    <s v="Apr"/>
    <n v="2"/>
    <n v="4"/>
    <x v="60"/>
    <x v="1"/>
    <x v="4"/>
  </r>
  <r>
    <x v="6"/>
    <s v="card"/>
    <n v="37.72"/>
    <x v="0"/>
    <x v="2"/>
    <s v="Apr"/>
    <n v="2"/>
    <n v="4"/>
    <x v="60"/>
    <x v="1"/>
    <x v="4"/>
  </r>
  <r>
    <x v="0"/>
    <s v="card"/>
    <n v="27.92"/>
    <x v="2"/>
    <x v="0"/>
    <s v="May"/>
    <n v="4"/>
    <n v="5"/>
    <x v="61"/>
    <x v="2"/>
    <x v="6"/>
  </r>
  <r>
    <x v="2"/>
    <s v="card"/>
    <n v="32.82"/>
    <x v="3"/>
    <x v="1"/>
    <s v="May"/>
    <n v="4"/>
    <n v="5"/>
    <x v="61"/>
    <x v="2"/>
    <x v="6"/>
  </r>
  <r>
    <x v="5"/>
    <s v="card"/>
    <n v="37.72"/>
    <x v="7"/>
    <x v="2"/>
    <s v="May"/>
    <n v="4"/>
    <n v="5"/>
    <x v="61"/>
    <x v="2"/>
    <x v="6"/>
  </r>
  <r>
    <x v="5"/>
    <s v="card"/>
    <n v="32.82"/>
    <x v="3"/>
    <x v="2"/>
    <s v="May"/>
    <n v="4"/>
    <n v="5"/>
    <x v="61"/>
    <x v="2"/>
    <x v="6"/>
  </r>
  <r>
    <x v="6"/>
    <s v="card"/>
    <n v="37.72"/>
    <x v="0"/>
    <x v="2"/>
    <s v="May"/>
    <n v="4"/>
    <n v="5"/>
    <x v="61"/>
    <x v="2"/>
    <x v="6"/>
  </r>
  <r>
    <x v="6"/>
    <s v="card"/>
    <n v="37.72"/>
    <x v="7"/>
    <x v="2"/>
    <s v="May"/>
    <n v="4"/>
    <n v="5"/>
    <x v="61"/>
    <x v="2"/>
    <x v="6"/>
  </r>
  <r>
    <x v="8"/>
    <s v="card"/>
    <n v="37.72"/>
    <x v="0"/>
    <x v="1"/>
    <s v="May"/>
    <n v="5"/>
    <n v="5"/>
    <x v="62"/>
    <x v="2"/>
    <x v="0"/>
  </r>
  <r>
    <x v="9"/>
    <s v="card"/>
    <n v="37.72"/>
    <x v="0"/>
    <x v="2"/>
    <s v="May"/>
    <n v="5"/>
    <n v="5"/>
    <x v="62"/>
    <x v="2"/>
    <x v="0"/>
  </r>
  <r>
    <x v="0"/>
    <s v="card"/>
    <n v="27.92"/>
    <x v="2"/>
    <x v="0"/>
    <s v="May"/>
    <n v="1"/>
    <n v="5"/>
    <x v="63"/>
    <x v="2"/>
    <x v="3"/>
  </r>
  <r>
    <x v="0"/>
    <s v="card"/>
    <n v="37.72"/>
    <x v="7"/>
    <x v="0"/>
    <s v="May"/>
    <n v="1"/>
    <n v="5"/>
    <x v="63"/>
    <x v="2"/>
    <x v="3"/>
  </r>
  <r>
    <x v="0"/>
    <s v="card"/>
    <n v="32.82"/>
    <x v="3"/>
    <x v="0"/>
    <s v="May"/>
    <n v="1"/>
    <n v="5"/>
    <x v="63"/>
    <x v="2"/>
    <x v="3"/>
  </r>
  <r>
    <x v="0"/>
    <s v="card"/>
    <n v="27.92"/>
    <x v="2"/>
    <x v="0"/>
    <s v="May"/>
    <n v="1"/>
    <n v="5"/>
    <x v="63"/>
    <x v="2"/>
    <x v="3"/>
  </r>
  <r>
    <x v="0"/>
    <s v="card"/>
    <n v="27.92"/>
    <x v="5"/>
    <x v="0"/>
    <s v="May"/>
    <n v="1"/>
    <n v="5"/>
    <x v="63"/>
    <x v="2"/>
    <x v="3"/>
  </r>
  <r>
    <x v="2"/>
    <s v="card"/>
    <n v="27.92"/>
    <x v="5"/>
    <x v="1"/>
    <s v="May"/>
    <n v="1"/>
    <n v="5"/>
    <x v="63"/>
    <x v="2"/>
    <x v="3"/>
  </r>
  <r>
    <x v="2"/>
    <s v="card"/>
    <n v="27.92"/>
    <x v="2"/>
    <x v="1"/>
    <s v="May"/>
    <n v="1"/>
    <n v="5"/>
    <x v="63"/>
    <x v="2"/>
    <x v="3"/>
  </r>
  <r>
    <x v="6"/>
    <s v="card"/>
    <n v="37.72"/>
    <x v="7"/>
    <x v="2"/>
    <s v="May"/>
    <n v="1"/>
    <n v="5"/>
    <x v="63"/>
    <x v="2"/>
    <x v="3"/>
  </r>
  <r>
    <x v="6"/>
    <s v="card"/>
    <n v="37.72"/>
    <x v="7"/>
    <x v="2"/>
    <s v="May"/>
    <n v="1"/>
    <n v="5"/>
    <x v="63"/>
    <x v="2"/>
    <x v="3"/>
  </r>
  <r>
    <x v="0"/>
    <s v="card"/>
    <n v="37.72"/>
    <x v="4"/>
    <x v="0"/>
    <s v="May"/>
    <n v="2"/>
    <n v="5"/>
    <x v="64"/>
    <x v="2"/>
    <x v="4"/>
  </r>
  <r>
    <x v="7"/>
    <s v="card"/>
    <n v="27.92"/>
    <x v="5"/>
    <x v="0"/>
    <s v="May"/>
    <n v="2"/>
    <n v="5"/>
    <x v="64"/>
    <x v="2"/>
    <x v="4"/>
  </r>
  <r>
    <x v="2"/>
    <s v="card"/>
    <n v="27.92"/>
    <x v="5"/>
    <x v="1"/>
    <s v="May"/>
    <n v="2"/>
    <n v="5"/>
    <x v="64"/>
    <x v="2"/>
    <x v="4"/>
  </r>
  <r>
    <x v="4"/>
    <s v="card"/>
    <n v="37.72"/>
    <x v="4"/>
    <x v="1"/>
    <s v="May"/>
    <n v="2"/>
    <n v="5"/>
    <x v="64"/>
    <x v="2"/>
    <x v="4"/>
  </r>
  <r>
    <x v="4"/>
    <s v="card"/>
    <n v="27.92"/>
    <x v="2"/>
    <x v="1"/>
    <s v="May"/>
    <n v="2"/>
    <n v="5"/>
    <x v="64"/>
    <x v="2"/>
    <x v="4"/>
  </r>
  <r>
    <x v="9"/>
    <s v="card"/>
    <n v="37.72"/>
    <x v="7"/>
    <x v="2"/>
    <s v="May"/>
    <n v="2"/>
    <n v="5"/>
    <x v="64"/>
    <x v="2"/>
    <x v="4"/>
  </r>
  <r>
    <x v="9"/>
    <s v="card"/>
    <n v="37.72"/>
    <x v="0"/>
    <x v="2"/>
    <s v="May"/>
    <n v="2"/>
    <n v="5"/>
    <x v="64"/>
    <x v="2"/>
    <x v="4"/>
  </r>
  <r>
    <x v="6"/>
    <s v="card"/>
    <n v="37.72"/>
    <x v="7"/>
    <x v="2"/>
    <s v="May"/>
    <n v="2"/>
    <n v="5"/>
    <x v="64"/>
    <x v="2"/>
    <x v="4"/>
  </r>
  <r>
    <x v="6"/>
    <s v="card"/>
    <n v="37.72"/>
    <x v="7"/>
    <x v="2"/>
    <s v="May"/>
    <n v="2"/>
    <n v="5"/>
    <x v="64"/>
    <x v="2"/>
    <x v="4"/>
  </r>
  <r>
    <x v="0"/>
    <s v="card"/>
    <n v="37.72"/>
    <x v="0"/>
    <x v="0"/>
    <s v="May"/>
    <n v="3"/>
    <n v="5"/>
    <x v="65"/>
    <x v="2"/>
    <x v="5"/>
  </r>
  <r>
    <x v="1"/>
    <s v="card"/>
    <n v="37.72"/>
    <x v="7"/>
    <x v="1"/>
    <s v="May"/>
    <n v="4"/>
    <n v="5"/>
    <x v="66"/>
    <x v="2"/>
    <x v="6"/>
  </r>
  <r>
    <x v="2"/>
    <s v="card"/>
    <n v="27.92"/>
    <x v="2"/>
    <x v="1"/>
    <s v="May"/>
    <n v="4"/>
    <n v="5"/>
    <x v="66"/>
    <x v="2"/>
    <x v="6"/>
  </r>
  <r>
    <x v="2"/>
    <s v="card"/>
    <n v="37.72"/>
    <x v="0"/>
    <x v="1"/>
    <s v="May"/>
    <n v="4"/>
    <n v="5"/>
    <x v="66"/>
    <x v="2"/>
    <x v="6"/>
  </r>
  <r>
    <x v="2"/>
    <s v="card"/>
    <n v="37.72"/>
    <x v="0"/>
    <x v="1"/>
    <s v="May"/>
    <n v="4"/>
    <n v="5"/>
    <x v="66"/>
    <x v="2"/>
    <x v="6"/>
  </r>
  <r>
    <x v="2"/>
    <s v="card"/>
    <n v="37.72"/>
    <x v="0"/>
    <x v="1"/>
    <s v="May"/>
    <n v="4"/>
    <n v="5"/>
    <x v="66"/>
    <x v="2"/>
    <x v="6"/>
  </r>
  <r>
    <x v="4"/>
    <s v="card"/>
    <n v="27.92"/>
    <x v="2"/>
    <x v="1"/>
    <s v="May"/>
    <n v="4"/>
    <n v="5"/>
    <x v="66"/>
    <x v="2"/>
    <x v="6"/>
  </r>
  <r>
    <x v="4"/>
    <s v="card"/>
    <n v="27.92"/>
    <x v="2"/>
    <x v="1"/>
    <s v="May"/>
    <n v="4"/>
    <n v="5"/>
    <x v="66"/>
    <x v="2"/>
    <x v="6"/>
  </r>
  <r>
    <x v="5"/>
    <s v="card"/>
    <n v="27.92"/>
    <x v="2"/>
    <x v="2"/>
    <s v="May"/>
    <n v="4"/>
    <n v="5"/>
    <x v="66"/>
    <x v="2"/>
    <x v="6"/>
  </r>
  <r>
    <x v="5"/>
    <s v="card"/>
    <n v="32.82"/>
    <x v="3"/>
    <x v="2"/>
    <s v="May"/>
    <n v="4"/>
    <n v="5"/>
    <x v="66"/>
    <x v="2"/>
    <x v="6"/>
  </r>
  <r>
    <x v="3"/>
    <s v="card"/>
    <n v="37.72"/>
    <x v="0"/>
    <x v="1"/>
    <s v="May"/>
    <n v="5"/>
    <n v="5"/>
    <x v="67"/>
    <x v="2"/>
    <x v="0"/>
  </r>
  <r>
    <x v="3"/>
    <s v="card"/>
    <n v="37.72"/>
    <x v="0"/>
    <x v="1"/>
    <s v="May"/>
    <n v="5"/>
    <n v="5"/>
    <x v="67"/>
    <x v="2"/>
    <x v="0"/>
  </r>
  <r>
    <x v="7"/>
    <s v="card"/>
    <n v="37.72"/>
    <x v="0"/>
    <x v="0"/>
    <s v="May"/>
    <n v="6"/>
    <n v="5"/>
    <x v="68"/>
    <x v="2"/>
    <x v="1"/>
  </r>
  <r>
    <x v="9"/>
    <s v="card"/>
    <n v="32.82"/>
    <x v="3"/>
    <x v="2"/>
    <s v="May"/>
    <n v="6"/>
    <n v="5"/>
    <x v="68"/>
    <x v="2"/>
    <x v="1"/>
  </r>
  <r>
    <x v="9"/>
    <s v="card"/>
    <n v="37.72"/>
    <x v="4"/>
    <x v="2"/>
    <s v="May"/>
    <n v="6"/>
    <n v="5"/>
    <x v="68"/>
    <x v="2"/>
    <x v="1"/>
  </r>
  <r>
    <x v="9"/>
    <s v="card"/>
    <n v="37.72"/>
    <x v="7"/>
    <x v="2"/>
    <s v="May"/>
    <n v="6"/>
    <n v="5"/>
    <x v="68"/>
    <x v="2"/>
    <x v="1"/>
  </r>
  <r>
    <x v="9"/>
    <s v="card"/>
    <n v="32.82"/>
    <x v="3"/>
    <x v="2"/>
    <s v="May"/>
    <n v="6"/>
    <n v="5"/>
    <x v="68"/>
    <x v="2"/>
    <x v="1"/>
  </r>
  <r>
    <x v="5"/>
    <s v="card"/>
    <n v="37.72"/>
    <x v="7"/>
    <x v="2"/>
    <s v="May"/>
    <n v="6"/>
    <n v="5"/>
    <x v="68"/>
    <x v="2"/>
    <x v="1"/>
  </r>
  <r>
    <x v="6"/>
    <s v="card"/>
    <n v="37.72"/>
    <x v="0"/>
    <x v="2"/>
    <s v="May"/>
    <n v="6"/>
    <n v="5"/>
    <x v="68"/>
    <x v="2"/>
    <x v="1"/>
  </r>
  <r>
    <x v="0"/>
    <s v="card"/>
    <n v="37.72"/>
    <x v="0"/>
    <x v="0"/>
    <s v="May"/>
    <n v="7"/>
    <n v="5"/>
    <x v="69"/>
    <x v="2"/>
    <x v="2"/>
  </r>
  <r>
    <x v="2"/>
    <s v="card"/>
    <n v="37.72"/>
    <x v="0"/>
    <x v="1"/>
    <s v="May"/>
    <n v="7"/>
    <n v="5"/>
    <x v="69"/>
    <x v="2"/>
    <x v="2"/>
  </r>
  <r>
    <x v="2"/>
    <s v="card"/>
    <n v="27.92"/>
    <x v="2"/>
    <x v="1"/>
    <s v="May"/>
    <n v="7"/>
    <n v="5"/>
    <x v="69"/>
    <x v="2"/>
    <x v="2"/>
  </r>
  <r>
    <x v="3"/>
    <s v="card"/>
    <n v="37.72"/>
    <x v="0"/>
    <x v="1"/>
    <s v="May"/>
    <n v="7"/>
    <n v="5"/>
    <x v="69"/>
    <x v="2"/>
    <x v="2"/>
  </r>
  <r>
    <x v="3"/>
    <s v="card"/>
    <n v="32.82"/>
    <x v="3"/>
    <x v="1"/>
    <s v="May"/>
    <n v="7"/>
    <n v="5"/>
    <x v="69"/>
    <x v="2"/>
    <x v="2"/>
  </r>
  <r>
    <x v="3"/>
    <s v="card"/>
    <n v="32.82"/>
    <x v="3"/>
    <x v="1"/>
    <s v="May"/>
    <n v="7"/>
    <n v="5"/>
    <x v="69"/>
    <x v="2"/>
    <x v="2"/>
  </r>
  <r>
    <x v="4"/>
    <s v="card"/>
    <n v="32.82"/>
    <x v="3"/>
    <x v="1"/>
    <s v="May"/>
    <n v="7"/>
    <n v="5"/>
    <x v="69"/>
    <x v="2"/>
    <x v="2"/>
  </r>
  <r>
    <x v="6"/>
    <s v="card"/>
    <n v="32.82"/>
    <x v="3"/>
    <x v="2"/>
    <s v="May"/>
    <n v="7"/>
    <n v="5"/>
    <x v="69"/>
    <x v="2"/>
    <x v="2"/>
  </r>
  <r>
    <x v="7"/>
    <s v="card"/>
    <n v="32.82"/>
    <x v="3"/>
    <x v="0"/>
    <s v="May"/>
    <n v="1"/>
    <n v="5"/>
    <x v="70"/>
    <x v="2"/>
    <x v="3"/>
  </r>
  <r>
    <x v="12"/>
    <s v="card"/>
    <n v="27.92"/>
    <x v="2"/>
    <x v="0"/>
    <s v="May"/>
    <n v="2"/>
    <n v="5"/>
    <x v="71"/>
    <x v="2"/>
    <x v="4"/>
  </r>
  <r>
    <x v="12"/>
    <s v="card"/>
    <n v="27.92"/>
    <x v="2"/>
    <x v="0"/>
    <s v="May"/>
    <n v="2"/>
    <n v="5"/>
    <x v="71"/>
    <x v="2"/>
    <x v="4"/>
  </r>
  <r>
    <x v="12"/>
    <s v="card"/>
    <n v="27.92"/>
    <x v="2"/>
    <x v="0"/>
    <s v="May"/>
    <n v="2"/>
    <n v="5"/>
    <x v="71"/>
    <x v="2"/>
    <x v="4"/>
  </r>
  <r>
    <x v="0"/>
    <s v="card"/>
    <n v="37.72"/>
    <x v="7"/>
    <x v="0"/>
    <s v="May"/>
    <n v="2"/>
    <n v="5"/>
    <x v="71"/>
    <x v="2"/>
    <x v="4"/>
  </r>
  <r>
    <x v="7"/>
    <s v="card"/>
    <n v="37.72"/>
    <x v="0"/>
    <x v="0"/>
    <s v="May"/>
    <n v="2"/>
    <n v="5"/>
    <x v="71"/>
    <x v="2"/>
    <x v="4"/>
  </r>
  <r>
    <x v="7"/>
    <s v="card"/>
    <n v="37.72"/>
    <x v="7"/>
    <x v="0"/>
    <s v="May"/>
    <n v="2"/>
    <n v="5"/>
    <x v="71"/>
    <x v="2"/>
    <x v="4"/>
  </r>
  <r>
    <x v="8"/>
    <s v="card"/>
    <n v="37.72"/>
    <x v="7"/>
    <x v="1"/>
    <s v="May"/>
    <n v="2"/>
    <n v="5"/>
    <x v="71"/>
    <x v="2"/>
    <x v="4"/>
  </r>
  <r>
    <x v="8"/>
    <s v="card"/>
    <n v="32.82"/>
    <x v="3"/>
    <x v="1"/>
    <s v="May"/>
    <n v="2"/>
    <n v="5"/>
    <x v="71"/>
    <x v="2"/>
    <x v="4"/>
  </r>
  <r>
    <x v="3"/>
    <s v="card"/>
    <n v="27.92"/>
    <x v="2"/>
    <x v="1"/>
    <s v="May"/>
    <n v="2"/>
    <n v="5"/>
    <x v="71"/>
    <x v="2"/>
    <x v="4"/>
  </r>
  <r>
    <x v="4"/>
    <s v="card"/>
    <n v="32.82"/>
    <x v="3"/>
    <x v="1"/>
    <s v="May"/>
    <n v="2"/>
    <n v="5"/>
    <x v="71"/>
    <x v="2"/>
    <x v="4"/>
  </r>
  <r>
    <x v="4"/>
    <s v="card"/>
    <n v="37.72"/>
    <x v="7"/>
    <x v="1"/>
    <s v="May"/>
    <n v="2"/>
    <n v="5"/>
    <x v="71"/>
    <x v="2"/>
    <x v="4"/>
  </r>
  <r>
    <x v="13"/>
    <s v="card"/>
    <n v="37.72"/>
    <x v="1"/>
    <x v="2"/>
    <s v="May"/>
    <n v="2"/>
    <n v="5"/>
    <x v="71"/>
    <x v="2"/>
    <x v="4"/>
  </r>
  <r>
    <x v="12"/>
    <s v="card"/>
    <n v="37.72"/>
    <x v="0"/>
    <x v="0"/>
    <s v="May"/>
    <n v="3"/>
    <n v="5"/>
    <x v="72"/>
    <x v="2"/>
    <x v="5"/>
  </r>
  <r>
    <x v="7"/>
    <s v="card"/>
    <n v="23.02"/>
    <x v="6"/>
    <x v="0"/>
    <s v="May"/>
    <n v="3"/>
    <n v="5"/>
    <x v="72"/>
    <x v="2"/>
    <x v="5"/>
  </r>
  <r>
    <x v="7"/>
    <s v="card"/>
    <n v="27.92"/>
    <x v="2"/>
    <x v="0"/>
    <s v="May"/>
    <n v="3"/>
    <n v="5"/>
    <x v="72"/>
    <x v="2"/>
    <x v="5"/>
  </r>
  <r>
    <x v="2"/>
    <s v="card"/>
    <n v="27.92"/>
    <x v="2"/>
    <x v="1"/>
    <s v="May"/>
    <n v="3"/>
    <n v="5"/>
    <x v="72"/>
    <x v="2"/>
    <x v="5"/>
  </r>
  <r>
    <x v="2"/>
    <s v="card"/>
    <n v="27.92"/>
    <x v="2"/>
    <x v="1"/>
    <s v="May"/>
    <n v="3"/>
    <n v="5"/>
    <x v="72"/>
    <x v="2"/>
    <x v="5"/>
  </r>
  <r>
    <x v="2"/>
    <s v="card"/>
    <n v="27.92"/>
    <x v="2"/>
    <x v="1"/>
    <s v="May"/>
    <n v="3"/>
    <n v="5"/>
    <x v="72"/>
    <x v="2"/>
    <x v="5"/>
  </r>
  <r>
    <x v="2"/>
    <s v="card"/>
    <n v="32.82"/>
    <x v="3"/>
    <x v="1"/>
    <s v="May"/>
    <n v="3"/>
    <n v="5"/>
    <x v="72"/>
    <x v="2"/>
    <x v="5"/>
  </r>
  <r>
    <x v="8"/>
    <s v="card"/>
    <n v="27.92"/>
    <x v="5"/>
    <x v="1"/>
    <s v="May"/>
    <n v="3"/>
    <n v="5"/>
    <x v="72"/>
    <x v="2"/>
    <x v="5"/>
  </r>
  <r>
    <x v="8"/>
    <s v="card"/>
    <n v="27.92"/>
    <x v="5"/>
    <x v="1"/>
    <s v="May"/>
    <n v="3"/>
    <n v="5"/>
    <x v="72"/>
    <x v="2"/>
    <x v="5"/>
  </r>
  <r>
    <x v="9"/>
    <s v="card"/>
    <n v="23.02"/>
    <x v="6"/>
    <x v="2"/>
    <s v="May"/>
    <n v="3"/>
    <n v="5"/>
    <x v="72"/>
    <x v="2"/>
    <x v="5"/>
  </r>
  <r>
    <x v="11"/>
    <s v="card"/>
    <n v="37.72"/>
    <x v="7"/>
    <x v="2"/>
    <s v="May"/>
    <n v="3"/>
    <n v="5"/>
    <x v="72"/>
    <x v="2"/>
    <x v="5"/>
  </r>
  <r>
    <x v="0"/>
    <s v="card"/>
    <n v="32.82"/>
    <x v="3"/>
    <x v="0"/>
    <s v="May"/>
    <n v="4"/>
    <n v="5"/>
    <x v="73"/>
    <x v="2"/>
    <x v="6"/>
  </r>
  <r>
    <x v="0"/>
    <s v="card"/>
    <n v="32.82"/>
    <x v="3"/>
    <x v="0"/>
    <s v="May"/>
    <n v="4"/>
    <n v="5"/>
    <x v="73"/>
    <x v="2"/>
    <x v="6"/>
  </r>
  <r>
    <x v="1"/>
    <s v="card"/>
    <n v="32.82"/>
    <x v="3"/>
    <x v="1"/>
    <s v="May"/>
    <n v="4"/>
    <n v="5"/>
    <x v="73"/>
    <x v="2"/>
    <x v="6"/>
  </r>
  <r>
    <x v="3"/>
    <s v="card"/>
    <n v="37.72"/>
    <x v="1"/>
    <x v="1"/>
    <s v="May"/>
    <n v="4"/>
    <n v="5"/>
    <x v="73"/>
    <x v="2"/>
    <x v="6"/>
  </r>
  <r>
    <x v="9"/>
    <s v="card"/>
    <n v="37.72"/>
    <x v="0"/>
    <x v="2"/>
    <s v="May"/>
    <n v="4"/>
    <n v="5"/>
    <x v="73"/>
    <x v="2"/>
    <x v="6"/>
  </r>
  <r>
    <x v="5"/>
    <s v="card"/>
    <n v="37.72"/>
    <x v="1"/>
    <x v="2"/>
    <s v="May"/>
    <n v="4"/>
    <n v="5"/>
    <x v="73"/>
    <x v="2"/>
    <x v="6"/>
  </r>
  <r>
    <x v="5"/>
    <s v="card"/>
    <n v="37.72"/>
    <x v="0"/>
    <x v="2"/>
    <s v="May"/>
    <n v="4"/>
    <n v="5"/>
    <x v="73"/>
    <x v="2"/>
    <x v="6"/>
  </r>
  <r>
    <x v="10"/>
    <s v="card"/>
    <n v="27.92"/>
    <x v="2"/>
    <x v="0"/>
    <s v="May"/>
    <n v="5"/>
    <n v="5"/>
    <x v="74"/>
    <x v="2"/>
    <x v="0"/>
  </r>
  <r>
    <x v="7"/>
    <s v="card"/>
    <n v="32.82"/>
    <x v="3"/>
    <x v="0"/>
    <s v="May"/>
    <n v="5"/>
    <n v="5"/>
    <x v="74"/>
    <x v="2"/>
    <x v="0"/>
  </r>
  <r>
    <x v="6"/>
    <s v="card"/>
    <n v="32.82"/>
    <x v="3"/>
    <x v="2"/>
    <s v="May"/>
    <n v="5"/>
    <n v="5"/>
    <x v="74"/>
    <x v="2"/>
    <x v="0"/>
  </r>
  <r>
    <x v="6"/>
    <s v="card"/>
    <n v="37.72"/>
    <x v="7"/>
    <x v="2"/>
    <s v="May"/>
    <n v="5"/>
    <n v="5"/>
    <x v="74"/>
    <x v="2"/>
    <x v="0"/>
  </r>
  <r>
    <x v="11"/>
    <s v="card"/>
    <n v="37.72"/>
    <x v="7"/>
    <x v="2"/>
    <s v="May"/>
    <n v="5"/>
    <n v="5"/>
    <x v="74"/>
    <x v="2"/>
    <x v="0"/>
  </r>
  <r>
    <x v="13"/>
    <s v="card"/>
    <n v="27.92"/>
    <x v="2"/>
    <x v="2"/>
    <s v="May"/>
    <n v="5"/>
    <n v="5"/>
    <x v="74"/>
    <x v="2"/>
    <x v="0"/>
  </r>
  <r>
    <x v="13"/>
    <s v="card"/>
    <n v="37.72"/>
    <x v="0"/>
    <x v="2"/>
    <s v="May"/>
    <n v="5"/>
    <n v="5"/>
    <x v="74"/>
    <x v="2"/>
    <x v="0"/>
  </r>
  <r>
    <x v="13"/>
    <s v="card"/>
    <n v="37.72"/>
    <x v="0"/>
    <x v="2"/>
    <s v="May"/>
    <n v="5"/>
    <n v="5"/>
    <x v="74"/>
    <x v="2"/>
    <x v="0"/>
  </r>
  <r>
    <x v="12"/>
    <s v="card"/>
    <n v="37.72"/>
    <x v="7"/>
    <x v="0"/>
    <s v="May"/>
    <n v="6"/>
    <n v="5"/>
    <x v="75"/>
    <x v="2"/>
    <x v="1"/>
  </r>
  <r>
    <x v="12"/>
    <s v="card"/>
    <n v="37.72"/>
    <x v="7"/>
    <x v="0"/>
    <s v="May"/>
    <n v="6"/>
    <n v="5"/>
    <x v="75"/>
    <x v="2"/>
    <x v="1"/>
  </r>
  <r>
    <x v="7"/>
    <s v="card"/>
    <n v="32.82"/>
    <x v="3"/>
    <x v="0"/>
    <s v="May"/>
    <n v="6"/>
    <n v="5"/>
    <x v="75"/>
    <x v="2"/>
    <x v="1"/>
  </r>
  <r>
    <x v="4"/>
    <s v="card"/>
    <n v="32.82"/>
    <x v="3"/>
    <x v="1"/>
    <s v="May"/>
    <n v="6"/>
    <n v="5"/>
    <x v="75"/>
    <x v="2"/>
    <x v="1"/>
  </r>
  <r>
    <x v="4"/>
    <s v="card"/>
    <n v="32.82"/>
    <x v="3"/>
    <x v="1"/>
    <s v="May"/>
    <n v="6"/>
    <n v="5"/>
    <x v="75"/>
    <x v="2"/>
    <x v="1"/>
  </r>
  <r>
    <x v="6"/>
    <s v="card"/>
    <n v="32.82"/>
    <x v="3"/>
    <x v="2"/>
    <s v="May"/>
    <n v="6"/>
    <n v="5"/>
    <x v="75"/>
    <x v="2"/>
    <x v="1"/>
  </r>
  <r>
    <x v="11"/>
    <s v="card"/>
    <n v="37.72"/>
    <x v="0"/>
    <x v="2"/>
    <s v="May"/>
    <n v="6"/>
    <n v="5"/>
    <x v="75"/>
    <x v="2"/>
    <x v="1"/>
  </r>
  <r>
    <x v="14"/>
    <s v="card"/>
    <n v="27.92"/>
    <x v="2"/>
    <x v="0"/>
    <s v="May"/>
    <n v="7"/>
    <n v="5"/>
    <x v="76"/>
    <x v="2"/>
    <x v="2"/>
  </r>
  <r>
    <x v="14"/>
    <s v="card"/>
    <n v="27.92"/>
    <x v="2"/>
    <x v="0"/>
    <s v="May"/>
    <n v="7"/>
    <n v="5"/>
    <x v="76"/>
    <x v="2"/>
    <x v="2"/>
  </r>
  <r>
    <x v="12"/>
    <s v="card"/>
    <n v="37.72"/>
    <x v="7"/>
    <x v="0"/>
    <s v="May"/>
    <n v="7"/>
    <n v="5"/>
    <x v="76"/>
    <x v="2"/>
    <x v="2"/>
  </r>
  <r>
    <x v="1"/>
    <s v="card"/>
    <n v="32.82"/>
    <x v="3"/>
    <x v="1"/>
    <s v="May"/>
    <n v="7"/>
    <n v="5"/>
    <x v="76"/>
    <x v="2"/>
    <x v="2"/>
  </r>
  <r>
    <x v="8"/>
    <s v="card"/>
    <n v="27.92"/>
    <x v="2"/>
    <x v="1"/>
    <s v="May"/>
    <n v="7"/>
    <n v="5"/>
    <x v="76"/>
    <x v="2"/>
    <x v="2"/>
  </r>
  <r>
    <x v="3"/>
    <s v="card"/>
    <n v="32.82"/>
    <x v="3"/>
    <x v="1"/>
    <s v="May"/>
    <n v="7"/>
    <n v="5"/>
    <x v="76"/>
    <x v="2"/>
    <x v="2"/>
  </r>
  <r>
    <x v="5"/>
    <s v="card"/>
    <n v="32.82"/>
    <x v="3"/>
    <x v="2"/>
    <s v="May"/>
    <n v="7"/>
    <n v="5"/>
    <x v="76"/>
    <x v="2"/>
    <x v="2"/>
  </r>
  <r>
    <x v="5"/>
    <s v="card"/>
    <n v="23.02"/>
    <x v="6"/>
    <x v="2"/>
    <s v="May"/>
    <n v="7"/>
    <n v="5"/>
    <x v="76"/>
    <x v="2"/>
    <x v="2"/>
  </r>
  <r>
    <x v="5"/>
    <s v="card"/>
    <n v="37.72"/>
    <x v="1"/>
    <x v="2"/>
    <s v="May"/>
    <n v="7"/>
    <n v="5"/>
    <x v="76"/>
    <x v="2"/>
    <x v="2"/>
  </r>
  <r>
    <x v="6"/>
    <s v="card"/>
    <n v="37.72"/>
    <x v="7"/>
    <x v="2"/>
    <s v="May"/>
    <n v="7"/>
    <n v="5"/>
    <x v="76"/>
    <x v="2"/>
    <x v="2"/>
  </r>
  <r>
    <x v="15"/>
    <s v="card"/>
    <n v="37.72"/>
    <x v="7"/>
    <x v="2"/>
    <s v="May"/>
    <n v="7"/>
    <n v="5"/>
    <x v="76"/>
    <x v="2"/>
    <x v="2"/>
  </r>
  <r>
    <x v="15"/>
    <s v="card"/>
    <n v="37.72"/>
    <x v="7"/>
    <x v="2"/>
    <s v="May"/>
    <n v="7"/>
    <n v="5"/>
    <x v="76"/>
    <x v="2"/>
    <x v="2"/>
  </r>
  <r>
    <x v="0"/>
    <s v="card"/>
    <n v="32.82"/>
    <x v="3"/>
    <x v="0"/>
    <s v="May"/>
    <n v="1"/>
    <n v="5"/>
    <x v="77"/>
    <x v="2"/>
    <x v="3"/>
  </r>
  <r>
    <x v="0"/>
    <s v="card"/>
    <n v="37.72"/>
    <x v="0"/>
    <x v="0"/>
    <s v="May"/>
    <n v="1"/>
    <n v="5"/>
    <x v="77"/>
    <x v="2"/>
    <x v="3"/>
  </r>
  <r>
    <x v="0"/>
    <s v="card"/>
    <n v="37.72"/>
    <x v="0"/>
    <x v="0"/>
    <s v="May"/>
    <n v="1"/>
    <n v="5"/>
    <x v="77"/>
    <x v="2"/>
    <x v="3"/>
  </r>
  <r>
    <x v="7"/>
    <s v="card"/>
    <n v="27.92"/>
    <x v="2"/>
    <x v="0"/>
    <s v="May"/>
    <n v="1"/>
    <n v="5"/>
    <x v="77"/>
    <x v="2"/>
    <x v="3"/>
  </r>
  <r>
    <x v="7"/>
    <s v="card"/>
    <n v="27.92"/>
    <x v="2"/>
    <x v="0"/>
    <s v="May"/>
    <n v="1"/>
    <n v="5"/>
    <x v="77"/>
    <x v="2"/>
    <x v="3"/>
  </r>
  <r>
    <x v="2"/>
    <s v="card"/>
    <n v="27.92"/>
    <x v="2"/>
    <x v="1"/>
    <s v="May"/>
    <n v="1"/>
    <n v="5"/>
    <x v="77"/>
    <x v="2"/>
    <x v="3"/>
  </r>
  <r>
    <x v="2"/>
    <s v="card"/>
    <n v="27.92"/>
    <x v="2"/>
    <x v="1"/>
    <s v="May"/>
    <n v="1"/>
    <n v="5"/>
    <x v="77"/>
    <x v="2"/>
    <x v="3"/>
  </r>
  <r>
    <x v="8"/>
    <s v="card"/>
    <n v="32.82"/>
    <x v="3"/>
    <x v="1"/>
    <s v="May"/>
    <n v="1"/>
    <n v="5"/>
    <x v="77"/>
    <x v="2"/>
    <x v="3"/>
  </r>
  <r>
    <x v="8"/>
    <s v="card"/>
    <n v="37.72"/>
    <x v="7"/>
    <x v="1"/>
    <s v="May"/>
    <n v="1"/>
    <n v="5"/>
    <x v="77"/>
    <x v="2"/>
    <x v="3"/>
  </r>
  <r>
    <x v="9"/>
    <s v="card"/>
    <n v="37.72"/>
    <x v="0"/>
    <x v="2"/>
    <s v="May"/>
    <n v="1"/>
    <n v="5"/>
    <x v="77"/>
    <x v="2"/>
    <x v="3"/>
  </r>
  <r>
    <x v="9"/>
    <s v="card"/>
    <n v="37.72"/>
    <x v="0"/>
    <x v="2"/>
    <s v="May"/>
    <n v="1"/>
    <n v="5"/>
    <x v="77"/>
    <x v="2"/>
    <x v="3"/>
  </r>
  <r>
    <x v="11"/>
    <s v="card"/>
    <n v="32.82"/>
    <x v="3"/>
    <x v="2"/>
    <s v="May"/>
    <n v="1"/>
    <n v="5"/>
    <x v="77"/>
    <x v="2"/>
    <x v="3"/>
  </r>
  <r>
    <x v="11"/>
    <s v="card"/>
    <n v="37.72"/>
    <x v="4"/>
    <x v="2"/>
    <s v="May"/>
    <n v="1"/>
    <n v="5"/>
    <x v="77"/>
    <x v="2"/>
    <x v="3"/>
  </r>
  <r>
    <x v="11"/>
    <s v="card"/>
    <n v="27.92"/>
    <x v="5"/>
    <x v="2"/>
    <s v="May"/>
    <n v="1"/>
    <n v="5"/>
    <x v="77"/>
    <x v="2"/>
    <x v="3"/>
  </r>
  <r>
    <x v="15"/>
    <s v="card"/>
    <n v="32.82"/>
    <x v="3"/>
    <x v="2"/>
    <s v="May"/>
    <n v="1"/>
    <n v="5"/>
    <x v="77"/>
    <x v="2"/>
    <x v="3"/>
  </r>
  <r>
    <x v="15"/>
    <s v="card"/>
    <n v="32.82"/>
    <x v="3"/>
    <x v="2"/>
    <s v="May"/>
    <n v="1"/>
    <n v="5"/>
    <x v="77"/>
    <x v="2"/>
    <x v="3"/>
  </r>
  <r>
    <x v="12"/>
    <s v="card"/>
    <n v="37.72"/>
    <x v="0"/>
    <x v="0"/>
    <s v="May"/>
    <n v="2"/>
    <n v="5"/>
    <x v="78"/>
    <x v="2"/>
    <x v="4"/>
  </r>
  <r>
    <x v="4"/>
    <s v="card"/>
    <n v="37.72"/>
    <x v="0"/>
    <x v="1"/>
    <s v="May"/>
    <n v="2"/>
    <n v="5"/>
    <x v="78"/>
    <x v="2"/>
    <x v="4"/>
  </r>
  <r>
    <x v="5"/>
    <s v="card"/>
    <n v="23.02"/>
    <x v="6"/>
    <x v="2"/>
    <s v="May"/>
    <n v="2"/>
    <n v="5"/>
    <x v="78"/>
    <x v="2"/>
    <x v="4"/>
  </r>
  <r>
    <x v="6"/>
    <s v="card"/>
    <n v="37.72"/>
    <x v="7"/>
    <x v="2"/>
    <s v="May"/>
    <n v="2"/>
    <n v="5"/>
    <x v="78"/>
    <x v="2"/>
    <x v="4"/>
  </r>
  <r>
    <x v="11"/>
    <s v="card"/>
    <n v="37.72"/>
    <x v="7"/>
    <x v="2"/>
    <s v="May"/>
    <n v="2"/>
    <n v="5"/>
    <x v="78"/>
    <x v="2"/>
    <x v="4"/>
  </r>
  <r>
    <x v="10"/>
    <s v="card"/>
    <n v="37.72"/>
    <x v="7"/>
    <x v="0"/>
    <s v="May"/>
    <n v="3"/>
    <n v="5"/>
    <x v="79"/>
    <x v="2"/>
    <x v="5"/>
  </r>
  <r>
    <x v="0"/>
    <s v="card"/>
    <n v="32.82"/>
    <x v="3"/>
    <x v="0"/>
    <s v="May"/>
    <n v="3"/>
    <n v="5"/>
    <x v="79"/>
    <x v="2"/>
    <x v="5"/>
  </r>
  <r>
    <x v="7"/>
    <s v="card"/>
    <n v="27.92"/>
    <x v="5"/>
    <x v="0"/>
    <s v="May"/>
    <n v="3"/>
    <n v="5"/>
    <x v="79"/>
    <x v="2"/>
    <x v="5"/>
  </r>
  <r>
    <x v="7"/>
    <s v="card"/>
    <n v="32.82"/>
    <x v="3"/>
    <x v="0"/>
    <s v="May"/>
    <n v="3"/>
    <n v="5"/>
    <x v="79"/>
    <x v="2"/>
    <x v="5"/>
  </r>
  <r>
    <x v="1"/>
    <s v="card"/>
    <n v="27.92"/>
    <x v="2"/>
    <x v="1"/>
    <s v="May"/>
    <n v="3"/>
    <n v="5"/>
    <x v="79"/>
    <x v="2"/>
    <x v="5"/>
  </r>
  <r>
    <x v="1"/>
    <s v="card"/>
    <n v="27.92"/>
    <x v="2"/>
    <x v="1"/>
    <s v="May"/>
    <n v="3"/>
    <n v="5"/>
    <x v="79"/>
    <x v="2"/>
    <x v="5"/>
  </r>
  <r>
    <x v="8"/>
    <s v="card"/>
    <n v="32.82"/>
    <x v="3"/>
    <x v="1"/>
    <s v="May"/>
    <n v="3"/>
    <n v="5"/>
    <x v="79"/>
    <x v="2"/>
    <x v="5"/>
  </r>
  <r>
    <x v="6"/>
    <s v="card"/>
    <n v="37.72"/>
    <x v="7"/>
    <x v="2"/>
    <s v="May"/>
    <n v="3"/>
    <n v="5"/>
    <x v="79"/>
    <x v="2"/>
    <x v="5"/>
  </r>
  <r>
    <x v="6"/>
    <s v="card"/>
    <n v="37.72"/>
    <x v="7"/>
    <x v="2"/>
    <s v="May"/>
    <n v="3"/>
    <n v="5"/>
    <x v="79"/>
    <x v="2"/>
    <x v="5"/>
  </r>
  <r>
    <x v="15"/>
    <s v="card"/>
    <n v="37.72"/>
    <x v="1"/>
    <x v="2"/>
    <s v="May"/>
    <n v="3"/>
    <n v="5"/>
    <x v="79"/>
    <x v="2"/>
    <x v="5"/>
  </r>
  <r>
    <x v="15"/>
    <s v="card"/>
    <n v="37.72"/>
    <x v="7"/>
    <x v="2"/>
    <s v="May"/>
    <n v="3"/>
    <n v="5"/>
    <x v="79"/>
    <x v="2"/>
    <x v="5"/>
  </r>
  <r>
    <x v="0"/>
    <s v="card"/>
    <n v="37.72"/>
    <x v="7"/>
    <x v="0"/>
    <s v="May"/>
    <n v="4"/>
    <n v="5"/>
    <x v="80"/>
    <x v="2"/>
    <x v="6"/>
  </r>
  <r>
    <x v="1"/>
    <s v="card"/>
    <n v="23.02"/>
    <x v="6"/>
    <x v="1"/>
    <s v="May"/>
    <n v="4"/>
    <n v="5"/>
    <x v="80"/>
    <x v="2"/>
    <x v="6"/>
  </r>
  <r>
    <x v="3"/>
    <s v="card"/>
    <n v="37.72"/>
    <x v="7"/>
    <x v="1"/>
    <s v="May"/>
    <n v="4"/>
    <n v="5"/>
    <x v="80"/>
    <x v="2"/>
    <x v="6"/>
  </r>
  <r>
    <x v="3"/>
    <s v="card"/>
    <n v="37.72"/>
    <x v="7"/>
    <x v="1"/>
    <s v="May"/>
    <n v="4"/>
    <n v="5"/>
    <x v="80"/>
    <x v="2"/>
    <x v="6"/>
  </r>
  <r>
    <x v="4"/>
    <s v="card"/>
    <n v="37.72"/>
    <x v="7"/>
    <x v="1"/>
    <s v="May"/>
    <n v="4"/>
    <n v="5"/>
    <x v="80"/>
    <x v="2"/>
    <x v="6"/>
  </r>
  <r>
    <x v="4"/>
    <s v="card"/>
    <n v="37.72"/>
    <x v="0"/>
    <x v="1"/>
    <s v="May"/>
    <n v="4"/>
    <n v="5"/>
    <x v="80"/>
    <x v="2"/>
    <x v="6"/>
  </r>
  <r>
    <x v="9"/>
    <s v="card"/>
    <n v="37.72"/>
    <x v="7"/>
    <x v="2"/>
    <s v="May"/>
    <n v="4"/>
    <n v="5"/>
    <x v="80"/>
    <x v="2"/>
    <x v="6"/>
  </r>
  <r>
    <x v="9"/>
    <s v="card"/>
    <n v="37.72"/>
    <x v="0"/>
    <x v="2"/>
    <s v="May"/>
    <n v="4"/>
    <n v="5"/>
    <x v="80"/>
    <x v="2"/>
    <x v="6"/>
  </r>
  <r>
    <x v="6"/>
    <s v="card"/>
    <n v="27.92"/>
    <x v="5"/>
    <x v="2"/>
    <s v="May"/>
    <n v="4"/>
    <n v="5"/>
    <x v="80"/>
    <x v="2"/>
    <x v="6"/>
  </r>
  <r>
    <x v="6"/>
    <s v="card"/>
    <n v="37.72"/>
    <x v="7"/>
    <x v="2"/>
    <s v="May"/>
    <n v="4"/>
    <n v="5"/>
    <x v="80"/>
    <x v="2"/>
    <x v="6"/>
  </r>
  <r>
    <x v="6"/>
    <s v="card"/>
    <n v="37.72"/>
    <x v="7"/>
    <x v="2"/>
    <s v="May"/>
    <n v="4"/>
    <n v="5"/>
    <x v="80"/>
    <x v="2"/>
    <x v="6"/>
  </r>
  <r>
    <x v="6"/>
    <s v="card"/>
    <n v="37.72"/>
    <x v="7"/>
    <x v="2"/>
    <s v="May"/>
    <n v="4"/>
    <n v="5"/>
    <x v="80"/>
    <x v="2"/>
    <x v="6"/>
  </r>
  <r>
    <x v="11"/>
    <s v="card"/>
    <n v="37.72"/>
    <x v="7"/>
    <x v="2"/>
    <s v="May"/>
    <n v="4"/>
    <n v="5"/>
    <x v="80"/>
    <x v="2"/>
    <x v="6"/>
  </r>
  <r>
    <x v="11"/>
    <s v="card"/>
    <n v="37.72"/>
    <x v="0"/>
    <x v="2"/>
    <s v="May"/>
    <n v="4"/>
    <n v="5"/>
    <x v="80"/>
    <x v="2"/>
    <x v="6"/>
  </r>
  <r>
    <x v="13"/>
    <s v="card"/>
    <n v="32.82"/>
    <x v="3"/>
    <x v="2"/>
    <s v="May"/>
    <n v="4"/>
    <n v="5"/>
    <x v="80"/>
    <x v="2"/>
    <x v="6"/>
  </r>
  <r>
    <x v="7"/>
    <s v="card"/>
    <n v="27.92"/>
    <x v="5"/>
    <x v="0"/>
    <s v="May"/>
    <n v="5"/>
    <n v="5"/>
    <x v="81"/>
    <x v="2"/>
    <x v="0"/>
  </r>
  <r>
    <x v="7"/>
    <s v="card"/>
    <n v="27.92"/>
    <x v="2"/>
    <x v="0"/>
    <s v="May"/>
    <n v="5"/>
    <n v="5"/>
    <x v="81"/>
    <x v="2"/>
    <x v="0"/>
  </r>
  <r>
    <x v="7"/>
    <s v="card"/>
    <n v="27.92"/>
    <x v="2"/>
    <x v="0"/>
    <s v="May"/>
    <n v="5"/>
    <n v="5"/>
    <x v="81"/>
    <x v="2"/>
    <x v="0"/>
  </r>
  <r>
    <x v="4"/>
    <s v="card"/>
    <n v="37.72"/>
    <x v="1"/>
    <x v="1"/>
    <s v="May"/>
    <n v="5"/>
    <n v="5"/>
    <x v="81"/>
    <x v="2"/>
    <x v="0"/>
  </r>
  <r>
    <x v="5"/>
    <s v="card"/>
    <n v="27.92"/>
    <x v="5"/>
    <x v="2"/>
    <s v="May"/>
    <n v="5"/>
    <n v="5"/>
    <x v="81"/>
    <x v="2"/>
    <x v="0"/>
  </r>
  <r>
    <x v="5"/>
    <s v="card"/>
    <n v="27.92"/>
    <x v="5"/>
    <x v="2"/>
    <s v="May"/>
    <n v="5"/>
    <n v="5"/>
    <x v="81"/>
    <x v="2"/>
    <x v="0"/>
  </r>
  <r>
    <x v="13"/>
    <s v="card"/>
    <n v="32.82"/>
    <x v="3"/>
    <x v="2"/>
    <s v="May"/>
    <n v="5"/>
    <n v="5"/>
    <x v="81"/>
    <x v="2"/>
    <x v="0"/>
  </r>
  <r>
    <x v="1"/>
    <s v="card"/>
    <n v="37.72"/>
    <x v="0"/>
    <x v="1"/>
    <s v="May"/>
    <n v="6"/>
    <n v="5"/>
    <x v="82"/>
    <x v="2"/>
    <x v="1"/>
  </r>
  <r>
    <x v="1"/>
    <s v="card"/>
    <n v="32.82"/>
    <x v="3"/>
    <x v="1"/>
    <s v="May"/>
    <n v="6"/>
    <n v="5"/>
    <x v="82"/>
    <x v="2"/>
    <x v="1"/>
  </r>
  <r>
    <x v="1"/>
    <s v="card"/>
    <n v="32.82"/>
    <x v="3"/>
    <x v="1"/>
    <s v="May"/>
    <n v="6"/>
    <n v="5"/>
    <x v="82"/>
    <x v="2"/>
    <x v="1"/>
  </r>
  <r>
    <x v="1"/>
    <s v="card"/>
    <n v="32.82"/>
    <x v="3"/>
    <x v="1"/>
    <s v="May"/>
    <n v="6"/>
    <n v="5"/>
    <x v="82"/>
    <x v="2"/>
    <x v="1"/>
  </r>
  <r>
    <x v="4"/>
    <s v="card"/>
    <n v="32.82"/>
    <x v="3"/>
    <x v="1"/>
    <s v="May"/>
    <n v="6"/>
    <n v="5"/>
    <x v="82"/>
    <x v="2"/>
    <x v="1"/>
  </r>
  <r>
    <x v="4"/>
    <s v="card"/>
    <n v="27.92"/>
    <x v="2"/>
    <x v="1"/>
    <s v="May"/>
    <n v="6"/>
    <n v="5"/>
    <x v="82"/>
    <x v="2"/>
    <x v="1"/>
  </r>
  <r>
    <x v="0"/>
    <s v="card"/>
    <n v="37.72"/>
    <x v="0"/>
    <x v="0"/>
    <s v="May"/>
    <n v="7"/>
    <n v="5"/>
    <x v="83"/>
    <x v="2"/>
    <x v="2"/>
  </r>
  <r>
    <x v="8"/>
    <s v="card"/>
    <n v="32.82"/>
    <x v="3"/>
    <x v="1"/>
    <s v="May"/>
    <n v="7"/>
    <n v="5"/>
    <x v="83"/>
    <x v="2"/>
    <x v="2"/>
  </r>
  <r>
    <x v="8"/>
    <s v="card"/>
    <n v="27.92"/>
    <x v="5"/>
    <x v="1"/>
    <s v="May"/>
    <n v="7"/>
    <n v="5"/>
    <x v="83"/>
    <x v="2"/>
    <x v="2"/>
  </r>
  <r>
    <x v="8"/>
    <s v="card"/>
    <n v="32.82"/>
    <x v="3"/>
    <x v="1"/>
    <s v="May"/>
    <n v="7"/>
    <n v="5"/>
    <x v="83"/>
    <x v="2"/>
    <x v="2"/>
  </r>
  <r>
    <x v="9"/>
    <s v="card"/>
    <n v="37.72"/>
    <x v="7"/>
    <x v="2"/>
    <s v="May"/>
    <n v="7"/>
    <n v="5"/>
    <x v="83"/>
    <x v="2"/>
    <x v="2"/>
  </r>
  <r>
    <x v="5"/>
    <s v="card"/>
    <n v="37.72"/>
    <x v="1"/>
    <x v="2"/>
    <s v="May"/>
    <n v="7"/>
    <n v="5"/>
    <x v="83"/>
    <x v="2"/>
    <x v="2"/>
  </r>
  <r>
    <x v="5"/>
    <s v="card"/>
    <n v="37.72"/>
    <x v="1"/>
    <x v="2"/>
    <s v="May"/>
    <n v="7"/>
    <n v="5"/>
    <x v="83"/>
    <x v="2"/>
    <x v="2"/>
  </r>
  <r>
    <x v="5"/>
    <s v="card"/>
    <n v="27.92"/>
    <x v="2"/>
    <x v="2"/>
    <s v="May"/>
    <n v="7"/>
    <n v="5"/>
    <x v="83"/>
    <x v="2"/>
    <x v="2"/>
  </r>
  <r>
    <x v="5"/>
    <s v="card"/>
    <n v="37.72"/>
    <x v="0"/>
    <x v="2"/>
    <s v="May"/>
    <n v="7"/>
    <n v="5"/>
    <x v="83"/>
    <x v="2"/>
    <x v="2"/>
  </r>
  <r>
    <x v="11"/>
    <s v="card"/>
    <n v="37.72"/>
    <x v="1"/>
    <x v="2"/>
    <s v="May"/>
    <n v="7"/>
    <n v="5"/>
    <x v="83"/>
    <x v="2"/>
    <x v="2"/>
  </r>
  <r>
    <x v="15"/>
    <s v="card"/>
    <n v="37.72"/>
    <x v="7"/>
    <x v="2"/>
    <s v="May"/>
    <n v="7"/>
    <n v="5"/>
    <x v="83"/>
    <x v="2"/>
    <x v="2"/>
  </r>
  <r>
    <x v="15"/>
    <s v="card"/>
    <n v="27.92"/>
    <x v="5"/>
    <x v="2"/>
    <s v="May"/>
    <n v="7"/>
    <n v="5"/>
    <x v="83"/>
    <x v="2"/>
    <x v="2"/>
  </r>
  <r>
    <x v="15"/>
    <s v="card"/>
    <n v="37.72"/>
    <x v="7"/>
    <x v="2"/>
    <s v="May"/>
    <n v="7"/>
    <n v="5"/>
    <x v="83"/>
    <x v="2"/>
    <x v="2"/>
  </r>
  <r>
    <x v="15"/>
    <s v="card"/>
    <n v="37.72"/>
    <x v="0"/>
    <x v="2"/>
    <s v="May"/>
    <n v="7"/>
    <n v="5"/>
    <x v="83"/>
    <x v="2"/>
    <x v="2"/>
  </r>
  <r>
    <x v="15"/>
    <s v="card"/>
    <n v="37.72"/>
    <x v="7"/>
    <x v="2"/>
    <s v="May"/>
    <n v="7"/>
    <n v="5"/>
    <x v="83"/>
    <x v="2"/>
    <x v="2"/>
  </r>
  <r>
    <x v="7"/>
    <s v="card"/>
    <n v="27.92"/>
    <x v="2"/>
    <x v="0"/>
    <s v="May"/>
    <n v="1"/>
    <n v="5"/>
    <x v="84"/>
    <x v="2"/>
    <x v="3"/>
  </r>
  <r>
    <x v="8"/>
    <s v="card"/>
    <n v="32.82"/>
    <x v="3"/>
    <x v="1"/>
    <s v="May"/>
    <n v="1"/>
    <n v="5"/>
    <x v="84"/>
    <x v="2"/>
    <x v="3"/>
  </r>
  <r>
    <x v="8"/>
    <s v="card"/>
    <n v="37.72"/>
    <x v="4"/>
    <x v="1"/>
    <s v="May"/>
    <n v="1"/>
    <n v="5"/>
    <x v="84"/>
    <x v="2"/>
    <x v="3"/>
  </r>
  <r>
    <x v="3"/>
    <s v="card"/>
    <n v="27.92"/>
    <x v="2"/>
    <x v="1"/>
    <s v="May"/>
    <n v="1"/>
    <n v="5"/>
    <x v="84"/>
    <x v="2"/>
    <x v="3"/>
  </r>
  <r>
    <x v="3"/>
    <s v="card"/>
    <n v="27.92"/>
    <x v="2"/>
    <x v="1"/>
    <s v="May"/>
    <n v="1"/>
    <n v="5"/>
    <x v="84"/>
    <x v="2"/>
    <x v="3"/>
  </r>
  <r>
    <x v="9"/>
    <s v="card"/>
    <n v="37.72"/>
    <x v="0"/>
    <x v="2"/>
    <s v="May"/>
    <n v="1"/>
    <n v="5"/>
    <x v="84"/>
    <x v="2"/>
    <x v="3"/>
  </r>
  <r>
    <x v="5"/>
    <s v="card"/>
    <n v="27.92"/>
    <x v="2"/>
    <x v="2"/>
    <s v="May"/>
    <n v="1"/>
    <n v="5"/>
    <x v="84"/>
    <x v="2"/>
    <x v="3"/>
  </r>
  <r>
    <x v="6"/>
    <s v="card"/>
    <n v="37.72"/>
    <x v="0"/>
    <x v="2"/>
    <s v="May"/>
    <n v="1"/>
    <n v="5"/>
    <x v="84"/>
    <x v="2"/>
    <x v="3"/>
  </r>
  <r>
    <x v="6"/>
    <s v="card"/>
    <n v="37.72"/>
    <x v="0"/>
    <x v="2"/>
    <s v="May"/>
    <n v="1"/>
    <n v="5"/>
    <x v="84"/>
    <x v="2"/>
    <x v="3"/>
  </r>
  <r>
    <x v="15"/>
    <s v="card"/>
    <n v="32.82"/>
    <x v="3"/>
    <x v="2"/>
    <s v="May"/>
    <n v="1"/>
    <n v="5"/>
    <x v="84"/>
    <x v="2"/>
    <x v="3"/>
  </r>
  <r>
    <x v="15"/>
    <s v="card"/>
    <n v="37.72"/>
    <x v="7"/>
    <x v="2"/>
    <s v="May"/>
    <n v="1"/>
    <n v="5"/>
    <x v="84"/>
    <x v="2"/>
    <x v="3"/>
  </r>
  <r>
    <x v="12"/>
    <s v="card"/>
    <n v="32.82"/>
    <x v="3"/>
    <x v="0"/>
    <s v="May"/>
    <n v="2"/>
    <n v="5"/>
    <x v="85"/>
    <x v="2"/>
    <x v="4"/>
  </r>
  <r>
    <x v="10"/>
    <s v="card"/>
    <n v="32.82"/>
    <x v="3"/>
    <x v="0"/>
    <s v="May"/>
    <n v="2"/>
    <n v="5"/>
    <x v="85"/>
    <x v="2"/>
    <x v="4"/>
  </r>
  <r>
    <x v="7"/>
    <s v="card"/>
    <n v="37.72"/>
    <x v="7"/>
    <x v="0"/>
    <s v="May"/>
    <n v="2"/>
    <n v="5"/>
    <x v="85"/>
    <x v="2"/>
    <x v="4"/>
  </r>
  <r>
    <x v="2"/>
    <s v="card"/>
    <n v="37.72"/>
    <x v="7"/>
    <x v="1"/>
    <s v="May"/>
    <n v="2"/>
    <n v="5"/>
    <x v="85"/>
    <x v="2"/>
    <x v="4"/>
  </r>
  <r>
    <x v="8"/>
    <s v="card"/>
    <n v="37.72"/>
    <x v="4"/>
    <x v="1"/>
    <s v="May"/>
    <n v="2"/>
    <n v="5"/>
    <x v="85"/>
    <x v="2"/>
    <x v="4"/>
  </r>
  <r>
    <x v="4"/>
    <s v="card"/>
    <n v="27.92"/>
    <x v="5"/>
    <x v="1"/>
    <s v="May"/>
    <n v="2"/>
    <n v="5"/>
    <x v="85"/>
    <x v="2"/>
    <x v="4"/>
  </r>
  <r>
    <x v="6"/>
    <s v="card"/>
    <n v="27.92"/>
    <x v="2"/>
    <x v="2"/>
    <s v="May"/>
    <n v="2"/>
    <n v="5"/>
    <x v="85"/>
    <x v="2"/>
    <x v="4"/>
  </r>
  <r>
    <x v="6"/>
    <s v="card"/>
    <n v="37.72"/>
    <x v="0"/>
    <x v="2"/>
    <s v="May"/>
    <n v="2"/>
    <n v="5"/>
    <x v="85"/>
    <x v="2"/>
    <x v="4"/>
  </r>
  <r>
    <x v="11"/>
    <s v="card"/>
    <n v="32.82"/>
    <x v="3"/>
    <x v="2"/>
    <s v="May"/>
    <n v="2"/>
    <n v="5"/>
    <x v="85"/>
    <x v="2"/>
    <x v="4"/>
  </r>
  <r>
    <x v="11"/>
    <s v="card"/>
    <n v="27.92"/>
    <x v="2"/>
    <x v="2"/>
    <s v="May"/>
    <n v="2"/>
    <n v="5"/>
    <x v="85"/>
    <x v="2"/>
    <x v="4"/>
  </r>
  <r>
    <x v="10"/>
    <s v="card"/>
    <n v="37.72"/>
    <x v="0"/>
    <x v="0"/>
    <s v="May"/>
    <n v="3"/>
    <n v="5"/>
    <x v="86"/>
    <x v="2"/>
    <x v="5"/>
  </r>
  <r>
    <x v="7"/>
    <s v="card"/>
    <n v="37.72"/>
    <x v="1"/>
    <x v="0"/>
    <s v="May"/>
    <n v="3"/>
    <n v="5"/>
    <x v="86"/>
    <x v="2"/>
    <x v="5"/>
  </r>
  <r>
    <x v="3"/>
    <s v="card"/>
    <n v="27.92"/>
    <x v="2"/>
    <x v="1"/>
    <s v="May"/>
    <n v="3"/>
    <n v="5"/>
    <x v="86"/>
    <x v="2"/>
    <x v="5"/>
  </r>
  <r>
    <x v="3"/>
    <s v="card"/>
    <n v="37.72"/>
    <x v="0"/>
    <x v="1"/>
    <s v="May"/>
    <n v="3"/>
    <n v="5"/>
    <x v="86"/>
    <x v="2"/>
    <x v="5"/>
  </r>
  <r>
    <x v="3"/>
    <s v="card"/>
    <n v="37.72"/>
    <x v="7"/>
    <x v="1"/>
    <s v="May"/>
    <n v="3"/>
    <n v="5"/>
    <x v="86"/>
    <x v="2"/>
    <x v="5"/>
  </r>
  <r>
    <x v="4"/>
    <s v="card"/>
    <n v="37.72"/>
    <x v="0"/>
    <x v="1"/>
    <s v="May"/>
    <n v="3"/>
    <n v="5"/>
    <x v="86"/>
    <x v="2"/>
    <x v="5"/>
  </r>
  <r>
    <x v="5"/>
    <s v="card"/>
    <n v="27.92"/>
    <x v="5"/>
    <x v="2"/>
    <s v="May"/>
    <n v="3"/>
    <n v="5"/>
    <x v="86"/>
    <x v="2"/>
    <x v="5"/>
  </r>
  <r>
    <x v="5"/>
    <s v="card"/>
    <n v="37.72"/>
    <x v="0"/>
    <x v="2"/>
    <s v="May"/>
    <n v="3"/>
    <n v="5"/>
    <x v="86"/>
    <x v="2"/>
    <x v="5"/>
  </r>
  <r>
    <x v="11"/>
    <s v="card"/>
    <n v="37.72"/>
    <x v="1"/>
    <x v="2"/>
    <s v="May"/>
    <n v="3"/>
    <n v="5"/>
    <x v="86"/>
    <x v="2"/>
    <x v="5"/>
  </r>
  <r>
    <x v="11"/>
    <s v="card"/>
    <n v="37.72"/>
    <x v="4"/>
    <x v="2"/>
    <s v="May"/>
    <n v="3"/>
    <n v="5"/>
    <x v="86"/>
    <x v="2"/>
    <x v="5"/>
  </r>
  <r>
    <x v="12"/>
    <s v="card"/>
    <n v="37.72"/>
    <x v="7"/>
    <x v="0"/>
    <s v="May"/>
    <n v="4"/>
    <n v="5"/>
    <x v="87"/>
    <x v="2"/>
    <x v="6"/>
  </r>
  <r>
    <x v="12"/>
    <s v="card"/>
    <n v="37.72"/>
    <x v="0"/>
    <x v="0"/>
    <s v="May"/>
    <n v="4"/>
    <n v="5"/>
    <x v="87"/>
    <x v="2"/>
    <x v="6"/>
  </r>
  <r>
    <x v="12"/>
    <s v="card"/>
    <n v="32.82"/>
    <x v="3"/>
    <x v="0"/>
    <s v="May"/>
    <n v="4"/>
    <n v="5"/>
    <x v="87"/>
    <x v="2"/>
    <x v="6"/>
  </r>
  <r>
    <x v="10"/>
    <s v="card"/>
    <n v="37.72"/>
    <x v="0"/>
    <x v="0"/>
    <s v="May"/>
    <n v="4"/>
    <n v="5"/>
    <x v="87"/>
    <x v="2"/>
    <x v="6"/>
  </r>
  <r>
    <x v="8"/>
    <s v="card"/>
    <n v="32.82"/>
    <x v="3"/>
    <x v="1"/>
    <s v="May"/>
    <n v="4"/>
    <n v="5"/>
    <x v="87"/>
    <x v="2"/>
    <x v="6"/>
  </r>
  <r>
    <x v="3"/>
    <s v="card"/>
    <n v="23.02"/>
    <x v="6"/>
    <x v="1"/>
    <s v="May"/>
    <n v="4"/>
    <n v="5"/>
    <x v="87"/>
    <x v="2"/>
    <x v="6"/>
  </r>
  <r>
    <x v="3"/>
    <s v="card"/>
    <n v="23.02"/>
    <x v="6"/>
    <x v="1"/>
    <s v="May"/>
    <n v="4"/>
    <n v="5"/>
    <x v="87"/>
    <x v="2"/>
    <x v="6"/>
  </r>
  <r>
    <x v="6"/>
    <s v="card"/>
    <n v="37.72"/>
    <x v="7"/>
    <x v="2"/>
    <s v="May"/>
    <n v="4"/>
    <n v="5"/>
    <x v="87"/>
    <x v="2"/>
    <x v="6"/>
  </r>
  <r>
    <x v="11"/>
    <s v="card"/>
    <n v="37.72"/>
    <x v="0"/>
    <x v="2"/>
    <s v="May"/>
    <n v="4"/>
    <n v="5"/>
    <x v="87"/>
    <x v="2"/>
    <x v="6"/>
  </r>
  <r>
    <x v="11"/>
    <s v="card"/>
    <n v="37.72"/>
    <x v="1"/>
    <x v="2"/>
    <s v="May"/>
    <n v="4"/>
    <n v="5"/>
    <x v="87"/>
    <x v="2"/>
    <x v="6"/>
  </r>
  <r>
    <x v="11"/>
    <s v="card"/>
    <n v="32.82"/>
    <x v="3"/>
    <x v="2"/>
    <s v="May"/>
    <n v="4"/>
    <n v="5"/>
    <x v="87"/>
    <x v="2"/>
    <x v="6"/>
  </r>
  <r>
    <x v="14"/>
    <s v="card"/>
    <n v="32.82"/>
    <x v="3"/>
    <x v="0"/>
    <s v="May"/>
    <n v="5"/>
    <n v="5"/>
    <x v="88"/>
    <x v="2"/>
    <x v="0"/>
  </r>
  <r>
    <x v="10"/>
    <s v="card"/>
    <n v="37.72"/>
    <x v="0"/>
    <x v="0"/>
    <s v="May"/>
    <n v="5"/>
    <n v="5"/>
    <x v="88"/>
    <x v="2"/>
    <x v="0"/>
  </r>
  <r>
    <x v="0"/>
    <s v="card"/>
    <n v="37.72"/>
    <x v="1"/>
    <x v="0"/>
    <s v="May"/>
    <n v="5"/>
    <n v="5"/>
    <x v="88"/>
    <x v="2"/>
    <x v="0"/>
  </r>
  <r>
    <x v="0"/>
    <s v="card"/>
    <n v="37.72"/>
    <x v="4"/>
    <x v="0"/>
    <s v="May"/>
    <n v="5"/>
    <n v="5"/>
    <x v="88"/>
    <x v="2"/>
    <x v="0"/>
  </r>
  <r>
    <x v="8"/>
    <s v="card"/>
    <n v="32.82"/>
    <x v="3"/>
    <x v="1"/>
    <s v="May"/>
    <n v="5"/>
    <n v="5"/>
    <x v="88"/>
    <x v="2"/>
    <x v="0"/>
  </r>
  <r>
    <x v="5"/>
    <s v="card"/>
    <n v="37.72"/>
    <x v="0"/>
    <x v="2"/>
    <s v="May"/>
    <n v="5"/>
    <n v="5"/>
    <x v="88"/>
    <x v="2"/>
    <x v="0"/>
  </r>
  <r>
    <x v="5"/>
    <s v="card"/>
    <n v="37.72"/>
    <x v="0"/>
    <x v="2"/>
    <s v="May"/>
    <n v="5"/>
    <n v="5"/>
    <x v="88"/>
    <x v="2"/>
    <x v="0"/>
  </r>
  <r>
    <x v="11"/>
    <s v="card"/>
    <n v="37.72"/>
    <x v="7"/>
    <x v="2"/>
    <s v="May"/>
    <n v="5"/>
    <n v="5"/>
    <x v="88"/>
    <x v="2"/>
    <x v="0"/>
  </r>
  <r>
    <x v="11"/>
    <s v="card"/>
    <n v="32.82"/>
    <x v="3"/>
    <x v="2"/>
    <s v="May"/>
    <n v="5"/>
    <n v="5"/>
    <x v="88"/>
    <x v="2"/>
    <x v="0"/>
  </r>
  <r>
    <x v="11"/>
    <s v="card"/>
    <n v="37.72"/>
    <x v="0"/>
    <x v="2"/>
    <s v="May"/>
    <n v="5"/>
    <n v="5"/>
    <x v="88"/>
    <x v="2"/>
    <x v="0"/>
  </r>
  <r>
    <x v="13"/>
    <s v="card"/>
    <n v="37.72"/>
    <x v="7"/>
    <x v="2"/>
    <s v="May"/>
    <n v="5"/>
    <n v="5"/>
    <x v="88"/>
    <x v="2"/>
    <x v="0"/>
  </r>
  <r>
    <x v="13"/>
    <s v="card"/>
    <n v="32.82"/>
    <x v="3"/>
    <x v="2"/>
    <s v="May"/>
    <n v="5"/>
    <n v="5"/>
    <x v="88"/>
    <x v="2"/>
    <x v="0"/>
  </r>
  <r>
    <x v="13"/>
    <s v="card"/>
    <n v="27.92"/>
    <x v="5"/>
    <x v="2"/>
    <s v="May"/>
    <n v="5"/>
    <n v="5"/>
    <x v="88"/>
    <x v="2"/>
    <x v="0"/>
  </r>
  <r>
    <x v="12"/>
    <s v="card"/>
    <n v="27.92"/>
    <x v="5"/>
    <x v="0"/>
    <s v="Jun"/>
    <n v="6"/>
    <n v="6"/>
    <x v="89"/>
    <x v="3"/>
    <x v="1"/>
  </r>
  <r>
    <x v="10"/>
    <s v="card"/>
    <n v="37.72"/>
    <x v="0"/>
    <x v="0"/>
    <s v="Jun"/>
    <n v="6"/>
    <n v="6"/>
    <x v="89"/>
    <x v="3"/>
    <x v="1"/>
  </r>
  <r>
    <x v="7"/>
    <s v="card"/>
    <n v="37.72"/>
    <x v="0"/>
    <x v="0"/>
    <s v="Jun"/>
    <n v="6"/>
    <n v="6"/>
    <x v="89"/>
    <x v="3"/>
    <x v="1"/>
  </r>
  <r>
    <x v="8"/>
    <s v="card"/>
    <n v="32.82"/>
    <x v="3"/>
    <x v="1"/>
    <s v="Jun"/>
    <n v="6"/>
    <n v="6"/>
    <x v="89"/>
    <x v="3"/>
    <x v="1"/>
  </r>
  <r>
    <x v="5"/>
    <s v="card"/>
    <n v="32.82"/>
    <x v="3"/>
    <x v="2"/>
    <s v="Jun"/>
    <n v="6"/>
    <n v="6"/>
    <x v="89"/>
    <x v="3"/>
    <x v="1"/>
  </r>
  <r>
    <x v="5"/>
    <s v="card"/>
    <n v="32.82"/>
    <x v="3"/>
    <x v="2"/>
    <s v="Jun"/>
    <n v="6"/>
    <n v="6"/>
    <x v="89"/>
    <x v="3"/>
    <x v="1"/>
  </r>
  <r>
    <x v="11"/>
    <s v="card"/>
    <n v="37.72"/>
    <x v="7"/>
    <x v="2"/>
    <s v="Jun"/>
    <n v="6"/>
    <n v="6"/>
    <x v="89"/>
    <x v="3"/>
    <x v="1"/>
  </r>
  <r>
    <x v="11"/>
    <s v="card"/>
    <n v="37.72"/>
    <x v="7"/>
    <x v="2"/>
    <s v="Jun"/>
    <n v="6"/>
    <n v="6"/>
    <x v="89"/>
    <x v="3"/>
    <x v="1"/>
  </r>
  <r>
    <x v="11"/>
    <s v="card"/>
    <n v="37.72"/>
    <x v="4"/>
    <x v="2"/>
    <s v="Jun"/>
    <n v="6"/>
    <n v="6"/>
    <x v="89"/>
    <x v="3"/>
    <x v="1"/>
  </r>
  <r>
    <x v="15"/>
    <s v="card"/>
    <n v="32.82"/>
    <x v="3"/>
    <x v="2"/>
    <s v="Jun"/>
    <n v="6"/>
    <n v="6"/>
    <x v="89"/>
    <x v="3"/>
    <x v="1"/>
  </r>
  <r>
    <x v="11"/>
    <s v="card"/>
    <n v="37.72"/>
    <x v="0"/>
    <x v="2"/>
    <s v="Jun"/>
    <n v="7"/>
    <n v="6"/>
    <x v="90"/>
    <x v="3"/>
    <x v="2"/>
  </r>
  <r>
    <x v="11"/>
    <s v="card"/>
    <n v="32.82"/>
    <x v="3"/>
    <x v="2"/>
    <s v="Jun"/>
    <n v="7"/>
    <n v="6"/>
    <x v="90"/>
    <x v="3"/>
    <x v="2"/>
  </r>
  <r>
    <x v="11"/>
    <s v="card"/>
    <n v="37.72"/>
    <x v="7"/>
    <x v="2"/>
    <s v="Jun"/>
    <n v="7"/>
    <n v="6"/>
    <x v="90"/>
    <x v="3"/>
    <x v="2"/>
  </r>
  <r>
    <x v="15"/>
    <s v="card"/>
    <n v="32.82"/>
    <x v="3"/>
    <x v="2"/>
    <s v="Jun"/>
    <n v="7"/>
    <n v="6"/>
    <x v="90"/>
    <x v="3"/>
    <x v="2"/>
  </r>
  <r>
    <x v="15"/>
    <s v="card"/>
    <n v="37.72"/>
    <x v="0"/>
    <x v="2"/>
    <s v="Jun"/>
    <n v="7"/>
    <n v="6"/>
    <x v="90"/>
    <x v="3"/>
    <x v="2"/>
  </r>
  <r>
    <x v="0"/>
    <s v="card"/>
    <n v="37.72"/>
    <x v="0"/>
    <x v="0"/>
    <s v="Jun"/>
    <n v="1"/>
    <n v="6"/>
    <x v="91"/>
    <x v="3"/>
    <x v="3"/>
  </r>
  <r>
    <x v="0"/>
    <s v="card"/>
    <n v="37.72"/>
    <x v="0"/>
    <x v="0"/>
    <s v="Jun"/>
    <n v="1"/>
    <n v="6"/>
    <x v="91"/>
    <x v="3"/>
    <x v="3"/>
  </r>
  <r>
    <x v="8"/>
    <s v="card"/>
    <n v="37.72"/>
    <x v="7"/>
    <x v="1"/>
    <s v="Jun"/>
    <n v="1"/>
    <n v="6"/>
    <x v="91"/>
    <x v="3"/>
    <x v="3"/>
  </r>
  <r>
    <x v="8"/>
    <s v="card"/>
    <n v="32.82"/>
    <x v="3"/>
    <x v="1"/>
    <s v="Jun"/>
    <n v="1"/>
    <n v="6"/>
    <x v="91"/>
    <x v="3"/>
    <x v="3"/>
  </r>
  <r>
    <x v="8"/>
    <s v="card"/>
    <n v="37.72"/>
    <x v="0"/>
    <x v="1"/>
    <s v="Jun"/>
    <n v="1"/>
    <n v="6"/>
    <x v="91"/>
    <x v="3"/>
    <x v="3"/>
  </r>
  <r>
    <x v="10"/>
    <s v="card"/>
    <n v="27.92"/>
    <x v="5"/>
    <x v="0"/>
    <s v="Jun"/>
    <n v="2"/>
    <n v="6"/>
    <x v="92"/>
    <x v="3"/>
    <x v="4"/>
  </r>
  <r>
    <x v="0"/>
    <s v="card"/>
    <n v="32.82"/>
    <x v="3"/>
    <x v="0"/>
    <s v="Jun"/>
    <n v="2"/>
    <n v="6"/>
    <x v="92"/>
    <x v="3"/>
    <x v="4"/>
  </r>
  <r>
    <x v="1"/>
    <s v="card"/>
    <n v="37.72"/>
    <x v="0"/>
    <x v="1"/>
    <s v="Jun"/>
    <n v="2"/>
    <n v="6"/>
    <x v="92"/>
    <x v="3"/>
    <x v="4"/>
  </r>
  <r>
    <x v="1"/>
    <s v="card"/>
    <n v="37.72"/>
    <x v="1"/>
    <x v="1"/>
    <s v="Jun"/>
    <n v="2"/>
    <n v="6"/>
    <x v="92"/>
    <x v="3"/>
    <x v="4"/>
  </r>
  <r>
    <x v="3"/>
    <s v="card"/>
    <n v="37.72"/>
    <x v="0"/>
    <x v="1"/>
    <s v="Jun"/>
    <n v="2"/>
    <n v="6"/>
    <x v="92"/>
    <x v="3"/>
    <x v="4"/>
  </r>
  <r>
    <x v="9"/>
    <s v="card"/>
    <n v="27.92"/>
    <x v="5"/>
    <x v="2"/>
    <s v="Jun"/>
    <n v="2"/>
    <n v="6"/>
    <x v="92"/>
    <x v="3"/>
    <x v="4"/>
  </r>
  <r>
    <x v="9"/>
    <s v="card"/>
    <n v="37.72"/>
    <x v="7"/>
    <x v="2"/>
    <s v="Jun"/>
    <n v="2"/>
    <n v="6"/>
    <x v="92"/>
    <x v="3"/>
    <x v="4"/>
  </r>
  <r>
    <x v="11"/>
    <s v="card"/>
    <n v="37.72"/>
    <x v="1"/>
    <x v="2"/>
    <s v="Jun"/>
    <n v="2"/>
    <n v="6"/>
    <x v="92"/>
    <x v="3"/>
    <x v="4"/>
  </r>
  <r>
    <x v="11"/>
    <s v="card"/>
    <n v="37.72"/>
    <x v="7"/>
    <x v="2"/>
    <s v="Jun"/>
    <n v="2"/>
    <n v="6"/>
    <x v="92"/>
    <x v="3"/>
    <x v="4"/>
  </r>
  <r>
    <x v="15"/>
    <s v="card"/>
    <n v="27.92"/>
    <x v="5"/>
    <x v="2"/>
    <s v="Jun"/>
    <n v="2"/>
    <n v="6"/>
    <x v="92"/>
    <x v="3"/>
    <x v="4"/>
  </r>
  <r>
    <x v="15"/>
    <s v="card"/>
    <n v="32.82"/>
    <x v="3"/>
    <x v="2"/>
    <s v="Jun"/>
    <n v="2"/>
    <n v="6"/>
    <x v="92"/>
    <x v="3"/>
    <x v="4"/>
  </r>
  <r>
    <x v="15"/>
    <s v="card"/>
    <n v="32.82"/>
    <x v="3"/>
    <x v="2"/>
    <s v="Jun"/>
    <n v="2"/>
    <n v="6"/>
    <x v="92"/>
    <x v="3"/>
    <x v="4"/>
  </r>
  <r>
    <x v="15"/>
    <s v="card"/>
    <n v="32.82"/>
    <x v="3"/>
    <x v="2"/>
    <s v="Jun"/>
    <n v="2"/>
    <n v="6"/>
    <x v="92"/>
    <x v="3"/>
    <x v="4"/>
  </r>
  <r>
    <x v="15"/>
    <s v="card"/>
    <n v="32.82"/>
    <x v="3"/>
    <x v="2"/>
    <s v="Jun"/>
    <n v="2"/>
    <n v="6"/>
    <x v="92"/>
    <x v="3"/>
    <x v="4"/>
  </r>
  <r>
    <x v="12"/>
    <s v="card"/>
    <n v="37.72"/>
    <x v="7"/>
    <x v="0"/>
    <s v="Jun"/>
    <n v="3"/>
    <n v="6"/>
    <x v="93"/>
    <x v="3"/>
    <x v="5"/>
  </r>
  <r>
    <x v="12"/>
    <s v="card"/>
    <n v="37.72"/>
    <x v="7"/>
    <x v="0"/>
    <s v="Jun"/>
    <n v="3"/>
    <n v="6"/>
    <x v="93"/>
    <x v="3"/>
    <x v="5"/>
  </r>
  <r>
    <x v="10"/>
    <s v="card"/>
    <n v="27.92"/>
    <x v="2"/>
    <x v="0"/>
    <s v="Jun"/>
    <n v="3"/>
    <n v="6"/>
    <x v="93"/>
    <x v="3"/>
    <x v="5"/>
  </r>
  <r>
    <x v="0"/>
    <s v="card"/>
    <n v="37.72"/>
    <x v="0"/>
    <x v="0"/>
    <s v="Jun"/>
    <n v="3"/>
    <n v="6"/>
    <x v="93"/>
    <x v="3"/>
    <x v="5"/>
  </r>
  <r>
    <x v="0"/>
    <s v="card"/>
    <n v="32.82"/>
    <x v="3"/>
    <x v="0"/>
    <s v="Jun"/>
    <n v="3"/>
    <n v="6"/>
    <x v="93"/>
    <x v="3"/>
    <x v="5"/>
  </r>
  <r>
    <x v="6"/>
    <s v="card"/>
    <n v="32.82"/>
    <x v="3"/>
    <x v="2"/>
    <s v="Jun"/>
    <n v="3"/>
    <n v="6"/>
    <x v="93"/>
    <x v="3"/>
    <x v="5"/>
  </r>
  <r>
    <x v="6"/>
    <s v="card"/>
    <n v="37.72"/>
    <x v="0"/>
    <x v="2"/>
    <s v="Jun"/>
    <n v="3"/>
    <n v="6"/>
    <x v="93"/>
    <x v="3"/>
    <x v="5"/>
  </r>
  <r>
    <x v="11"/>
    <s v="card"/>
    <n v="37.72"/>
    <x v="4"/>
    <x v="2"/>
    <s v="Jun"/>
    <n v="3"/>
    <n v="6"/>
    <x v="93"/>
    <x v="3"/>
    <x v="5"/>
  </r>
  <r>
    <x v="11"/>
    <s v="card"/>
    <n v="27.92"/>
    <x v="5"/>
    <x v="2"/>
    <s v="Jun"/>
    <n v="3"/>
    <n v="6"/>
    <x v="93"/>
    <x v="3"/>
    <x v="5"/>
  </r>
  <r>
    <x v="12"/>
    <s v="card"/>
    <n v="32.82"/>
    <x v="3"/>
    <x v="0"/>
    <s v="Jun"/>
    <n v="4"/>
    <n v="6"/>
    <x v="94"/>
    <x v="3"/>
    <x v="6"/>
  </r>
  <r>
    <x v="12"/>
    <s v="card"/>
    <n v="32.82"/>
    <x v="3"/>
    <x v="0"/>
    <s v="Jun"/>
    <n v="4"/>
    <n v="6"/>
    <x v="94"/>
    <x v="3"/>
    <x v="6"/>
  </r>
  <r>
    <x v="0"/>
    <s v="card"/>
    <n v="37.72"/>
    <x v="0"/>
    <x v="0"/>
    <s v="Jun"/>
    <n v="4"/>
    <n v="6"/>
    <x v="94"/>
    <x v="3"/>
    <x v="6"/>
  </r>
  <r>
    <x v="1"/>
    <s v="card"/>
    <n v="27.92"/>
    <x v="2"/>
    <x v="1"/>
    <s v="Jun"/>
    <n v="4"/>
    <n v="6"/>
    <x v="94"/>
    <x v="3"/>
    <x v="6"/>
  </r>
  <r>
    <x v="3"/>
    <s v="card"/>
    <n v="32.82"/>
    <x v="3"/>
    <x v="1"/>
    <s v="Jun"/>
    <n v="4"/>
    <n v="6"/>
    <x v="94"/>
    <x v="3"/>
    <x v="6"/>
  </r>
  <r>
    <x v="3"/>
    <s v="card"/>
    <n v="37.72"/>
    <x v="7"/>
    <x v="1"/>
    <s v="Jun"/>
    <n v="4"/>
    <n v="6"/>
    <x v="94"/>
    <x v="3"/>
    <x v="6"/>
  </r>
  <r>
    <x v="15"/>
    <s v="card"/>
    <n v="37.72"/>
    <x v="0"/>
    <x v="2"/>
    <s v="Jun"/>
    <n v="4"/>
    <n v="6"/>
    <x v="94"/>
    <x v="3"/>
    <x v="6"/>
  </r>
  <r>
    <x v="15"/>
    <s v="card"/>
    <n v="37.72"/>
    <x v="0"/>
    <x v="2"/>
    <s v="Jun"/>
    <n v="4"/>
    <n v="6"/>
    <x v="94"/>
    <x v="3"/>
    <x v="6"/>
  </r>
  <r>
    <x v="15"/>
    <s v="card"/>
    <n v="37.72"/>
    <x v="7"/>
    <x v="2"/>
    <s v="Jun"/>
    <n v="4"/>
    <n v="6"/>
    <x v="94"/>
    <x v="3"/>
    <x v="6"/>
  </r>
  <r>
    <x v="15"/>
    <s v="card"/>
    <n v="32.82"/>
    <x v="3"/>
    <x v="2"/>
    <s v="Jun"/>
    <n v="4"/>
    <n v="6"/>
    <x v="94"/>
    <x v="3"/>
    <x v="6"/>
  </r>
  <r>
    <x v="15"/>
    <s v="card"/>
    <n v="37.72"/>
    <x v="0"/>
    <x v="2"/>
    <s v="Jun"/>
    <n v="4"/>
    <n v="6"/>
    <x v="94"/>
    <x v="3"/>
    <x v="6"/>
  </r>
  <r>
    <x v="12"/>
    <s v="card"/>
    <n v="37.72"/>
    <x v="7"/>
    <x v="0"/>
    <s v="Jun"/>
    <n v="5"/>
    <n v="6"/>
    <x v="95"/>
    <x v="3"/>
    <x v="0"/>
  </r>
  <r>
    <x v="0"/>
    <s v="card"/>
    <n v="23.02"/>
    <x v="6"/>
    <x v="0"/>
    <s v="Jun"/>
    <n v="5"/>
    <n v="6"/>
    <x v="95"/>
    <x v="3"/>
    <x v="0"/>
  </r>
  <r>
    <x v="2"/>
    <s v="card"/>
    <n v="32.82"/>
    <x v="3"/>
    <x v="1"/>
    <s v="Jun"/>
    <n v="5"/>
    <n v="6"/>
    <x v="95"/>
    <x v="3"/>
    <x v="0"/>
  </r>
  <r>
    <x v="4"/>
    <s v="card"/>
    <n v="27.92"/>
    <x v="5"/>
    <x v="1"/>
    <s v="Jun"/>
    <n v="5"/>
    <n v="6"/>
    <x v="95"/>
    <x v="3"/>
    <x v="0"/>
  </r>
  <r>
    <x v="4"/>
    <s v="card"/>
    <n v="27.92"/>
    <x v="5"/>
    <x v="1"/>
    <s v="Jun"/>
    <n v="5"/>
    <n v="6"/>
    <x v="95"/>
    <x v="3"/>
    <x v="0"/>
  </r>
  <r>
    <x v="10"/>
    <s v="card"/>
    <n v="27.92"/>
    <x v="5"/>
    <x v="0"/>
    <s v="Jun"/>
    <n v="6"/>
    <n v="6"/>
    <x v="96"/>
    <x v="3"/>
    <x v="1"/>
  </r>
  <r>
    <x v="10"/>
    <s v="card"/>
    <n v="32.82"/>
    <x v="3"/>
    <x v="0"/>
    <s v="Jun"/>
    <n v="6"/>
    <n v="6"/>
    <x v="96"/>
    <x v="3"/>
    <x v="1"/>
  </r>
  <r>
    <x v="11"/>
    <s v="card"/>
    <n v="37.72"/>
    <x v="7"/>
    <x v="2"/>
    <s v="Jun"/>
    <n v="6"/>
    <n v="6"/>
    <x v="96"/>
    <x v="3"/>
    <x v="1"/>
  </r>
  <r>
    <x v="11"/>
    <s v="card"/>
    <n v="37.72"/>
    <x v="7"/>
    <x v="2"/>
    <s v="Jun"/>
    <n v="6"/>
    <n v="6"/>
    <x v="96"/>
    <x v="3"/>
    <x v="1"/>
  </r>
  <r>
    <x v="12"/>
    <s v="card"/>
    <n v="37.72"/>
    <x v="0"/>
    <x v="0"/>
    <s v="Jun"/>
    <n v="7"/>
    <n v="6"/>
    <x v="97"/>
    <x v="3"/>
    <x v="2"/>
  </r>
  <r>
    <x v="0"/>
    <s v="card"/>
    <n v="37.72"/>
    <x v="0"/>
    <x v="0"/>
    <s v="Jun"/>
    <n v="7"/>
    <n v="6"/>
    <x v="97"/>
    <x v="3"/>
    <x v="2"/>
  </r>
  <r>
    <x v="0"/>
    <s v="card"/>
    <n v="37.72"/>
    <x v="7"/>
    <x v="0"/>
    <s v="Jun"/>
    <n v="7"/>
    <n v="6"/>
    <x v="97"/>
    <x v="3"/>
    <x v="2"/>
  </r>
  <r>
    <x v="7"/>
    <s v="card"/>
    <n v="27.92"/>
    <x v="5"/>
    <x v="0"/>
    <s v="Jun"/>
    <n v="7"/>
    <n v="6"/>
    <x v="97"/>
    <x v="3"/>
    <x v="2"/>
  </r>
  <r>
    <x v="7"/>
    <s v="card"/>
    <n v="23.02"/>
    <x v="6"/>
    <x v="0"/>
    <s v="Jun"/>
    <n v="7"/>
    <n v="6"/>
    <x v="97"/>
    <x v="3"/>
    <x v="2"/>
  </r>
  <r>
    <x v="7"/>
    <s v="card"/>
    <n v="37.72"/>
    <x v="7"/>
    <x v="0"/>
    <s v="Jun"/>
    <n v="7"/>
    <n v="6"/>
    <x v="97"/>
    <x v="3"/>
    <x v="2"/>
  </r>
  <r>
    <x v="1"/>
    <s v="card"/>
    <n v="32.82"/>
    <x v="3"/>
    <x v="1"/>
    <s v="Jun"/>
    <n v="7"/>
    <n v="6"/>
    <x v="97"/>
    <x v="3"/>
    <x v="2"/>
  </r>
  <r>
    <x v="1"/>
    <s v="card"/>
    <n v="37.72"/>
    <x v="0"/>
    <x v="1"/>
    <s v="Jun"/>
    <n v="7"/>
    <n v="6"/>
    <x v="97"/>
    <x v="3"/>
    <x v="2"/>
  </r>
  <r>
    <x v="1"/>
    <s v="card"/>
    <n v="37.72"/>
    <x v="0"/>
    <x v="1"/>
    <s v="Jun"/>
    <n v="7"/>
    <n v="6"/>
    <x v="97"/>
    <x v="3"/>
    <x v="2"/>
  </r>
  <r>
    <x v="3"/>
    <s v="card"/>
    <n v="27.92"/>
    <x v="5"/>
    <x v="1"/>
    <s v="Jun"/>
    <n v="7"/>
    <n v="6"/>
    <x v="97"/>
    <x v="3"/>
    <x v="2"/>
  </r>
  <r>
    <x v="4"/>
    <s v="card"/>
    <n v="37.72"/>
    <x v="7"/>
    <x v="1"/>
    <s v="Jun"/>
    <n v="7"/>
    <n v="6"/>
    <x v="97"/>
    <x v="3"/>
    <x v="2"/>
  </r>
  <r>
    <x v="6"/>
    <s v="card"/>
    <n v="32.82"/>
    <x v="3"/>
    <x v="2"/>
    <s v="Jun"/>
    <n v="7"/>
    <n v="6"/>
    <x v="97"/>
    <x v="3"/>
    <x v="2"/>
  </r>
  <r>
    <x v="15"/>
    <s v="card"/>
    <n v="27.92"/>
    <x v="2"/>
    <x v="2"/>
    <s v="Jun"/>
    <n v="7"/>
    <n v="6"/>
    <x v="97"/>
    <x v="3"/>
    <x v="2"/>
  </r>
  <r>
    <x v="1"/>
    <s v="card"/>
    <n v="37.72"/>
    <x v="7"/>
    <x v="1"/>
    <s v="Jun"/>
    <n v="1"/>
    <n v="6"/>
    <x v="98"/>
    <x v="3"/>
    <x v="3"/>
  </r>
  <r>
    <x v="1"/>
    <s v="card"/>
    <n v="37.72"/>
    <x v="0"/>
    <x v="1"/>
    <s v="Jun"/>
    <n v="1"/>
    <n v="6"/>
    <x v="98"/>
    <x v="3"/>
    <x v="3"/>
  </r>
  <r>
    <x v="6"/>
    <s v="card"/>
    <n v="37.72"/>
    <x v="1"/>
    <x v="2"/>
    <s v="Jun"/>
    <n v="1"/>
    <n v="6"/>
    <x v="98"/>
    <x v="3"/>
    <x v="3"/>
  </r>
  <r>
    <x v="6"/>
    <s v="card"/>
    <n v="37.72"/>
    <x v="1"/>
    <x v="2"/>
    <s v="Jun"/>
    <n v="1"/>
    <n v="6"/>
    <x v="98"/>
    <x v="3"/>
    <x v="3"/>
  </r>
  <r>
    <x v="6"/>
    <s v="card"/>
    <n v="37.72"/>
    <x v="0"/>
    <x v="2"/>
    <s v="Jun"/>
    <n v="1"/>
    <n v="6"/>
    <x v="98"/>
    <x v="3"/>
    <x v="3"/>
  </r>
  <r>
    <x v="6"/>
    <s v="card"/>
    <n v="37.72"/>
    <x v="0"/>
    <x v="2"/>
    <s v="Jun"/>
    <n v="1"/>
    <n v="6"/>
    <x v="98"/>
    <x v="3"/>
    <x v="3"/>
  </r>
  <r>
    <x v="0"/>
    <s v="card"/>
    <n v="32.82"/>
    <x v="3"/>
    <x v="0"/>
    <s v="Jun"/>
    <n v="2"/>
    <n v="6"/>
    <x v="99"/>
    <x v="3"/>
    <x v="4"/>
  </r>
  <r>
    <x v="5"/>
    <s v="card"/>
    <n v="37.72"/>
    <x v="0"/>
    <x v="2"/>
    <s v="Jun"/>
    <n v="2"/>
    <n v="6"/>
    <x v="99"/>
    <x v="3"/>
    <x v="4"/>
  </r>
  <r>
    <x v="5"/>
    <s v="card"/>
    <n v="37.72"/>
    <x v="0"/>
    <x v="2"/>
    <s v="Jun"/>
    <n v="2"/>
    <n v="6"/>
    <x v="99"/>
    <x v="3"/>
    <x v="4"/>
  </r>
  <r>
    <x v="15"/>
    <s v="card"/>
    <n v="37.72"/>
    <x v="1"/>
    <x v="2"/>
    <s v="Jun"/>
    <n v="2"/>
    <n v="6"/>
    <x v="99"/>
    <x v="3"/>
    <x v="4"/>
  </r>
  <r>
    <x v="15"/>
    <s v="card"/>
    <n v="32.82"/>
    <x v="3"/>
    <x v="2"/>
    <s v="Jun"/>
    <n v="2"/>
    <n v="6"/>
    <x v="99"/>
    <x v="3"/>
    <x v="4"/>
  </r>
  <r>
    <x v="15"/>
    <s v="card"/>
    <n v="32.82"/>
    <x v="3"/>
    <x v="2"/>
    <s v="Jun"/>
    <n v="2"/>
    <n v="6"/>
    <x v="99"/>
    <x v="3"/>
    <x v="4"/>
  </r>
  <r>
    <x v="0"/>
    <s v="card"/>
    <n v="37.72"/>
    <x v="1"/>
    <x v="0"/>
    <s v="Jun"/>
    <n v="3"/>
    <n v="6"/>
    <x v="100"/>
    <x v="3"/>
    <x v="5"/>
  </r>
  <r>
    <x v="7"/>
    <s v="card"/>
    <n v="37.72"/>
    <x v="7"/>
    <x v="0"/>
    <s v="Jun"/>
    <n v="3"/>
    <n v="6"/>
    <x v="100"/>
    <x v="3"/>
    <x v="5"/>
  </r>
  <r>
    <x v="9"/>
    <s v="card"/>
    <n v="37.72"/>
    <x v="0"/>
    <x v="2"/>
    <s v="Jun"/>
    <n v="3"/>
    <n v="6"/>
    <x v="100"/>
    <x v="3"/>
    <x v="5"/>
  </r>
  <r>
    <x v="9"/>
    <s v="card"/>
    <n v="37.72"/>
    <x v="0"/>
    <x v="2"/>
    <s v="Jun"/>
    <n v="3"/>
    <n v="6"/>
    <x v="100"/>
    <x v="3"/>
    <x v="5"/>
  </r>
  <r>
    <x v="11"/>
    <s v="card"/>
    <n v="37.72"/>
    <x v="1"/>
    <x v="2"/>
    <s v="Jun"/>
    <n v="3"/>
    <n v="6"/>
    <x v="100"/>
    <x v="3"/>
    <x v="5"/>
  </r>
  <r>
    <x v="11"/>
    <s v="card"/>
    <n v="32.82"/>
    <x v="3"/>
    <x v="2"/>
    <s v="Jun"/>
    <n v="3"/>
    <n v="6"/>
    <x v="100"/>
    <x v="3"/>
    <x v="5"/>
  </r>
  <r>
    <x v="12"/>
    <s v="card"/>
    <n v="27.92"/>
    <x v="2"/>
    <x v="0"/>
    <s v="Jun"/>
    <n v="4"/>
    <n v="6"/>
    <x v="101"/>
    <x v="3"/>
    <x v="6"/>
  </r>
  <r>
    <x v="12"/>
    <s v="card"/>
    <n v="37.72"/>
    <x v="0"/>
    <x v="0"/>
    <s v="Jun"/>
    <n v="4"/>
    <n v="6"/>
    <x v="101"/>
    <x v="3"/>
    <x v="6"/>
  </r>
  <r>
    <x v="10"/>
    <s v="card"/>
    <n v="32.82"/>
    <x v="3"/>
    <x v="0"/>
    <s v="Jun"/>
    <n v="4"/>
    <n v="6"/>
    <x v="101"/>
    <x v="3"/>
    <x v="6"/>
  </r>
  <r>
    <x v="10"/>
    <s v="card"/>
    <n v="27.92"/>
    <x v="5"/>
    <x v="0"/>
    <s v="Jun"/>
    <n v="4"/>
    <n v="6"/>
    <x v="101"/>
    <x v="3"/>
    <x v="6"/>
  </r>
  <r>
    <x v="9"/>
    <s v="card"/>
    <n v="32.82"/>
    <x v="3"/>
    <x v="2"/>
    <s v="Jun"/>
    <n v="4"/>
    <n v="6"/>
    <x v="101"/>
    <x v="3"/>
    <x v="6"/>
  </r>
  <r>
    <x v="9"/>
    <s v="card"/>
    <n v="37.72"/>
    <x v="1"/>
    <x v="2"/>
    <s v="Jun"/>
    <n v="4"/>
    <n v="6"/>
    <x v="101"/>
    <x v="3"/>
    <x v="6"/>
  </r>
  <r>
    <x v="6"/>
    <s v="card"/>
    <n v="37.72"/>
    <x v="0"/>
    <x v="2"/>
    <s v="Jun"/>
    <n v="4"/>
    <n v="6"/>
    <x v="101"/>
    <x v="3"/>
    <x v="6"/>
  </r>
  <r>
    <x v="11"/>
    <s v="card"/>
    <n v="32.82"/>
    <x v="3"/>
    <x v="2"/>
    <s v="Jun"/>
    <n v="4"/>
    <n v="6"/>
    <x v="101"/>
    <x v="3"/>
    <x v="6"/>
  </r>
  <r>
    <x v="11"/>
    <s v="card"/>
    <n v="23.02"/>
    <x v="6"/>
    <x v="2"/>
    <s v="Jun"/>
    <n v="4"/>
    <n v="6"/>
    <x v="101"/>
    <x v="3"/>
    <x v="6"/>
  </r>
  <r>
    <x v="11"/>
    <s v="card"/>
    <n v="23.02"/>
    <x v="6"/>
    <x v="2"/>
    <s v="Jun"/>
    <n v="4"/>
    <n v="6"/>
    <x v="101"/>
    <x v="3"/>
    <x v="6"/>
  </r>
  <r>
    <x v="11"/>
    <s v="card"/>
    <n v="32.82"/>
    <x v="3"/>
    <x v="2"/>
    <s v="Jun"/>
    <n v="4"/>
    <n v="6"/>
    <x v="101"/>
    <x v="3"/>
    <x v="6"/>
  </r>
  <r>
    <x v="15"/>
    <s v="card"/>
    <n v="32.82"/>
    <x v="3"/>
    <x v="2"/>
    <s v="Jun"/>
    <n v="4"/>
    <n v="6"/>
    <x v="101"/>
    <x v="3"/>
    <x v="6"/>
  </r>
  <r>
    <x v="14"/>
    <s v="card"/>
    <n v="27.92"/>
    <x v="5"/>
    <x v="0"/>
    <s v="Jun"/>
    <n v="5"/>
    <n v="6"/>
    <x v="102"/>
    <x v="3"/>
    <x v="0"/>
  </r>
  <r>
    <x v="0"/>
    <s v="card"/>
    <n v="27.92"/>
    <x v="2"/>
    <x v="0"/>
    <s v="Jun"/>
    <n v="5"/>
    <n v="6"/>
    <x v="102"/>
    <x v="3"/>
    <x v="0"/>
  </r>
  <r>
    <x v="1"/>
    <s v="card"/>
    <n v="37.72"/>
    <x v="0"/>
    <x v="1"/>
    <s v="Jun"/>
    <n v="5"/>
    <n v="6"/>
    <x v="102"/>
    <x v="3"/>
    <x v="0"/>
  </r>
  <r>
    <x v="5"/>
    <s v="card"/>
    <n v="32.82"/>
    <x v="3"/>
    <x v="2"/>
    <s v="Jun"/>
    <n v="5"/>
    <n v="6"/>
    <x v="102"/>
    <x v="3"/>
    <x v="0"/>
  </r>
  <r>
    <x v="7"/>
    <s v="card"/>
    <n v="37.72"/>
    <x v="7"/>
    <x v="0"/>
    <s v="Jun"/>
    <n v="6"/>
    <n v="6"/>
    <x v="103"/>
    <x v="3"/>
    <x v="1"/>
  </r>
  <r>
    <x v="1"/>
    <s v="card"/>
    <n v="37.72"/>
    <x v="0"/>
    <x v="1"/>
    <s v="Jun"/>
    <n v="6"/>
    <n v="6"/>
    <x v="103"/>
    <x v="3"/>
    <x v="1"/>
  </r>
  <r>
    <x v="1"/>
    <s v="card"/>
    <n v="32.82"/>
    <x v="3"/>
    <x v="1"/>
    <s v="Jun"/>
    <n v="6"/>
    <n v="6"/>
    <x v="103"/>
    <x v="3"/>
    <x v="1"/>
  </r>
  <r>
    <x v="1"/>
    <s v="card"/>
    <n v="23.02"/>
    <x v="6"/>
    <x v="1"/>
    <s v="Jun"/>
    <n v="6"/>
    <n v="6"/>
    <x v="103"/>
    <x v="3"/>
    <x v="1"/>
  </r>
  <r>
    <x v="1"/>
    <s v="card"/>
    <n v="37.72"/>
    <x v="4"/>
    <x v="1"/>
    <s v="Jun"/>
    <n v="6"/>
    <n v="6"/>
    <x v="103"/>
    <x v="3"/>
    <x v="1"/>
  </r>
  <r>
    <x v="1"/>
    <s v="card"/>
    <n v="32.82"/>
    <x v="3"/>
    <x v="1"/>
    <s v="Jun"/>
    <n v="6"/>
    <n v="6"/>
    <x v="103"/>
    <x v="3"/>
    <x v="1"/>
  </r>
  <r>
    <x v="4"/>
    <s v="card"/>
    <n v="32.82"/>
    <x v="3"/>
    <x v="1"/>
    <s v="Jun"/>
    <n v="6"/>
    <n v="6"/>
    <x v="103"/>
    <x v="3"/>
    <x v="1"/>
  </r>
  <r>
    <x v="5"/>
    <s v="card"/>
    <n v="27.92"/>
    <x v="2"/>
    <x v="2"/>
    <s v="Jun"/>
    <n v="6"/>
    <n v="6"/>
    <x v="103"/>
    <x v="3"/>
    <x v="1"/>
  </r>
  <r>
    <x v="0"/>
    <s v="card"/>
    <n v="32.82"/>
    <x v="3"/>
    <x v="0"/>
    <s v="Jun"/>
    <n v="7"/>
    <n v="6"/>
    <x v="104"/>
    <x v="3"/>
    <x v="2"/>
  </r>
  <r>
    <x v="0"/>
    <s v="card"/>
    <n v="37.72"/>
    <x v="0"/>
    <x v="0"/>
    <s v="Jun"/>
    <n v="7"/>
    <n v="6"/>
    <x v="104"/>
    <x v="3"/>
    <x v="2"/>
  </r>
  <r>
    <x v="7"/>
    <s v="card"/>
    <n v="37.72"/>
    <x v="1"/>
    <x v="0"/>
    <s v="Jun"/>
    <n v="7"/>
    <n v="6"/>
    <x v="104"/>
    <x v="3"/>
    <x v="2"/>
  </r>
  <r>
    <x v="7"/>
    <s v="card"/>
    <n v="37.72"/>
    <x v="1"/>
    <x v="0"/>
    <s v="Jun"/>
    <n v="7"/>
    <n v="6"/>
    <x v="104"/>
    <x v="3"/>
    <x v="2"/>
  </r>
  <r>
    <x v="1"/>
    <s v="card"/>
    <n v="32.82"/>
    <x v="3"/>
    <x v="1"/>
    <s v="Jun"/>
    <n v="7"/>
    <n v="6"/>
    <x v="104"/>
    <x v="3"/>
    <x v="2"/>
  </r>
  <r>
    <x v="8"/>
    <s v="card"/>
    <n v="23.02"/>
    <x v="6"/>
    <x v="1"/>
    <s v="Jun"/>
    <n v="7"/>
    <n v="6"/>
    <x v="104"/>
    <x v="3"/>
    <x v="2"/>
  </r>
  <r>
    <x v="3"/>
    <s v="card"/>
    <n v="32.82"/>
    <x v="3"/>
    <x v="1"/>
    <s v="Jun"/>
    <n v="7"/>
    <n v="6"/>
    <x v="104"/>
    <x v="3"/>
    <x v="2"/>
  </r>
  <r>
    <x v="3"/>
    <s v="card"/>
    <n v="32.82"/>
    <x v="3"/>
    <x v="1"/>
    <s v="Jun"/>
    <n v="7"/>
    <n v="6"/>
    <x v="104"/>
    <x v="3"/>
    <x v="2"/>
  </r>
  <r>
    <x v="3"/>
    <s v="card"/>
    <n v="37.72"/>
    <x v="1"/>
    <x v="1"/>
    <s v="Jun"/>
    <n v="7"/>
    <n v="6"/>
    <x v="104"/>
    <x v="3"/>
    <x v="2"/>
  </r>
  <r>
    <x v="4"/>
    <s v="card"/>
    <n v="37.72"/>
    <x v="1"/>
    <x v="1"/>
    <s v="Jun"/>
    <n v="7"/>
    <n v="6"/>
    <x v="104"/>
    <x v="3"/>
    <x v="2"/>
  </r>
  <r>
    <x v="9"/>
    <s v="card"/>
    <n v="32.82"/>
    <x v="3"/>
    <x v="2"/>
    <s v="Jun"/>
    <n v="7"/>
    <n v="6"/>
    <x v="104"/>
    <x v="3"/>
    <x v="2"/>
  </r>
  <r>
    <x v="9"/>
    <s v="card"/>
    <n v="32.82"/>
    <x v="3"/>
    <x v="2"/>
    <s v="Jun"/>
    <n v="7"/>
    <n v="6"/>
    <x v="104"/>
    <x v="3"/>
    <x v="2"/>
  </r>
  <r>
    <x v="12"/>
    <s v="card"/>
    <n v="27.92"/>
    <x v="2"/>
    <x v="0"/>
    <s v="Jun"/>
    <n v="1"/>
    <n v="6"/>
    <x v="105"/>
    <x v="3"/>
    <x v="3"/>
  </r>
  <r>
    <x v="0"/>
    <s v="card"/>
    <n v="27.92"/>
    <x v="5"/>
    <x v="0"/>
    <s v="Jun"/>
    <n v="1"/>
    <n v="6"/>
    <x v="105"/>
    <x v="3"/>
    <x v="3"/>
  </r>
  <r>
    <x v="0"/>
    <s v="card"/>
    <n v="27.92"/>
    <x v="5"/>
    <x v="0"/>
    <s v="Jun"/>
    <n v="1"/>
    <n v="6"/>
    <x v="105"/>
    <x v="3"/>
    <x v="3"/>
  </r>
  <r>
    <x v="0"/>
    <s v="card"/>
    <n v="37.72"/>
    <x v="7"/>
    <x v="0"/>
    <s v="Jun"/>
    <n v="1"/>
    <n v="6"/>
    <x v="105"/>
    <x v="3"/>
    <x v="3"/>
  </r>
  <r>
    <x v="8"/>
    <s v="card"/>
    <n v="37.72"/>
    <x v="7"/>
    <x v="1"/>
    <s v="Jun"/>
    <n v="1"/>
    <n v="6"/>
    <x v="105"/>
    <x v="3"/>
    <x v="3"/>
  </r>
  <r>
    <x v="4"/>
    <s v="card"/>
    <n v="37.72"/>
    <x v="7"/>
    <x v="1"/>
    <s v="Jun"/>
    <n v="1"/>
    <n v="6"/>
    <x v="105"/>
    <x v="3"/>
    <x v="3"/>
  </r>
  <r>
    <x v="4"/>
    <s v="card"/>
    <n v="37.72"/>
    <x v="7"/>
    <x v="1"/>
    <s v="Jun"/>
    <n v="1"/>
    <n v="6"/>
    <x v="105"/>
    <x v="3"/>
    <x v="3"/>
  </r>
  <r>
    <x v="4"/>
    <s v="card"/>
    <n v="27.92"/>
    <x v="2"/>
    <x v="1"/>
    <s v="Jun"/>
    <n v="1"/>
    <n v="6"/>
    <x v="105"/>
    <x v="3"/>
    <x v="3"/>
  </r>
  <r>
    <x v="5"/>
    <s v="card"/>
    <n v="27.92"/>
    <x v="2"/>
    <x v="2"/>
    <s v="Jun"/>
    <n v="1"/>
    <n v="6"/>
    <x v="105"/>
    <x v="3"/>
    <x v="3"/>
  </r>
  <r>
    <x v="15"/>
    <s v="card"/>
    <n v="32.82"/>
    <x v="3"/>
    <x v="2"/>
    <s v="Jun"/>
    <n v="1"/>
    <n v="6"/>
    <x v="105"/>
    <x v="3"/>
    <x v="3"/>
  </r>
  <r>
    <x v="8"/>
    <s v="card"/>
    <n v="27.92"/>
    <x v="2"/>
    <x v="1"/>
    <s v="Jun"/>
    <n v="2"/>
    <n v="6"/>
    <x v="106"/>
    <x v="3"/>
    <x v="4"/>
  </r>
  <r>
    <x v="8"/>
    <s v="card"/>
    <n v="37.72"/>
    <x v="7"/>
    <x v="1"/>
    <s v="Jun"/>
    <n v="2"/>
    <n v="6"/>
    <x v="106"/>
    <x v="3"/>
    <x v="4"/>
  </r>
  <r>
    <x v="6"/>
    <s v="card"/>
    <n v="37.72"/>
    <x v="7"/>
    <x v="2"/>
    <s v="Jun"/>
    <n v="2"/>
    <n v="6"/>
    <x v="106"/>
    <x v="3"/>
    <x v="4"/>
  </r>
  <r>
    <x v="6"/>
    <s v="card"/>
    <n v="37.72"/>
    <x v="7"/>
    <x v="2"/>
    <s v="Jun"/>
    <n v="2"/>
    <n v="6"/>
    <x v="106"/>
    <x v="3"/>
    <x v="4"/>
  </r>
  <r>
    <x v="11"/>
    <s v="card"/>
    <n v="27.92"/>
    <x v="5"/>
    <x v="2"/>
    <s v="Jun"/>
    <n v="2"/>
    <n v="6"/>
    <x v="106"/>
    <x v="3"/>
    <x v="4"/>
  </r>
  <r>
    <x v="15"/>
    <s v="card"/>
    <n v="32.82"/>
    <x v="3"/>
    <x v="2"/>
    <s v="Jun"/>
    <n v="2"/>
    <n v="6"/>
    <x v="106"/>
    <x v="3"/>
    <x v="4"/>
  </r>
  <r>
    <x v="15"/>
    <s v="card"/>
    <n v="32.82"/>
    <x v="3"/>
    <x v="2"/>
    <s v="Jun"/>
    <n v="2"/>
    <n v="6"/>
    <x v="106"/>
    <x v="3"/>
    <x v="4"/>
  </r>
  <r>
    <x v="14"/>
    <s v="card"/>
    <n v="37.72"/>
    <x v="0"/>
    <x v="0"/>
    <s v="Jun"/>
    <n v="3"/>
    <n v="6"/>
    <x v="107"/>
    <x v="3"/>
    <x v="5"/>
  </r>
  <r>
    <x v="12"/>
    <s v="card"/>
    <n v="27.92"/>
    <x v="5"/>
    <x v="0"/>
    <s v="Jun"/>
    <n v="3"/>
    <n v="6"/>
    <x v="107"/>
    <x v="3"/>
    <x v="5"/>
  </r>
  <r>
    <x v="0"/>
    <s v="card"/>
    <n v="27.92"/>
    <x v="2"/>
    <x v="0"/>
    <s v="Jun"/>
    <n v="3"/>
    <n v="6"/>
    <x v="107"/>
    <x v="3"/>
    <x v="5"/>
  </r>
  <r>
    <x v="7"/>
    <s v="card"/>
    <n v="37.72"/>
    <x v="0"/>
    <x v="0"/>
    <s v="Jun"/>
    <n v="3"/>
    <n v="6"/>
    <x v="107"/>
    <x v="3"/>
    <x v="5"/>
  </r>
  <r>
    <x v="7"/>
    <s v="card"/>
    <n v="37.72"/>
    <x v="4"/>
    <x v="0"/>
    <s v="Jun"/>
    <n v="3"/>
    <n v="6"/>
    <x v="107"/>
    <x v="3"/>
    <x v="5"/>
  </r>
  <r>
    <x v="8"/>
    <s v="card"/>
    <n v="32.82"/>
    <x v="3"/>
    <x v="1"/>
    <s v="Jun"/>
    <n v="3"/>
    <n v="6"/>
    <x v="107"/>
    <x v="3"/>
    <x v="5"/>
  </r>
  <r>
    <x v="5"/>
    <s v="card"/>
    <n v="37.72"/>
    <x v="7"/>
    <x v="2"/>
    <s v="Jun"/>
    <n v="3"/>
    <n v="6"/>
    <x v="107"/>
    <x v="3"/>
    <x v="5"/>
  </r>
  <r>
    <x v="5"/>
    <s v="card"/>
    <n v="37.72"/>
    <x v="0"/>
    <x v="2"/>
    <s v="Jun"/>
    <n v="3"/>
    <n v="6"/>
    <x v="107"/>
    <x v="3"/>
    <x v="5"/>
  </r>
  <r>
    <x v="6"/>
    <s v="card"/>
    <n v="32.82"/>
    <x v="3"/>
    <x v="2"/>
    <s v="Jun"/>
    <n v="3"/>
    <n v="6"/>
    <x v="107"/>
    <x v="3"/>
    <x v="5"/>
  </r>
  <r>
    <x v="15"/>
    <s v="card"/>
    <n v="37.72"/>
    <x v="7"/>
    <x v="2"/>
    <s v="Jun"/>
    <n v="3"/>
    <n v="6"/>
    <x v="107"/>
    <x v="3"/>
    <x v="5"/>
  </r>
  <r>
    <x v="15"/>
    <s v="card"/>
    <n v="32.82"/>
    <x v="3"/>
    <x v="2"/>
    <s v="Jun"/>
    <n v="3"/>
    <n v="6"/>
    <x v="107"/>
    <x v="3"/>
    <x v="5"/>
  </r>
  <r>
    <x v="0"/>
    <s v="card"/>
    <n v="37.72"/>
    <x v="0"/>
    <x v="0"/>
    <s v="Jun"/>
    <n v="4"/>
    <n v="6"/>
    <x v="108"/>
    <x v="3"/>
    <x v="6"/>
  </r>
  <r>
    <x v="5"/>
    <s v="card"/>
    <n v="37.72"/>
    <x v="0"/>
    <x v="2"/>
    <s v="Jun"/>
    <n v="4"/>
    <n v="6"/>
    <x v="108"/>
    <x v="3"/>
    <x v="6"/>
  </r>
  <r>
    <x v="6"/>
    <s v="card"/>
    <n v="37.72"/>
    <x v="0"/>
    <x v="2"/>
    <s v="Jun"/>
    <n v="4"/>
    <n v="6"/>
    <x v="108"/>
    <x v="3"/>
    <x v="6"/>
  </r>
  <r>
    <x v="15"/>
    <s v="card"/>
    <n v="37.72"/>
    <x v="0"/>
    <x v="2"/>
    <s v="Jun"/>
    <n v="4"/>
    <n v="6"/>
    <x v="108"/>
    <x v="3"/>
    <x v="6"/>
  </r>
  <r>
    <x v="15"/>
    <s v="card"/>
    <n v="37.72"/>
    <x v="0"/>
    <x v="2"/>
    <s v="Jun"/>
    <n v="4"/>
    <n v="6"/>
    <x v="108"/>
    <x v="3"/>
    <x v="6"/>
  </r>
  <r>
    <x v="15"/>
    <s v="card"/>
    <n v="32.82"/>
    <x v="3"/>
    <x v="2"/>
    <s v="Jun"/>
    <n v="4"/>
    <n v="6"/>
    <x v="108"/>
    <x v="3"/>
    <x v="6"/>
  </r>
  <r>
    <x v="10"/>
    <s v="card"/>
    <n v="37.72"/>
    <x v="0"/>
    <x v="0"/>
    <s v="Jun"/>
    <n v="5"/>
    <n v="6"/>
    <x v="109"/>
    <x v="3"/>
    <x v="0"/>
  </r>
  <r>
    <x v="0"/>
    <s v="card"/>
    <n v="27.92"/>
    <x v="2"/>
    <x v="0"/>
    <s v="Jun"/>
    <n v="5"/>
    <n v="6"/>
    <x v="109"/>
    <x v="3"/>
    <x v="0"/>
  </r>
  <r>
    <x v="2"/>
    <s v="card"/>
    <n v="32.82"/>
    <x v="3"/>
    <x v="1"/>
    <s v="Jun"/>
    <n v="5"/>
    <n v="6"/>
    <x v="109"/>
    <x v="3"/>
    <x v="0"/>
  </r>
  <r>
    <x v="2"/>
    <s v="card"/>
    <n v="32.82"/>
    <x v="3"/>
    <x v="1"/>
    <s v="Jun"/>
    <n v="5"/>
    <n v="6"/>
    <x v="109"/>
    <x v="3"/>
    <x v="0"/>
  </r>
  <r>
    <x v="5"/>
    <s v="card"/>
    <n v="23.02"/>
    <x v="6"/>
    <x v="2"/>
    <s v="Jun"/>
    <n v="5"/>
    <n v="6"/>
    <x v="109"/>
    <x v="3"/>
    <x v="0"/>
  </r>
  <r>
    <x v="6"/>
    <s v="card"/>
    <n v="37.72"/>
    <x v="0"/>
    <x v="2"/>
    <s v="Jun"/>
    <n v="5"/>
    <n v="6"/>
    <x v="109"/>
    <x v="3"/>
    <x v="0"/>
  </r>
  <r>
    <x v="6"/>
    <s v="card"/>
    <n v="37.72"/>
    <x v="7"/>
    <x v="2"/>
    <s v="Jun"/>
    <n v="5"/>
    <n v="6"/>
    <x v="109"/>
    <x v="3"/>
    <x v="0"/>
  </r>
  <r>
    <x v="6"/>
    <s v="card"/>
    <n v="37.72"/>
    <x v="7"/>
    <x v="2"/>
    <s v="Jun"/>
    <n v="5"/>
    <n v="6"/>
    <x v="109"/>
    <x v="3"/>
    <x v="0"/>
  </r>
  <r>
    <x v="6"/>
    <s v="card"/>
    <n v="37.72"/>
    <x v="7"/>
    <x v="2"/>
    <s v="Jun"/>
    <n v="5"/>
    <n v="6"/>
    <x v="109"/>
    <x v="3"/>
    <x v="0"/>
  </r>
  <r>
    <x v="6"/>
    <s v="card"/>
    <n v="37.72"/>
    <x v="7"/>
    <x v="2"/>
    <s v="Jun"/>
    <n v="5"/>
    <n v="6"/>
    <x v="109"/>
    <x v="3"/>
    <x v="0"/>
  </r>
  <r>
    <x v="6"/>
    <s v="card"/>
    <n v="27.92"/>
    <x v="2"/>
    <x v="2"/>
    <s v="Jun"/>
    <n v="5"/>
    <n v="6"/>
    <x v="109"/>
    <x v="3"/>
    <x v="0"/>
  </r>
  <r>
    <x v="6"/>
    <s v="card"/>
    <n v="32.82"/>
    <x v="3"/>
    <x v="2"/>
    <s v="Jun"/>
    <n v="5"/>
    <n v="6"/>
    <x v="109"/>
    <x v="3"/>
    <x v="0"/>
  </r>
  <r>
    <x v="12"/>
    <s v="card"/>
    <n v="27.92"/>
    <x v="5"/>
    <x v="0"/>
    <s v="Jun"/>
    <n v="6"/>
    <n v="6"/>
    <x v="110"/>
    <x v="3"/>
    <x v="1"/>
  </r>
  <r>
    <x v="10"/>
    <s v="card"/>
    <n v="32.82"/>
    <x v="3"/>
    <x v="0"/>
    <s v="Jun"/>
    <n v="6"/>
    <n v="6"/>
    <x v="110"/>
    <x v="3"/>
    <x v="1"/>
  </r>
  <r>
    <x v="1"/>
    <s v="card"/>
    <n v="32.82"/>
    <x v="3"/>
    <x v="1"/>
    <s v="Jun"/>
    <n v="6"/>
    <n v="6"/>
    <x v="110"/>
    <x v="3"/>
    <x v="1"/>
  </r>
  <r>
    <x v="3"/>
    <s v="card"/>
    <n v="37.72"/>
    <x v="0"/>
    <x v="1"/>
    <s v="Jun"/>
    <n v="6"/>
    <n v="6"/>
    <x v="110"/>
    <x v="3"/>
    <x v="1"/>
  </r>
  <r>
    <x v="13"/>
    <s v="card"/>
    <n v="37.72"/>
    <x v="7"/>
    <x v="2"/>
    <s v="Jun"/>
    <n v="6"/>
    <n v="6"/>
    <x v="110"/>
    <x v="3"/>
    <x v="1"/>
  </r>
  <r>
    <x v="5"/>
    <s v="card"/>
    <n v="32.82"/>
    <x v="3"/>
    <x v="2"/>
    <s v="Jun"/>
    <n v="7"/>
    <n v="6"/>
    <x v="111"/>
    <x v="3"/>
    <x v="2"/>
  </r>
  <r>
    <x v="5"/>
    <s v="card"/>
    <n v="32.82"/>
    <x v="3"/>
    <x v="2"/>
    <s v="Jun"/>
    <n v="7"/>
    <n v="6"/>
    <x v="111"/>
    <x v="3"/>
    <x v="2"/>
  </r>
  <r>
    <x v="15"/>
    <s v="card"/>
    <n v="37.72"/>
    <x v="7"/>
    <x v="2"/>
    <s v="Jun"/>
    <n v="7"/>
    <n v="6"/>
    <x v="111"/>
    <x v="3"/>
    <x v="2"/>
  </r>
  <r>
    <x v="15"/>
    <s v="card"/>
    <n v="37.72"/>
    <x v="0"/>
    <x v="2"/>
    <s v="Jun"/>
    <n v="7"/>
    <n v="6"/>
    <x v="111"/>
    <x v="3"/>
    <x v="2"/>
  </r>
  <r>
    <x v="15"/>
    <s v="card"/>
    <n v="37.72"/>
    <x v="7"/>
    <x v="2"/>
    <s v="Jun"/>
    <n v="7"/>
    <n v="6"/>
    <x v="111"/>
    <x v="3"/>
    <x v="2"/>
  </r>
  <r>
    <x v="7"/>
    <s v="card"/>
    <n v="32.82"/>
    <x v="3"/>
    <x v="0"/>
    <s v="Jun"/>
    <n v="1"/>
    <n v="6"/>
    <x v="112"/>
    <x v="3"/>
    <x v="3"/>
  </r>
  <r>
    <x v="7"/>
    <s v="card"/>
    <n v="37.72"/>
    <x v="7"/>
    <x v="0"/>
    <s v="Jun"/>
    <n v="1"/>
    <n v="6"/>
    <x v="112"/>
    <x v="3"/>
    <x v="3"/>
  </r>
  <r>
    <x v="7"/>
    <s v="card"/>
    <n v="37.72"/>
    <x v="7"/>
    <x v="0"/>
    <s v="Jun"/>
    <n v="1"/>
    <n v="6"/>
    <x v="112"/>
    <x v="3"/>
    <x v="3"/>
  </r>
  <r>
    <x v="3"/>
    <s v="card"/>
    <n v="37.72"/>
    <x v="0"/>
    <x v="1"/>
    <s v="Jun"/>
    <n v="1"/>
    <n v="6"/>
    <x v="112"/>
    <x v="3"/>
    <x v="3"/>
  </r>
  <r>
    <x v="4"/>
    <s v="card"/>
    <n v="37.72"/>
    <x v="7"/>
    <x v="1"/>
    <s v="Jun"/>
    <n v="1"/>
    <n v="6"/>
    <x v="112"/>
    <x v="3"/>
    <x v="3"/>
  </r>
  <r>
    <x v="4"/>
    <s v="card"/>
    <n v="37.72"/>
    <x v="7"/>
    <x v="1"/>
    <s v="Jun"/>
    <n v="1"/>
    <n v="6"/>
    <x v="112"/>
    <x v="3"/>
    <x v="3"/>
  </r>
  <r>
    <x v="12"/>
    <s v="card"/>
    <n v="37.72"/>
    <x v="0"/>
    <x v="0"/>
    <s v="Jun"/>
    <n v="2"/>
    <n v="6"/>
    <x v="113"/>
    <x v="3"/>
    <x v="4"/>
  </r>
  <r>
    <x v="0"/>
    <s v="card"/>
    <n v="32.82"/>
    <x v="3"/>
    <x v="0"/>
    <s v="Jun"/>
    <n v="2"/>
    <n v="6"/>
    <x v="113"/>
    <x v="3"/>
    <x v="4"/>
  </r>
  <r>
    <x v="0"/>
    <s v="card"/>
    <n v="32.82"/>
    <x v="3"/>
    <x v="0"/>
    <s v="Jun"/>
    <n v="2"/>
    <n v="6"/>
    <x v="113"/>
    <x v="3"/>
    <x v="4"/>
  </r>
  <r>
    <x v="7"/>
    <s v="card"/>
    <n v="37.72"/>
    <x v="7"/>
    <x v="0"/>
    <s v="Jun"/>
    <n v="2"/>
    <n v="6"/>
    <x v="113"/>
    <x v="3"/>
    <x v="4"/>
  </r>
  <r>
    <x v="10"/>
    <s v="card"/>
    <n v="37.72"/>
    <x v="0"/>
    <x v="0"/>
    <s v="Jun"/>
    <n v="3"/>
    <n v="6"/>
    <x v="114"/>
    <x v="3"/>
    <x v="5"/>
  </r>
  <r>
    <x v="4"/>
    <s v="card"/>
    <n v="23.02"/>
    <x v="6"/>
    <x v="1"/>
    <s v="Jun"/>
    <n v="3"/>
    <n v="6"/>
    <x v="114"/>
    <x v="3"/>
    <x v="5"/>
  </r>
  <r>
    <x v="4"/>
    <s v="card"/>
    <n v="27.92"/>
    <x v="2"/>
    <x v="1"/>
    <s v="Jun"/>
    <n v="3"/>
    <n v="6"/>
    <x v="114"/>
    <x v="3"/>
    <x v="5"/>
  </r>
  <r>
    <x v="15"/>
    <s v="card"/>
    <n v="37.72"/>
    <x v="0"/>
    <x v="2"/>
    <s v="Jun"/>
    <n v="3"/>
    <n v="6"/>
    <x v="114"/>
    <x v="3"/>
    <x v="5"/>
  </r>
  <r>
    <x v="15"/>
    <s v="card"/>
    <n v="37.72"/>
    <x v="7"/>
    <x v="2"/>
    <s v="Jun"/>
    <n v="3"/>
    <n v="6"/>
    <x v="114"/>
    <x v="3"/>
    <x v="5"/>
  </r>
  <r>
    <x v="15"/>
    <s v="card"/>
    <n v="32.82"/>
    <x v="3"/>
    <x v="2"/>
    <s v="Jun"/>
    <n v="3"/>
    <n v="6"/>
    <x v="114"/>
    <x v="3"/>
    <x v="5"/>
  </r>
  <r>
    <x v="10"/>
    <s v="card"/>
    <n v="32.82"/>
    <x v="3"/>
    <x v="0"/>
    <s v="Jun"/>
    <n v="4"/>
    <n v="6"/>
    <x v="115"/>
    <x v="3"/>
    <x v="6"/>
  </r>
  <r>
    <x v="4"/>
    <s v="card"/>
    <n v="27.92"/>
    <x v="5"/>
    <x v="1"/>
    <s v="Jun"/>
    <n v="4"/>
    <n v="6"/>
    <x v="115"/>
    <x v="3"/>
    <x v="6"/>
  </r>
  <r>
    <x v="15"/>
    <s v="card"/>
    <n v="32.82"/>
    <x v="3"/>
    <x v="2"/>
    <s v="Jun"/>
    <n v="4"/>
    <n v="6"/>
    <x v="115"/>
    <x v="3"/>
    <x v="6"/>
  </r>
  <r>
    <x v="15"/>
    <s v="card"/>
    <n v="37.72"/>
    <x v="7"/>
    <x v="2"/>
    <s v="Jun"/>
    <n v="4"/>
    <n v="6"/>
    <x v="115"/>
    <x v="3"/>
    <x v="6"/>
  </r>
  <r>
    <x v="12"/>
    <s v="card"/>
    <n v="27.92"/>
    <x v="5"/>
    <x v="0"/>
    <s v="Jun"/>
    <n v="5"/>
    <n v="6"/>
    <x v="116"/>
    <x v="3"/>
    <x v="0"/>
  </r>
  <r>
    <x v="9"/>
    <s v="card"/>
    <n v="23.02"/>
    <x v="6"/>
    <x v="2"/>
    <s v="Jun"/>
    <n v="5"/>
    <n v="6"/>
    <x v="116"/>
    <x v="3"/>
    <x v="0"/>
  </r>
  <r>
    <x v="15"/>
    <s v="card"/>
    <n v="32.82"/>
    <x v="3"/>
    <x v="2"/>
    <s v="Jun"/>
    <n v="5"/>
    <n v="6"/>
    <x v="116"/>
    <x v="3"/>
    <x v="0"/>
  </r>
  <r>
    <x v="15"/>
    <s v="card"/>
    <n v="37.72"/>
    <x v="0"/>
    <x v="2"/>
    <s v="Jun"/>
    <n v="5"/>
    <n v="6"/>
    <x v="116"/>
    <x v="3"/>
    <x v="0"/>
  </r>
  <r>
    <x v="13"/>
    <s v="card"/>
    <n v="37.72"/>
    <x v="7"/>
    <x v="2"/>
    <s v="Jun"/>
    <n v="5"/>
    <n v="6"/>
    <x v="116"/>
    <x v="3"/>
    <x v="0"/>
  </r>
  <r>
    <x v="10"/>
    <s v="card"/>
    <n v="32.82"/>
    <x v="3"/>
    <x v="0"/>
    <s v="Jun"/>
    <n v="6"/>
    <n v="6"/>
    <x v="117"/>
    <x v="3"/>
    <x v="1"/>
  </r>
  <r>
    <x v="7"/>
    <s v="card"/>
    <n v="32.82"/>
    <x v="3"/>
    <x v="0"/>
    <s v="Jun"/>
    <n v="6"/>
    <n v="6"/>
    <x v="117"/>
    <x v="3"/>
    <x v="1"/>
  </r>
  <r>
    <x v="7"/>
    <s v="card"/>
    <n v="32.82"/>
    <x v="3"/>
    <x v="0"/>
    <s v="Jun"/>
    <n v="6"/>
    <n v="6"/>
    <x v="117"/>
    <x v="3"/>
    <x v="1"/>
  </r>
  <r>
    <x v="1"/>
    <s v="card"/>
    <n v="37.72"/>
    <x v="7"/>
    <x v="1"/>
    <s v="Jun"/>
    <n v="6"/>
    <n v="6"/>
    <x v="117"/>
    <x v="3"/>
    <x v="1"/>
  </r>
  <r>
    <x v="1"/>
    <s v="card"/>
    <n v="37.72"/>
    <x v="7"/>
    <x v="1"/>
    <s v="Jun"/>
    <n v="6"/>
    <n v="6"/>
    <x v="117"/>
    <x v="3"/>
    <x v="1"/>
  </r>
  <r>
    <x v="9"/>
    <s v="card"/>
    <n v="37.72"/>
    <x v="7"/>
    <x v="2"/>
    <s v="Jun"/>
    <n v="6"/>
    <n v="6"/>
    <x v="117"/>
    <x v="3"/>
    <x v="1"/>
  </r>
  <r>
    <x v="9"/>
    <s v="card"/>
    <n v="37.72"/>
    <x v="1"/>
    <x v="2"/>
    <s v="Jun"/>
    <n v="6"/>
    <n v="6"/>
    <x v="117"/>
    <x v="3"/>
    <x v="1"/>
  </r>
  <r>
    <x v="15"/>
    <s v="card"/>
    <n v="37.72"/>
    <x v="0"/>
    <x v="2"/>
    <s v="Jun"/>
    <n v="6"/>
    <n v="6"/>
    <x v="117"/>
    <x v="3"/>
    <x v="1"/>
  </r>
  <r>
    <x v="0"/>
    <s v="card"/>
    <n v="37.72"/>
    <x v="0"/>
    <x v="0"/>
    <s v="Jun"/>
    <n v="7"/>
    <n v="6"/>
    <x v="118"/>
    <x v="3"/>
    <x v="2"/>
  </r>
  <r>
    <x v="2"/>
    <s v="card"/>
    <n v="23.02"/>
    <x v="6"/>
    <x v="1"/>
    <s v="Jun"/>
    <n v="7"/>
    <n v="6"/>
    <x v="118"/>
    <x v="3"/>
    <x v="2"/>
  </r>
  <r>
    <x v="4"/>
    <s v="card"/>
    <n v="37.72"/>
    <x v="1"/>
    <x v="1"/>
    <s v="Jun"/>
    <n v="7"/>
    <n v="6"/>
    <x v="118"/>
    <x v="3"/>
    <x v="2"/>
  </r>
  <r>
    <x v="15"/>
    <s v="card"/>
    <n v="32.82"/>
    <x v="3"/>
    <x v="2"/>
    <s v="Jun"/>
    <n v="7"/>
    <n v="6"/>
    <x v="118"/>
    <x v="3"/>
    <x v="2"/>
  </r>
  <r>
    <x v="5"/>
    <s v="card"/>
    <n v="23.02"/>
    <x v="6"/>
    <x v="2"/>
    <s v="Jul"/>
    <n v="1"/>
    <n v="7"/>
    <x v="119"/>
    <x v="4"/>
    <x v="3"/>
  </r>
  <r>
    <x v="5"/>
    <s v="card"/>
    <n v="37.72"/>
    <x v="7"/>
    <x v="2"/>
    <s v="Jul"/>
    <n v="1"/>
    <n v="7"/>
    <x v="119"/>
    <x v="4"/>
    <x v="3"/>
  </r>
  <r>
    <x v="5"/>
    <s v="card"/>
    <n v="37.72"/>
    <x v="7"/>
    <x v="2"/>
    <s v="Jul"/>
    <n v="1"/>
    <n v="7"/>
    <x v="119"/>
    <x v="4"/>
    <x v="3"/>
  </r>
  <r>
    <x v="0"/>
    <s v="card"/>
    <n v="32.82"/>
    <x v="3"/>
    <x v="0"/>
    <s v="Jul"/>
    <n v="2"/>
    <n v="7"/>
    <x v="120"/>
    <x v="4"/>
    <x v="4"/>
  </r>
  <r>
    <x v="0"/>
    <s v="card"/>
    <n v="27.92"/>
    <x v="2"/>
    <x v="0"/>
    <s v="Jul"/>
    <n v="2"/>
    <n v="7"/>
    <x v="120"/>
    <x v="4"/>
    <x v="4"/>
  </r>
  <r>
    <x v="1"/>
    <s v="card"/>
    <n v="37.72"/>
    <x v="0"/>
    <x v="1"/>
    <s v="Jul"/>
    <n v="2"/>
    <n v="7"/>
    <x v="120"/>
    <x v="4"/>
    <x v="4"/>
  </r>
  <r>
    <x v="8"/>
    <s v="card"/>
    <n v="27.92"/>
    <x v="2"/>
    <x v="1"/>
    <s v="Jul"/>
    <n v="2"/>
    <n v="7"/>
    <x v="120"/>
    <x v="4"/>
    <x v="4"/>
  </r>
  <r>
    <x v="4"/>
    <s v="card"/>
    <n v="32.82"/>
    <x v="3"/>
    <x v="1"/>
    <s v="Jul"/>
    <n v="2"/>
    <n v="7"/>
    <x v="120"/>
    <x v="4"/>
    <x v="4"/>
  </r>
  <r>
    <x v="13"/>
    <s v="card"/>
    <n v="32.82"/>
    <x v="3"/>
    <x v="2"/>
    <s v="Jul"/>
    <n v="2"/>
    <n v="7"/>
    <x v="120"/>
    <x v="4"/>
    <x v="4"/>
  </r>
  <r>
    <x v="2"/>
    <s v="card"/>
    <n v="32.82"/>
    <x v="3"/>
    <x v="1"/>
    <s v="Jul"/>
    <n v="3"/>
    <n v="7"/>
    <x v="121"/>
    <x v="4"/>
    <x v="5"/>
  </r>
  <r>
    <x v="4"/>
    <s v="card"/>
    <n v="37.72"/>
    <x v="7"/>
    <x v="1"/>
    <s v="Jul"/>
    <n v="3"/>
    <n v="7"/>
    <x v="121"/>
    <x v="4"/>
    <x v="5"/>
  </r>
  <r>
    <x v="4"/>
    <s v="card"/>
    <n v="37.72"/>
    <x v="7"/>
    <x v="1"/>
    <s v="Jul"/>
    <n v="3"/>
    <n v="7"/>
    <x v="121"/>
    <x v="4"/>
    <x v="5"/>
  </r>
  <r>
    <x v="4"/>
    <s v="card"/>
    <n v="32.82"/>
    <x v="3"/>
    <x v="1"/>
    <s v="Jul"/>
    <n v="3"/>
    <n v="7"/>
    <x v="121"/>
    <x v="4"/>
    <x v="5"/>
  </r>
  <r>
    <x v="4"/>
    <s v="card"/>
    <n v="32.82"/>
    <x v="3"/>
    <x v="1"/>
    <s v="Jul"/>
    <n v="3"/>
    <n v="7"/>
    <x v="121"/>
    <x v="4"/>
    <x v="5"/>
  </r>
  <r>
    <x v="4"/>
    <s v="card"/>
    <n v="37.72"/>
    <x v="0"/>
    <x v="1"/>
    <s v="Jul"/>
    <n v="3"/>
    <n v="7"/>
    <x v="121"/>
    <x v="4"/>
    <x v="5"/>
  </r>
  <r>
    <x v="4"/>
    <s v="card"/>
    <n v="23.02"/>
    <x v="6"/>
    <x v="1"/>
    <s v="Jul"/>
    <n v="3"/>
    <n v="7"/>
    <x v="121"/>
    <x v="4"/>
    <x v="5"/>
  </r>
  <r>
    <x v="9"/>
    <s v="card"/>
    <n v="37.72"/>
    <x v="7"/>
    <x v="2"/>
    <s v="Jul"/>
    <n v="3"/>
    <n v="7"/>
    <x v="121"/>
    <x v="4"/>
    <x v="5"/>
  </r>
  <r>
    <x v="6"/>
    <s v="card"/>
    <n v="37.72"/>
    <x v="0"/>
    <x v="2"/>
    <s v="Jul"/>
    <n v="3"/>
    <n v="7"/>
    <x v="121"/>
    <x v="4"/>
    <x v="5"/>
  </r>
  <r>
    <x v="0"/>
    <s v="card"/>
    <n v="32.82"/>
    <x v="3"/>
    <x v="0"/>
    <s v="Jul"/>
    <n v="4"/>
    <n v="7"/>
    <x v="122"/>
    <x v="4"/>
    <x v="6"/>
  </r>
  <r>
    <x v="0"/>
    <s v="card"/>
    <n v="27.92"/>
    <x v="2"/>
    <x v="0"/>
    <s v="Jul"/>
    <n v="4"/>
    <n v="7"/>
    <x v="122"/>
    <x v="4"/>
    <x v="6"/>
  </r>
  <r>
    <x v="1"/>
    <s v="card"/>
    <n v="37.72"/>
    <x v="4"/>
    <x v="1"/>
    <s v="Jul"/>
    <n v="5"/>
    <n v="7"/>
    <x v="123"/>
    <x v="4"/>
    <x v="0"/>
  </r>
  <r>
    <x v="2"/>
    <s v="card"/>
    <n v="32.82"/>
    <x v="3"/>
    <x v="1"/>
    <s v="Jul"/>
    <n v="5"/>
    <n v="7"/>
    <x v="123"/>
    <x v="4"/>
    <x v="0"/>
  </r>
  <r>
    <x v="2"/>
    <s v="card"/>
    <n v="32.82"/>
    <x v="3"/>
    <x v="1"/>
    <s v="Jul"/>
    <n v="5"/>
    <n v="7"/>
    <x v="123"/>
    <x v="4"/>
    <x v="0"/>
  </r>
  <r>
    <x v="5"/>
    <s v="card"/>
    <n v="23.02"/>
    <x v="6"/>
    <x v="2"/>
    <s v="Jul"/>
    <n v="5"/>
    <n v="7"/>
    <x v="123"/>
    <x v="4"/>
    <x v="0"/>
  </r>
  <r>
    <x v="6"/>
    <s v="card"/>
    <n v="27.92"/>
    <x v="2"/>
    <x v="2"/>
    <s v="Jul"/>
    <n v="5"/>
    <n v="7"/>
    <x v="123"/>
    <x v="4"/>
    <x v="0"/>
  </r>
  <r>
    <x v="13"/>
    <s v="card"/>
    <n v="23.02"/>
    <x v="6"/>
    <x v="2"/>
    <s v="Jul"/>
    <n v="5"/>
    <n v="7"/>
    <x v="123"/>
    <x v="4"/>
    <x v="0"/>
  </r>
  <r>
    <x v="13"/>
    <s v="card"/>
    <n v="27.92"/>
    <x v="2"/>
    <x v="2"/>
    <s v="Jul"/>
    <n v="5"/>
    <n v="7"/>
    <x v="123"/>
    <x v="4"/>
    <x v="0"/>
  </r>
  <r>
    <x v="13"/>
    <s v="card"/>
    <n v="27.92"/>
    <x v="2"/>
    <x v="2"/>
    <s v="Jul"/>
    <n v="5"/>
    <n v="7"/>
    <x v="123"/>
    <x v="4"/>
    <x v="0"/>
  </r>
  <r>
    <x v="13"/>
    <s v="card"/>
    <n v="37.72"/>
    <x v="7"/>
    <x v="2"/>
    <s v="Jul"/>
    <n v="5"/>
    <n v="7"/>
    <x v="123"/>
    <x v="4"/>
    <x v="0"/>
  </r>
  <r>
    <x v="13"/>
    <s v="card"/>
    <n v="32.82"/>
    <x v="3"/>
    <x v="2"/>
    <s v="Jul"/>
    <n v="5"/>
    <n v="7"/>
    <x v="123"/>
    <x v="4"/>
    <x v="0"/>
  </r>
  <r>
    <x v="0"/>
    <s v="card"/>
    <n v="37.72"/>
    <x v="0"/>
    <x v="0"/>
    <s v="Jul"/>
    <n v="6"/>
    <n v="7"/>
    <x v="124"/>
    <x v="4"/>
    <x v="1"/>
  </r>
  <r>
    <x v="9"/>
    <s v="card"/>
    <n v="32.82"/>
    <x v="0"/>
    <x v="2"/>
    <s v="Jul"/>
    <n v="6"/>
    <n v="7"/>
    <x v="124"/>
    <x v="4"/>
    <x v="1"/>
  </r>
  <r>
    <x v="9"/>
    <s v="card"/>
    <n v="32.82"/>
    <x v="0"/>
    <x v="2"/>
    <s v="Jul"/>
    <n v="6"/>
    <n v="7"/>
    <x v="124"/>
    <x v="4"/>
    <x v="1"/>
  </r>
  <r>
    <x v="6"/>
    <s v="card"/>
    <n v="32.82"/>
    <x v="0"/>
    <x v="2"/>
    <s v="Jul"/>
    <n v="6"/>
    <n v="7"/>
    <x v="124"/>
    <x v="4"/>
    <x v="1"/>
  </r>
  <r>
    <x v="6"/>
    <s v="card"/>
    <n v="27.92"/>
    <x v="3"/>
    <x v="2"/>
    <s v="Jul"/>
    <n v="6"/>
    <n v="7"/>
    <x v="124"/>
    <x v="4"/>
    <x v="1"/>
  </r>
  <r>
    <x v="10"/>
    <s v="card"/>
    <n v="32.82"/>
    <x v="7"/>
    <x v="0"/>
    <s v="Jul"/>
    <n v="7"/>
    <n v="7"/>
    <x v="125"/>
    <x v="4"/>
    <x v="2"/>
  </r>
  <r>
    <x v="10"/>
    <s v="card"/>
    <n v="27.92"/>
    <x v="3"/>
    <x v="0"/>
    <s v="Jul"/>
    <n v="7"/>
    <n v="7"/>
    <x v="125"/>
    <x v="4"/>
    <x v="2"/>
  </r>
  <r>
    <x v="10"/>
    <s v="card"/>
    <n v="27.92"/>
    <x v="3"/>
    <x v="0"/>
    <s v="Jul"/>
    <n v="7"/>
    <n v="7"/>
    <x v="125"/>
    <x v="4"/>
    <x v="2"/>
  </r>
  <r>
    <x v="10"/>
    <s v="card"/>
    <n v="32.82"/>
    <x v="7"/>
    <x v="0"/>
    <s v="Jul"/>
    <n v="7"/>
    <n v="7"/>
    <x v="125"/>
    <x v="4"/>
    <x v="2"/>
  </r>
  <r>
    <x v="10"/>
    <s v="card"/>
    <n v="32.82"/>
    <x v="7"/>
    <x v="0"/>
    <s v="Jul"/>
    <n v="7"/>
    <n v="7"/>
    <x v="125"/>
    <x v="4"/>
    <x v="2"/>
  </r>
  <r>
    <x v="8"/>
    <s v="card"/>
    <n v="32.82"/>
    <x v="1"/>
    <x v="1"/>
    <s v="Jul"/>
    <n v="7"/>
    <n v="7"/>
    <x v="125"/>
    <x v="4"/>
    <x v="2"/>
  </r>
  <r>
    <x v="8"/>
    <s v="card"/>
    <n v="32.82"/>
    <x v="4"/>
    <x v="1"/>
    <s v="Jul"/>
    <n v="7"/>
    <n v="7"/>
    <x v="125"/>
    <x v="4"/>
    <x v="2"/>
  </r>
  <r>
    <x v="9"/>
    <s v="card"/>
    <n v="32.82"/>
    <x v="0"/>
    <x v="2"/>
    <s v="Jul"/>
    <n v="7"/>
    <n v="7"/>
    <x v="125"/>
    <x v="4"/>
    <x v="2"/>
  </r>
  <r>
    <x v="6"/>
    <s v="card"/>
    <n v="32.82"/>
    <x v="7"/>
    <x v="2"/>
    <s v="Jul"/>
    <n v="7"/>
    <n v="7"/>
    <x v="125"/>
    <x v="4"/>
    <x v="2"/>
  </r>
  <r>
    <x v="11"/>
    <s v="card"/>
    <n v="32.82"/>
    <x v="1"/>
    <x v="2"/>
    <s v="Jul"/>
    <n v="7"/>
    <n v="7"/>
    <x v="125"/>
    <x v="4"/>
    <x v="2"/>
  </r>
  <r>
    <x v="13"/>
    <s v="card"/>
    <n v="27.92"/>
    <x v="3"/>
    <x v="2"/>
    <s v="Jul"/>
    <n v="7"/>
    <n v="7"/>
    <x v="125"/>
    <x v="4"/>
    <x v="2"/>
  </r>
  <r>
    <x v="14"/>
    <s v="card"/>
    <n v="32.82"/>
    <x v="0"/>
    <x v="0"/>
    <s v="Jul"/>
    <n v="1"/>
    <n v="7"/>
    <x v="126"/>
    <x v="4"/>
    <x v="3"/>
  </r>
  <r>
    <x v="1"/>
    <s v="card"/>
    <n v="23.02"/>
    <x v="2"/>
    <x v="1"/>
    <s v="Jul"/>
    <n v="1"/>
    <n v="7"/>
    <x v="126"/>
    <x v="4"/>
    <x v="3"/>
  </r>
  <r>
    <x v="8"/>
    <s v="card"/>
    <n v="23.02"/>
    <x v="2"/>
    <x v="1"/>
    <s v="Jul"/>
    <n v="1"/>
    <n v="7"/>
    <x v="126"/>
    <x v="4"/>
    <x v="3"/>
  </r>
  <r>
    <x v="6"/>
    <s v="card"/>
    <n v="27.92"/>
    <x v="3"/>
    <x v="2"/>
    <s v="Jul"/>
    <n v="1"/>
    <n v="7"/>
    <x v="126"/>
    <x v="4"/>
    <x v="3"/>
  </r>
  <r>
    <x v="13"/>
    <s v="card"/>
    <n v="32.82"/>
    <x v="0"/>
    <x v="2"/>
    <s v="Jul"/>
    <n v="1"/>
    <n v="7"/>
    <x v="126"/>
    <x v="4"/>
    <x v="3"/>
  </r>
  <r>
    <x v="0"/>
    <s v="card"/>
    <n v="27.92"/>
    <x v="3"/>
    <x v="0"/>
    <s v="Jul"/>
    <n v="2"/>
    <n v="7"/>
    <x v="127"/>
    <x v="4"/>
    <x v="4"/>
  </r>
  <r>
    <x v="0"/>
    <s v="card"/>
    <n v="27.92"/>
    <x v="3"/>
    <x v="0"/>
    <s v="Jul"/>
    <n v="2"/>
    <n v="7"/>
    <x v="127"/>
    <x v="4"/>
    <x v="4"/>
  </r>
  <r>
    <x v="7"/>
    <s v="card"/>
    <n v="27.92"/>
    <x v="3"/>
    <x v="0"/>
    <s v="Jul"/>
    <n v="2"/>
    <n v="7"/>
    <x v="127"/>
    <x v="4"/>
    <x v="4"/>
  </r>
  <r>
    <x v="7"/>
    <s v="card"/>
    <n v="32.82"/>
    <x v="7"/>
    <x v="0"/>
    <s v="Jul"/>
    <n v="2"/>
    <n v="7"/>
    <x v="127"/>
    <x v="4"/>
    <x v="4"/>
  </r>
  <r>
    <x v="4"/>
    <s v="card"/>
    <n v="27.92"/>
    <x v="3"/>
    <x v="1"/>
    <s v="Jul"/>
    <n v="2"/>
    <n v="7"/>
    <x v="127"/>
    <x v="4"/>
    <x v="4"/>
  </r>
  <r>
    <x v="7"/>
    <s v="card"/>
    <n v="23.02"/>
    <x v="2"/>
    <x v="0"/>
    <s v="Jul"/>
    <n v="3"/>
    <n v="7"/>
    <x v="128"/>
    <x v="4"/>
    <x v="5"/>
  </r>
  <r>
    <x v="1"/>
    <s v="card"/>
    <n v="27.92"/>
    <x v="3"/>
    <x v="1"/>
    <s v="Jul"/>
    <n v="3"/>
    <n v="7"/>
    <x v="128"/>
    <x v="4"/>
    <x v="5"/>
  </r>
  <r>
    <x v="13"/>
    <s v="card"/>
    <n v="32.82"/>
    <x v="0"/>
    <x v="2"/>
    <s v="Jul"/>
    <n v="3"/>
    <n v="7"/>
    <x v="128"/>
    <x v="4"/>
    <x v="5"/>
  </r>
  <r>
    <x v="7"/>
    <s v="card"/>
    <n v="32.82"/>
    <x v="1"/>
    <x v="0"/>
    <s v="Jul"/>
    <n v="4"/>
    <n v="7"/>
    <x v="129"/>
    <x v="4"/>
    <x v="6"/>
  </r>
  <r>
    <x v="4"/>
    <s v="card"/>
    <n v="27.92"/>
    <x v="3"/>
    <x v="1"/>
    <s v="Jul"/>
    <n v="4"/>
    <n v="7"/>
    <x v="129"/>
    <x v="4"/>
    <x v="6"/>
  </r>
  <r>
    <x v="13"/>
    <s v="card"/>
    <n v="32.82"/>
    <x v="0"/>
    <x v="2"/>
    <s v="Jul"/>
    <n v="4"/>
    <n v="7"/>
    <x v="129"/>
    <x v="4"/>
    <x v="6"/>
  </r>
  <r>
    <x v="13"/>
    <s v="card"/>
    <n v="23.02"/>
    <x v="2"/>
    <x v="2"/>
    <s v="Jul"/>
    <n v="4"/>
    <n v="7"/>
    <x v="129"/>
    <x v="4"/>
    <x v="6"/>
  </r>
  <r>
    <x v="12"/>
    <s v="card"/>
    <n v="23.02"/>
    <x v="5"/>
    <x v="0"/>
    <s v="Jul"/>
    <n v="5"/>
    <n v="7"/>
    <x v="130"/>
    <x v="4"/>
    <x v="0"/>
  </r>
  <r>
    <x v="7"/>
    <s v="card"/>
    <n v="32.82"/>
    <x v="1"/>
    <x v="0"/>
    <s v="Jul"/>
    <n v="5"/>
    <n v="7"/>
    <x v="130"/>
    <x v="4"/>
    <x v="0"/>
  </r>
  <r>
    <x v="13"/>
    <s v="card"/>
    <n v="32.82"/>
    <x v="1"/>
    <x v="2"/>
    <s v="Jul"/>
    <n v="5"/>
    <n v="7"/>
    <x v="130"/>
    <x v="4"/>
    <x v="0"/>
  </r>
  <r>
    <x v="13"/>
    <s v="card"/>
    <n v="32.82"/>
    <x v="1"/>
    <x v="2"/>
    <s v="Jul"/>
    <n v="5"/>
    <n v="7"/>
    <x v="130"/>
    <x v="4"/>
    <x v="0"/>
  </r>
  <r>
    <x v="13"/>
    <s v="card"/>
    <n v="32.82"/>
    <x v="1"/>
    <x v="2"/>
    <s v="Jul"/>
    <n v="5"/>
    <n v="7"/>
    <x v="130"/>
    <x v="4"/>
    <x v="0"/>
  </r>
  <r>
    <x v="0"/>
    <s v="card"/>
    <n v="32.82"/>
    <x v="0"/>
    <x v="0"/>
    <s v="Jul"/>
    <n v="6"/>
    <n v="7"/>
    <x v="131"/>
    <x v="4"/>
    <x v="1"/>
  </r>
  <r>
    <x v="7"/>
    <s v="card"/>
    <n v="32.82"/>
    <x v="0"/>
    <x v="0"/>
    <s v="Jul"/>
    <n v="6"/>
    <n v="7"/>
    <x v="131"/>
    <x v="4"/>
    <x v="1"/>
  </r>
  <r>
    <x v="0"/>
    <s v="card"/>
    <n v="23.02"/>
    <x v="2"/>
    <x v="0"/>
    <s v="Jul"/>
    <n v="7"/>
    <n v="7"/>
    <x v="132"/>
    <x v="4"/>
    <x v="2"/>
  </r>
  <r>
    <x v="0"/>
    <s v="card"/>
    <n v="27.92"/>
    <x v="3"/>
    <x v="0"/>
    <s v="Jul"/>
    <n v="7"/>
    <n v="7"/>
    <x v="132"/>
    <x v="4"/>
    <x v="2"/>
  </r>
  <r>
    <x v="0"/>
    <s v="card"/>
    <n v="32.82"/>
    <x v="7"/>
    <x v="0"/>
    <s v="Jul"/>
    <n v="7"/>
    <n v="7"/>
    <x v="132"/>
    <x v="4"/>
    <x v="2"/>
  </r>
  <r>
    <x v="0"/>
    <s v="card"/>
    <n v="32.82"/>
    <x v="0"/>
    <x v="0"/>
    <s v="Jul"/>
    <n v="7"/>
    <n v="7"/>
    <x v="132"/>
    <x v="4"/>
    <x v="2"/>
  </r>
  <r>
    <x v="7"/>
    <s v="card"/>
    <n v="23.02"/>
    <x v="2"/>
    <x v="0"/>
    <s v="Jul"/>
    <n v="7"/>
    <n v="7"/>
    <x v="132"/>
    <x v="4"/>
    <x v="2"/>
  </r>
  <r>
    <x v="13"/>
    <s v="card"/>
    <n v="32.82"/>
    <x v="0"/>
    <x v="2"/>
    <s v="Jul"/>
    <n v="7"/>
    <n v="7"/>
    <x v="132"/>
    <x v="4"/>
    <x v="2"/>
  </r>
  <r>
    <x v="14"/>
    <s v="card"/>
    <n v="32.82"/>
    <x v="7"/>
    <x v="0"/>
    <s v="Jul"/>
    <n v="1"/>
    <n v="7"/>
    <x v="133"/>
    <x v="4"/>
    <x v="3"/>
  </r>
  <r>
    <x v="1"/>
    <s v="card"/>
    <n v="27.92"/>
    <x v="3"/>
    <x v="1"/>
    <s v="Jul"/>
    <n v="2"/>
    <n v="7"/>
    <x v="134"/>
    <x v="4"/>
    <x v="4"/>
  </r>
  <r>
    <x v="6"/>
    <s v="card"/>
    <n v="32.82"/>
    <x v="1"/>
    <x v="2"/>
    <s v="Jul"/>
    <n v="2"/>
    <n v="7"/>
    <x v="134"/>
    <x v="4"/>
    <x v="4"/>
  </r>
  <r>
    <x v="2"/>
    <s v="card"/>
    <n v="27.92"/>
    <x v="3"/>
    <x v="1"/>
    <s v="Jul"/>
    <n v="3"/>
    <n v="7"/>
    <x v="135"/>
    <x v="4"/>
    <x v="5"/>
  </r>
  <r>
    <x v="7"/>
    <s v="card"/>
    <n v="27.92"/>
    <x v="3"/>
    <x v="0"/>
    <s v="Jul"/>
    <n v="4"/>
    <n v="7"/>
    <x v="136"/>
    <x v="4"/>
    <x v="6"/>
  </r>
  <r>
    <x v="7"/>
    <s v="card"/>
    <n v="18.12"/>
    <x v="6"/>
    <x v="0"/>
    <s v="Jul"/>
    <n v="4"/>
    <n v="7"/>
    <x v="136"/>
    <x v="4"/>
    <x v="6"/>
  </r>
  <r>
    <x v="7"/>
    <s v="card"/>
    <n v="23.02"/>
    <x v="2"/>
    <x v="0"/>
    <s v="Jul"/>
    <n v="4"/>
    <n v="7"/>
    <x v="136"/>
    <x v="4"/>
    <x v="6"/>
  </r>
  <r>
    <x v="7"/>
    <s v="card"/>
    <n v="23.02"/>
    <x v="2"/>
    <x v="0"/>
    <s v="Jul"/>
    <n v="4"/>
    <n v="7"/>
    <x v="136"/>
    <x v="4"/>
    <x v="6"/>
  </r>
  <r>
    <x v="7"/>
    <s v="card"/>
    <n v="23.02"/>
    <x v="5"/>
    <x v="0"/>
    <s v="Jul"/>
    <n v="4"/>
    <n v="7"/>
    <x v="136"/>
    <x v="4"/>
    <x v="6"/>
  </r>
  <r>
    <x v="2"/>
    <s v="card"/>
    <n v="32.82"/>
    <x v="0"/>
    <x v="1"/>
    <s v="Jul"/>
    <n v="4"/>
    <n v="7"/>
    <x v="136"/>
    <x v="4"/>
    <x v="6"/>
  </r>
  <r>
    <x v="5"/>
    <s v="card"/>
    <n v="32.82"/>
    <x v="7"/>
    <x v="2"/>
    <s v="Jul"/>
    <n v="4"/>
    <n v="7"/>
    <x v="136"/>
    <x v="4"/>
    <x v="6"/>
  </r>
  <r>
    <x v="6"/>
    <s v="card"/>
    <n v="32.82"/>
    <x v="0"/>
    <x v="2"/>
    <s v="Jul"/>
    <n v="4"/>
    <n v="7"/>
    <x v="136"/>
    <x v="4"/>
    <x v="6"/>
  </r>
  <r>
    <x v="15"/>
    <s v="card"/>
    <n v="32.82"/>
    <x v="1"/>
    <x v="2"/>
    <s v="Jul"/>
    <n v="4"/>
    <n v="7"/>
    <x v="136"/>
    <x v="4"/>
    <x v="6"/>
  </r>
  <r>
    <x v="15"/>
    <s v="card"/>
    <n v="32.82"/>
    <x v="0"/>
    <x v="2"/>
    <s v="Jul"/>
    <n v="4"/>
    <n v="7"/>
    <x v="136"/>
    <x v="4"/>
    <x v="6"/>
  </r>
  <r>
    <x v="15"/>
    <s v="card"/>
    <n v="32.82"/>
    <x v="0"/>
    <x v="2"/>
    <s v="Jul"/>
    <n v="4"/>
    <n v="7"/>
    <x v="136"/>
    <x v="4"/>
    <x v="6"/>
  </r>
  <r>
    <x v="7"/>
    <s v="card"/>
    <n v="23.02"/>
    <x v="2"/>
    <x v="0"/>
    <s v="Jul"/>
    <n v="5"/>
    <n v="7"/>
    <x v="137"/>
    <x v="4"/>
    <x v="0"/>
  </r>
  <r>
    <x v="7"/>
    <s v="card"/>
    <n v="27.92"/>
    <x v="3"/>
    <x v="0"/>
    <s v="Jul"/>
    <n v="5"/>
    <n v="7"/>
    <x v="137"/>
    <x v="4"/>
    <x v="0"/>
  </r>
  <r>
    <x v="1"/>
    <s v="card"/>
    <n v="32.82"/>
    <x v="0"/>
    <x v="1"/>
    <s v="Jul"/>
    <n v="5"/>
    <n v="7"/>
    <x v="137"/>
    <x v="4"/>
    <x v="0"/>
  </r>
  <r>
    <x v="1"/>
    <s v="card"/>
    <n v="27.92"/>
    <x v="3"/>
    <x v="1"/>
    <s v="Jul"/>
    <n v="5"/>
    <n v="7"/>
    <x v="137"/>
    <x v="4"/>
    <x v="0"/>
  </r>
  <r>
    <x v="8"/>
    <s v="card"/>
    <n v="32.82"/>
    <x v="0"/>
    <x v="1"/>
    <s v="Jul"/>
    <n v="5"/>
    <n v="7"/>
    <x v="137"/>
    <x v="4"/>
    <x v="0"/>
  </r>
  <r>
    <x v="8"/>
    <s v="card"/>
    <n v="32.82"/>
    <x v="4"/>
    <x v="1"/>
    <s v="Jul"/>
    <n v="5"/>
    <n v="7"/>
    <x v="137"/>
    <x v="4"/>
    <x v="0"/>
  </r>
  <r>
    <x v="4"/>
    <s v="card"/>
    <n v="32.82"/>
    <x v="0"/>
    <x v="1"/>
    <s v="Jul"/>
    <n v="5"/>
    <n v="7"/>
    <x v="137"/>
    <x v="4"/>
    <x v="0"/>
  </r>
  <r>
    <x v="4"/>
    <s v="card"/>
    <n v="32.82"/>
    <x v="0"/>
    <x v="1"/>
    <s v="Jul"/>
    <n v="5"/>
    <n v="7"/>
    <x v="137"/>
    <x v="4"/>
    <x v="0"/>
  </r>
  <r>
    <x v="12"/>
    <s v="card"/>
    <n v="23.02"/>
    <x v="2"/>
    <x v="0"/>
    <s v="Jul"/>
    <n v="6"/>
    <n v="7"/>
    <x v="138"/>
    <x v="4"/>
    <x v="1"/>
  </r>
  <r>
    <x v="12"/>
    <s v="card"/>
    <n v="32.82"/>
    <x v="0"/>
    <x v="0"/>
    <s v="Jul"/>
    <n v="6"/>
    <n v="7"/>
    <x v="138"/>
    <x v="4"/>
    <x v="1"/>
  </r>
  <r>
    <x v="12"/>
    <s v="card"/>
    <n v="23.02"/>
    <x v="2"/>
    <x v="0"/>
    <s v="Jul"/>
    <n v="6"/>
    <n v="7"/>
    <x v="138"/>
    <x v="4"/>
    <x v="1"/>
  </r>
  <r>
    <x v="10"/>
    <s v="card"/>
    <n v="32.82"/>
    <x v="0"/>
    <x v="0"/>
    <s v="Jul"/>
    <n v="6"/>
    <n v="7"/>
    <x v="138"/>
    <x v="4"/>
    <x v="1"/>
  </r>
  <r>
    <x v="10"/>
    <s v="card"/>
    <n v="32.82"/>
    <x v="0"/>
    <x v="0"/>
    <s v="Jul"/>
    <n v="6"/>
    <n v="7"/>
    <x v="138"/>
    <x v="4"/>
    <x v="1"/>
  </r>
  <r>
    <x v="0"/>
    <s v="card"/>
    <n v="23.02"/>
    <x v="2"/>
    <x v="0"/>
    <s v="Jul"/>
    <n v="6"/>
    <n v="7"/>
    <x v="138"/>
    <x v="4"/>
    <x v="1"/>
  </r>
  <r>
    <x v="3"/>
    <s v="card"/>
    <n v="32.82"/>
    <x v="0"/>
    <x v="1"/>
    <s v="Jul"/>
    <n v="6"/>
    <n v="7"/>
    <x v="138"/>
    <x v="4"/>
    <x v="1"/>
  </r>
  <r>
    <x v="0"/>
    <s v="card"/>
    <n v="32.82"/>
    <x v="4"/>
    <x v="0"/>
    <s v="Jul"/>
    <n v="7"/>
    <n v="7"/>
    <x v="139"/>
    <x v="4"/>
    <x v="2"/>
  </r>
  <r>
    <x v="7"/>
    <s v="card"/>
    <n v="32.82"/>
    <x v="7"/>
    <x v="0"/>
    <s v="Jul"/>
    <n v="7"/>
    <n v="7"/>
    <x v="139"/>
    <x v="4"/>
    <x v="2"/>
  </r>
  <r>
    <x v="2"/>
    <s v="card"/>
    <n v="23.02"/>
    <x v="5"/>
    <x v="1"/>
    <s v="Jul"/>
    <n v="7"/>
    <n v="7"/>
    <x v="139"/>
    <x v="4"/>
    <x v="2"/>
  </r>
  <r>
    <x v="2"/>
    <s v="card"/>
    <n v="32.82"/>
    <x v="0"/>
    <x v="1"/>
    <s v="Jul"/>
    <n v="7"/>
    <n v="7"/>
    <x v="139"/>
    <x v="4"/>
    <x v="2"/>
  </r>
  <r>
    <x v="12"/>
    <s v="card"/>
    <n v="23.02"/>
    <x v="2"/>
    <x v="0"/>
    <s v="Jul"/>
    <n v="1"/>
    <n v="7"/>
    <x v="140"/>
    <x v="4"/>
    <x v="3"/>
  </r>
  <r>
    <x v="12"/>
    <s v="card"/>
    <n v="23.02"/>
    <x v="2"/>
    <x v="0"/>
    <s v="Jul"/>
    <n v="1"/>
    <n v="7"/>
    <x v="140"/>
    <x v="4"/>
    <x v="3"/>
  </r>
  <r>
    <x v="0"/>
    <s v="card"/>
    <n v="27.92"/>
    <x v="3"/>
    <x v="0"/>
    <s v="Jul"/>
    <n v="1"/>
    <n v="7"/>
    <x v="140"/>
    <x v="4"/>
    <x v="3"/>
  </r>
  <r>
    <x v="4"/>
    <s v="card"/>
    <n v="32.82"/>
    <x v="0"/>
    <x v="1"/>
    <s v="Jul"/>
    <n v="1"/>
    <n v="7"/>
    <x v="140"/>
    <x v="4"/>
    <x v="3"/>
  </r>
  <r>
    <x v="12"/>
    <s v="card"/>
    <n v="32.82"/>
    <x v="0"/>
    <x v="0"/>
    <s v="Jul"/>
    <n v="2"/>
    <n v="7"/>
    <x v="141"/>
    <x v="4"/>
    <x v="4"/>
  </r>
  <r>
    <x v="12"/>
    <s v="card"/>
    <n v="23.02"/>
    <x v="2"/>
    <x v="0"/>
    <s v="Jul"/>
    <n v="2"/>
    <n v="7"/>
    <x v="141"/>
    <x v="4"/>
    <x v="4"/>
  </r>
  <r>
    <x v="12"/>
    <s v="card"/>
    <n v="27.92"/>
    <x v="3"/>
    <x v="0"/>
    <s v="Jul"/>
    <n v="2"/>
    <n v="7"/>
    <x v="141"/>
    <x v="4"/>
    <x v="4"/>
  </r>
  <r>
    <x v="12"/>
    <s v="card"/>
    <n v="32.82"/>
    <x v="4"/>
    <x v="0"/>
    <s v="Jul"/>
    <n v="2"/>
    <n v="7"/>
    <x v="141"/>
    <x v="4"/>
    <x v="4"/>
  </r>
  <r>
    <x v="12"/>
    <s v="card"/>
    <n v="32.82"/>
    <x v="0"/>
    <x v="0"/>
    <s v="Jul"/>
    <n v="2"/>
    <n v="7"/>
    <x v="141"/>
    <x v="4"/>
    <x v="4"/>
  </r>
  <r>
    <x v="10"/>
    <s v="card"/>
    <n v="23.02"/>
    <x v="2"/>
    <x v="0"/>
    <s v="Jul"/>
    <n v="2"/>
    <n v="7"/>
    <x v="141"/>
    <x v="4"/>
    <x v="4"/>
  </r>
  <r>
    <x v="0"/>
    <s v="card"/>
    <n v="27.92"/>
    <x v="3"/>
    <x v="0"/>
    <s v="Jul"/>
    <n v="2"/>
    <n v="7"/>
    <x v="141"/>
    <x v="4"/>
    <x v="4"/>
  </r>
  <r>
    <x v="3"/>
    <s v="card"/>
    <n v="27.92"/>
    <x v="3"/>
    <x v="1"/>
    <s v="Jul"/>
    <n v="2"/>
    <n v="7"/>
    <x v="141"/>
    <x v="4"/>
    <x v="4"/>
  </r>
  <r>
    <x v="3"/>
    <s v="card"/>
    <n v="32.82"/>
    <x v="0"/>
    <x v="1"/>
    <s v="Jul"/>
    <n v="2"/>
    <n v="7"/>
    <x v="141"/>
    <x v="4"/>
    <x v="4"/>
  </r>
  <r>
    <x v="15"/>
    <s v="card"/>
    <n v="32.82"/>
    <x v="0"/>
    <x v="2"/>
    <s v="Jul"/>
    <n v="2"/>
    <n v="7"/>
    <x v="141"/>
    <x v="4"/>
    <x v="4"/>
  </r>
  <r>
    <x v="15"/>
    <s v="card"/>
    <n v="23.02"/>
    <x v="2"/>
    <x v="2"/>
    <s v="Jul"/>
    <n v="2"/>
    <n v="7"/>
    <x v="141"/>
    <x v="4"/>
    <x v="4"/>
  </r>
  <r>
    <x v="15"/>
    <s v="card"/>
    <n v="23.02"/>
    <x v="2"/>
    <x v="2"/>
    <s v="Jul"/>
    <n v="2"/>
    <n v="7"/>
    <x v="141"/>
    <x v="4"/>
    <x v="4"/>
  </r>
  <r>
    <x v="10"/>
    <s v="card"/>
    <n v="27.92"/>
    <x v="3"/>
    <x v="0"/>
    <s v="Jul"/>
    <n v="3"/>
    <n v="7"/>
    <x v="142"/>
    <x v="4"/>
    <x v="5"/>
  </r>
  <r>
    <x v="10"/>
    <s v="card"/>
    <n v="27.92"/>
    <x v="3"/>
    <x v="0"/>
    <s v="Jul"/>
    <n v="3"/>
    <n v="7"/>
    <x v="142"/>
    <x v="4"/>
    <x v="5"/>
  </r>
  <r>
    <x v="10"/>
    <s v="card"/>
    <n v="18.12"/>
    <x v="6"/>
    <x v="0"/>
    <s v="Jul"/>
    <n v="3"/>
    <n v="7"/>
    <x v="142"/>
    <x v="4"/>
    <x v="5"/>
  </r>
  <r>
    <x v="7"/>
    <s v="card"/>
    <n v="32.82"/>
    <x v="7"/>
    <x v="0"/>
    <s v="Jul"/>
    <n v="3"/>
    <n v="7"/>
    <x v="142"/>
    <x v="4"/>
    <x v="5"/>
  </r>
  <r>
    <x v="2"/>
    <s v="card"/>
    <n v="32.82"/>
    <x v="0"/>
    <x v="1"/>
    <s v="Jul"/>
    <n v="3"/>
    <n v="7"/>
    <x v="142"/>
    <x v="4"/>
    <x v="5"/>
  </r>
  <r>
    <x v="8"/>
    <s v="card"/>
    <n v="18.12"/>
    <x v="6"/>
    <x v="1"/>
    <s v="Jul"/>
    <n v="3"/>
    <n v="7"/>
    <x v="142"/>
    <x v="4"/>
    <x v="5"/>
  </r>
  <r>
    <x v="3"/>
    <s v="card"/>
    <n v="32.82"/>
    <x v="0"/>
    <x v="1"/>
    <s v="Jul"/>
    <n v="3"/>
    <n v="7"/>
    <x v="142"/>
    <x v="4"/>
    <x v="5"/>
  </r>
  <r>
    <x v="6"/>
    <s v="card"/>
    <n v="32.82"/>
    <x v="7"/>
    <x v="2"/>
    <s v="Jul"/>
    <n v="3"/>
    <n v="7"/>
    <x v="142"/>
    <x v="4"/>
    <x v="5"/>
  </r>
  <r>
    <x v="6"/>
    <s v="card"/>
    <n v="32.82"/>
    <x v="7"/>
    <x v="2"/>
    <s v="Jul"/>
    <n v="3"/>
    <n v="7"/>
    <x v="142"/>
    <x v="4"/>
    <x v="5"/>
  </r>
  <r>
    <x v="15"/>
    <s v="card"/>
    <n v="27.92"/>
    <x v="3"/>
    <x v="2"/>
    <s v="Jul"/>
    <n v="3"/>
    <n v="7"/>
    <x v="142"/>
    <x v="4"/>
    <x v="5"/>
  </r>
  <r>
    <x v="15"/>
    <s v="card"/>
    <n v="23.02"/>
    <x v="2"/>
    <x v="2"/>
    <s v="Jul"/>
    <n v="3"/>
    <n v="7"/>
    <x v="142"/>
    <x v="4"/>
    <x v="5"/>
  </r>
  <r>
    <x v="15"/>
    <s v="card"/>
    <n v="23.02"/>
    <x v="2"/>
    <x v="2"/>
    <s v="Jul"/>
    <n v="3"/>
    <n v="7"/>
    <x v="142"/>
    <x v="4"/>
    <x v="5"/>
  </r>
  <r>
    <x v="14"/>
    <s v="card"/>
    <n v="23.02"/>
    <x v="2"/>
    <x v="0"/>
    <s v="Jul"/>
    <n v="4"/>
    <n v="7"/>
    <x v="143"/>
    <x v="4"/>
    <x v="6"/>
  </r>
  <r>
    <x v="12"/>
    <s v="card"/>
    <n v="32.82"/>
    <x v="0"/>
    <x v="0"/>
    <s v="Jul"/>
    <n v="4"/>
    <n v="7"/>
    <x v="143"/>
    <x v="4"/>
    <x v="6"/>
  </r>
  <r>
    <x v="0"/>
    <s v="card"/>
    <n v="27.92"/>
    <x v="3"/>
    <x v="0"/>
    <s v="Jul"/>
    <n v="4"/>
    <n v="7"/>
    <x v="143"/>
    <x v="4"/>
    <x v="6"/>
  </r>
  <r>
    <x v="7"/>
    <s v="card"/>
    <n v="23.02"/>
    <x v="2"/>
    <x v="0"/>
    <s v="Jul"/>
    <n v="4"/>
    <n v="7"/>
    <x v="143"/>
    <x v="4"/>
    <x v="6"/>
  </r>
  <r>
    <x v="3"/>
    <s v="card"/>
    <n v="32.82"/>
    <x v="7"/>
    <x v="1"/>
    <s v="Jul"/>
    <n v="4"/>
    <n v="7"/>
    <x v="143"/>
    <x v="4"/>
    <x v="6"/>
  </r>
  <r>
    <x v="6"/>
    <s v="card"/>
    <n v="32.82"/>
    <x v="7"/>
    <x v="2"/>
    <s v="Jul"/>
    <n v="4"/>
    <n v="7"/>
    <x v="143"/>
    <x v="4"/>
    <x v="6"/>
  </r>
  <r>
    <x v="15"/>
    <s v="card"/>
    <n v="23.02"/>
    <x v="5"/>
    <x v="2"/>
    <s v="Jul"/>
    <n v="4"/>
    <n v="7"/>
    <x v="143"/>
    <x v="4"/>
    <x v="6"/>
  </r>
  <r>
    <x v="15"/>
    <s v="card"/>
    <n v="18.12"/>
    <x v="6"/>
    <x v="2"/>
    <s v="Jul"/>
    <n v="4"/>
    <n v="7"/>
    <x v="143"/>
    <x v="4"/>
    <x v="6"/>
  </r>
  <r>
    <x v="13"/>
    <s v="card"/>
    <n v="23.02"/>
    <x v="5"/>
    <x v="2"/>
    <s v="Jul"/>
    <n v="4"/>
    <n v="7"/>
    <x v="143"/>
    <x v="4"/>
    <x v="6"/>
  </r>
  <r>
    <x v="13"/>
    <s v="card"/>
    <n v="32.82"/>
    <x v="4"/>
    <x v="2"/>
    <s v="Jul"/>
    <n v="4"/>
    <n v="7"/>
    <x v="143"/>
    <x v="4"/>
    <x v="6"/>
  </r>
  <r>
    <x v="12"/>
    <s v="card"/>
    <n v="32.82"/>
    <x v="0"/>
    <x v="0"/>
    <s v="Jul"/>
    <n v="5"/>
    <n v="7"/>
    <x v="144"/>
    <x v="4"/>
    <x v="0"/>
  </r>
  <r>
    <x v="10"/>
    <s v="card"/>
    <n v="27.92"/>
    <x v="3"/>
    <x v="0"/>
    <s v="Jul"/>
    <n v="5"/>
    <n v="7"/>
    <x v="144"/>
    <x v="4"/>
    <x v="0"/>
  </r>
  <r>
    <x v="10"/>
    <s v="card"/>
    <n v="18.12"/>
    <x v="6"/>
    <x v="0"/>
    <s v="Jul"/>
    <n v="5"/>
    <n v="7"/>
    <x v="144"/>
    <x v="4"/>
    <x v="0"/>
  </r>
  <r>
    <x v="10"/>
    <s v="card"/>
    <n v="23.02"/>
    <x v="5"/>
    <x v="0"/>
    <s v="Jul"/>
    <n v="5"/>
    <n v="7"/>
    <x v="144"/>
    <x v="4"/>
    <x v="0"/>
  </r>
  <r>
    <x v="10"/>
    <s v="card"/>
    <n v="23.02"/>
    <x v="5"/>
    <x v="0"/>
    <s v="Jul"/>
    <n v="5"/>
    <n v="7"/>
    <x v="144"/>
    <x v="4"/>
    <x v="0"/>
  </r>
  <r>
    <x v="10"/>
    <s v="card"/>
    <n v="32.82"/>
    <x v="0"/>
    <x v="0"/>
    <s v="Jul"/>
    <n v="5"/>
    <n v="7"/>
    <x v="144"/>
    <x v="4"/>
    <x v="0"/>
  </r>
  <r>
    <x v="0"/>
    <s v="card"/>
    <n v="32.82"/>
    <x v="0"/>
    <x v="0"/>
    <s v="Jul"/>
    <n v="5"/>
    <n v="7"/>
    <x v="144"/>
    <x v="4"/>
    <x v="0"/>
  </r>
  <r>
    <x v="7"/>
    <s v="card"/>
    <n v="27.92"/>
    <x v="3"/>
    <x v="0"/>
    <s v="Jul"/>
    <n v="5"/>
    <n v="7"/>
    <x v="144"/>
    <x v="4"/>
    <x v="0"/>
  </r>
  <r>
    <x v="1"/>
    <s v="card"/>
    <n v="27.92"/>
    <x v="3"/>
    <x v="1"/>
    <s v="Jul"/>
    <n v="5"/>
    <n v="7"/>
    <x v="144"/>
    <x v="4"/>
    <x v="0"/>
  </r>
  <r>
    <x v="1"/>
    <s v="card"/>
    <n v="32.82"/>
    <x v="7"/>
    <x v="1"/>
    <s v="Jul"/>
    <n v="5"/>
    <n v="7"/>
    <x v="144"/>
    <x v="4"/>
    <x v="0"/>
  </r>
  <r>
    <x v="1"/>
    <s v="card"/>
    <n v="32.82"/>
    <x v="7"/>
    <x v="1"/>
    <s v="Jul"/>
    <n v="5"/>
    <n v="7"/>
    <x v="144"/>
    <x v="4"/>
    <x v="0"/>
  </r>
  <r>
    <x v="2"/>
    <s v="card"/>
    <n v="32.82"/>
    <x v="0"/>
    <x v="1"/>
    <s v="Jul"/>
    <n v="5"/>
    <n v="7"/>
    <x v="144"/>
    <x v="4"/>
    <x v="0"/>
  </r>
  <r>
    <x v="9"/>
    <s v="card"/>
    <n v="23.02"/>
    <x v="2"/>
    <x v="2"/>
    <s v="Jul"/>
    <n v="5"/>
    <n v="7"/>
    <x v="144"/>
    <x v="4"/>
    <x v="0"/>
  </r>
  <r>
    <x v="9"/>
    <s v="card"/>
    <n v="32.82"/>
    <x v="7"/>
    <x v="2"/>
    <s v="Jul"/>
    <n v="5"/>
    <n v="7"/>
    <x v="144"/>
    <x v="4"/>
    <x v="0"/>
  </r>
  <r>
    <x v="15"/>
    <s v="card"/>
    <n v="32.82"/>
    <x v="0"/>
    <x v="2"/>
    <s v="Jul"/>
    <n v="5"/>
    <n v="7"/>
    <x v="144"/>
    <x v="4"/>
    <x v="0"/>
  </r>
  <r>
    <x v="13"/>
    <s v="card"/>
    <n v="27.92"/>
    <x v="3"/>
    <x v="2"/>
    <s v="Jul"/>
    <n v="5"/>
    <n v="7"/>
    <x v="144"/>
    <x v="4"/>
    <x v="0"/>
  </r>
  <r>
    <x v="10"/>
    <s v="card"/>
    <n v="32.82"/>
    <x v="7"/>
    <x v="0"/>
    <s v="Jul"/>
    <n v="6"/>
    <n v="7"/>
    <x v="145"/>
    <x v="4"/>
    <x v="1"/>
  </r>
  <r>
    <x v="7"/>
    <s v="card"/>
    <n v="27.92"/>
    <x v="3"/>
    <x v="0"/>
    <s v="Jul"/>
    <n v="6"/>
    <n v="7"/>
    <x v="145"/>
    <x v="4"/>
    <x v="1"/>
  </r>
  <r>
    <x v="1"/>
    <s v="card"/>
    <n v="27.92"/>
    <x v="3"/>
    <x v="1"/>
    <s v="Jul"/>
    <n v="6"/>
    <n v="7"/>
    <x v="145"/>
    <x v="4"/>
    <x v="1"/>
  </r>
  <r>
    <x v="1"/>
    <s v="card"/>
    <n v="18.12"/>
    <x v="6"/>
    <x v="1"/>
    <s v="Jul"/>
    <n v="6"/>
    <n v="7"/>
    <x v="145"/>
    <x v="4"/>
    <x v="1"/>
  </r>
  <r>
    <x v="1"/>
    <s v="card"/>
    <n v="27.92"/>
    <x v="3"/>
    <x v="1"/>
    <s v="Jul"/>
    <n v="6"/>
    <n v="7"/>
    <x v="145"/>
    <x v="4"/>
    <x v="1"/>
  </r>
  <r>
    <x v="8"/>
    <s v="card"/>
    <n v="18.12"/>
    <x v="6"/>
    <x v="1"/>
    <s v="Jul"/>
    <n v="6"/>
    <n v="7"/>
    <x v="145"/>
    <x v="4"/>
    <x v="1"/>
  </r>
  <r>
    <x v="8"/>
    <s v="card"/>
    <n v="32.82"/>
    <x v="0"/>
    <x v="1"/>
    <s v="Jul"/>
    <n v="6"/>
    <n v="7"/>
    <x v="145"/>
    <x v="4"/>
    <x v="1"/>
  </r>
  <r>
    <x v="9"/>
    <s v="card"/>
    <n v="32.82"/>
    <x v="7"/>
    <x v="2"/>
    <s v="Jul"/>
    <n v="6"/>
    <n v="7"/>
    <x v="145"/>
    <x v="4"/>
    <x v="1"/>
  </r>
  <r>
    <x v="9"/>
    <s v="card"/>
    <n v="32.82"/>
    <x v="7"/>
    <x v="2"/>
    <s v="Jul"/>
    <n v="6"/>
    <n v="7"/>
    <x v="145"/>
    <x v="4"/>
    <x v="1"/>
  </r>
  <r>
    <x v="9"/>
    <s v="card"/>
    <n v="27.92"/>
    <x v="3"/>
    <x v="2"/>
    <s v="Jul"/>
    <n v="6"/>
    <n v="7"/>
    <x v="145"/>
    <x v="4"/>
    <x v="1"/>
  </r>
  <r>
    <x v="9"/>
    <s v="card"/>
    <n v="27.92"/>
    <x v="3"/>
    <x v="2"/>
    <s v="Jul"/>
    <n v="6"/>
    <n v="7"/>
    <x v="145"/>
    <x v="4"/>
    <x v="1"/>
  </r>
  <r>
    <x v="11"/>
    <s v="card"/>
    <n v="32.82"/>
    <x v="0"/>
    <x v="2"/>
    <s v="Jul"/>
    <n v="6"/>
    <n v="7"/>
    <x v="145"/>
    <x v="4"/>
    <x v="1"/>
  </r>
  <r>
    <x v="13"/>
    <s v="card"/>
    <n v="32.82"/>
    <x v="7"/>
    <x v="2"/>
    <s v="Jul"/>
    <n v="6"/>
    <n v="7"/>
    <x v="145"/>
    <x v="4"/>
    <x v="1"/>
  </r>
  <r>
    <x v="7"/>
    <s v="card"/>
    <n v="18.12"/>
    <x v="6"/>
    <x v="0"/>
    <s v="Jul"/>
    <n v="7"/>
    <n v="7"/>
    <x v="146"/>
    <x v="4"/>
    <x v="2"/>
  </r>
  <r>
    <x v="8"/>
    <s v="card"/>
    <n v="27.92"/>
    <x v="3"/>
    <x v="1"/>
    <s v="Jul"/>
    <n v="7"/>
    <n v="7"/>
    <x v="146"/>
    <x v="4"/>
    <x v="2"/>
  </r>
  <r>
    <x v="8"/>
    <s v="card"/>
    <n v="32.82"/>
    <x v="0"/>
    <x v="1"/>
    <s v="Jul"/>
    <n v="7"/>
    <n v="7"/>
    <x v="146"/>
    <x v="4"/>
    <x v="2"/>
  </r>
  <r>
    <x v="12"/>
    <s v="card"/>
    <n v="32.82"/>
    <x v="0"/>
    <x v="0"/>
    <s v="Jul"/>
    <n v="1"/>
    <n v="7"/>
    <x v="147"/>
    <x v="4"/>
    <x v="3"/>
  </r>
  <r>
    <x v="10"/>
    <s v="card"/>
    <n v="23.02"/>
    <x v="2"/>
    <x v="0"/>
    <s v="Jul"/>
    <n v="1"/>
    <n v="7"/>
    <x v="147"/>
    <x v="4"/>
    <x v="3"/>
  </r>
  <r>
    <x v="10"/>
    <s v="card"/>
    <n v="27.92"/>
    <x v="3"/>
    <x v="0"/>
    <s v="Jul"/>
    <n v="1"/>
    <n v="7"/>
    <x v="147"/>
    <x v="4"/>
    <x v="3"/>
  </r>
  <r>
    <x v="10"/>
    <s v="card"/>
    <n v="23.02"/>
    <x v="2"/>
    <x v="0"/>
    <s v="Jul"/>
    <n v="1"/>
    <n v="7"/>
    <x v="147"/>
    <x v="4"/>
    <x v="3"/>
  </r>
  <r>
    <x v="10"/>
    <s v="card"/>
    <n v="27.92"/>
    <x v="3"/>
    <x v="0"/>
    <s v="Jul"/>
    <n v="1"/>
    <n v="7"/>
    <x v="147"/>
    <x v="4"/>
    <x v="3"/>
  </r>
  <r>
    <x v="10"/>
    <s v="card"/>
    <n v="32.82"/>
    <x v="7"/>
    <x v="0"/>
    <s v="Jul"/>
    <n v="1"/>
    <n v="7"/>
    <x v="147"/>
    <x v="4"/>
    <x v="3"/>
  </r>
  <r>
    <x v="0"/>
    <s v="card"/>
    <n v="32.82"/>
    <x v="1"/>
    <x v="0"/>
    <s v="Jul"/>
    <n v="1"/>
    <n v="7"/>
    <x v="147"/>
    <x v="4"/>
    <x v="3"/>
  </r>
  <r>
    <x v="0"/>
    <s v="card"/>
    <n v="32.82"/>
    <x v="1"/>
    <x v="0"/>
    <s v="Jul"/>
    <n v="1"/>
    <n v="7"/>
    <x v="147"/>
    <x v="4"/>
    <x v="3"/>
  </r>
  <r>
    <x v="6"/>
    <s v="card"/>
    <n v="32.82"/>
    <x v="7"/>
    <x v="2"/>
    <s v="Jul"/>
    <n v="1"/>
    <n v="7"/>
    <x v="147"/>
    <x v="4"/>
    <x v="3"/>
  </r>
  <r>
    <x v="6"/>
    <s v="card"/>
    <n v="23.02"/>
    <x v="2"/>
    <x v="2"/>
    <s v="Jul"/>
    <n v="1"/>
    <n v="7"/>
    <x v="147"/>
    <x v="4"/>
    <x v="3"/>
  </r>
  <r>
    <x v="15"/>
    <s v="card"/>
    <n v="32.82"/>
    <x v="4"/>
    <x v="2"/>
    <s v="Jul"/>
    <n v="1"/>
    <n v="7"/>
    <x v="147"/>
    <x v="4"/>
    <x v="3"/>
  </r>
  <r>
    <x v="14"/>
    <s v="card"/>
    <n v="27.92"/>
    <x v="3"/>
    <x v="0"/>
    <s v="Jul"/>
    <n v="2"/>
    <n v="7"/>
    <x v="148"/>
    <x v="4"/>
    <x v="4"/>
  </r>
  <r>
    <x v="12"/>
    <s v="card"/>
    <n v="23.02"/>
    <x v="5"/>
    <x v="0"/>
    <s v="Jul"/>
    <n v="2"/>
    <n v="7"/>
    <x v="148"/>
    <x v="4"/>
    <x v="4"/>
  </r>
  <r>
    <x v="12"/>
    <s v="card"/>
    <n v="32.82"/>
    <x v="7"/>
    <x v="0"/>
    <s v="Jul"/>
    <n v="2"/>
    <n v="7"/>
    <x v="148"/>
    <x v="4"/>
    <x v="4"/>
  </r>
  <r>
    <x v="10"/>
    <s v="card"/>
    <n v="27.92"/>
    <x v="3"/>
    <x v="0"/>
    <s v="Jul"/>
    <n v="2"/>
    <n v="7"/>
    <x v="148"/>
    <x v="4"/>
    <x v="4"/>
  </r>
  <r>
    <x v="0"/>
    <s v="card"/>
    <n v="23.02"/>
    <x v="5"/>
    <x v="0"/>
    <s v="Jul"/>
    <n v="2"/>
    <n v="7"/>
    <x v="148"/>
    <x v="4"/>
    <x v="4"/>
  </r>
  <r>
    <x v="0"/>
    <s v="card"/>
    <n v="27.92"/>
    <x v="3"/>
    <x v="0"/>
    <s v="Jul"/>
    <n v="2"/>
    <n v="7"/>
    <x v="148"/>
    <x v="4"/>
    <x v="4"/>
  </r>
  <r>
    <x v="0"/>
    <s v="card"/>
    <n v="32.82"/>
    <x v="0"/>
    <x v="0"/>
    <s v="Jul"/>
    <n v="2"/>
    <n v="7"/>
    <x v="148"/>
    <x v="4"/>
    <x v="4"/>
  </r>
  <r>
    <x v="7"/>
    <s v="card"/>
    <n v="23.02"/>
    <x v="2"/>
    <x v="0"/>
    <s v="Jul"/>
    <n v="2"/>
    <n v="7"/>
    <x v="148"/>
    <x v="4"/>
    <x v="4"/>
  </r>
  <r>
    <x v="7"/>
    <s v="card"/>
    <n v="18.12"/>
    <x v="6"/>
    <x v="0"/>
    <s v="Jul"/>
    <n v="2"/>
    <n v="7"/>
    <x v="148"/>
    <x v="4"/>
    <x v="4"/>
  </r>
  <r>
    <x v="7"/>
    <s v="card"/>
    <n v="27.92"/>
    <x v="3"/>
    <x v="0"/>
    <s v="Jul"/>
    <n v="2"/>
    <n v="7"/>
    <x v="148"/>
    <x v="4"/>
    <x v="4"/>
  </r>
  <r>
    <x v="7"/>
    <s v="card"/>
    <n v="27.92"/>
    <x v="3"/>
    <x v="0"/>
    <s v="Jul"/>
    <n v="2"/>
    <n v="7"/>
    <x v="148"/>
    <x v="4"/>
    <x v="4"/>
  </r>
  <r>
    <x v="7"/>
    <s v="card"/>
    <n v="27.92"/>
    <x v="3"/>
    <x v="0"/>
    <s v="Jul"/>
    <n v="2"/>
    <n v="7"/>
    <x v="148"/>
    <x v="4"/>
    <x v="4"/>
  </r>
  <r>
    <x v="7"/>
    <s v="card"/>
    <n v="27.92"/>
    <x v="3"/>
    <x v="0"/>
    <s v="Jul"/>
    <n v="2"/>
    <n v="7"/>
    <x v="148"/>
    <x v="4"/>
    <x v="4"/>
  </r>
  <r>
    <x v="1"/>
    <s v="card"/>
    <n v="32.82"/>
    <x v="0"/>
    <x v="1"/>
    <s v="Jul"/>
    <n v="2"/>
    <n v="7"/>
    <x v="148"/>
    <x v="4"/>
    <x v="4"/>
  </r>
  <r>
    <x v="3"/>
    <s v="card"/>
    <n v="27.92"/>
    <x v="3"/>
    <x v="1"/>
    <s v="Jul"/>
    <n v="2"/>
    <n v="7"/>
    <x v="148"/>
    <x v="4"/>
    <x v="4"/>
  </r>
  <r>
    <x v="4"/>
    <s v="card"/>
    <n v="23.02"/>
    <x v="5"/>
    <x v="1"/>
    <s v="Jul"/>
    <n v="2"/>
    <n v="7"/>
    <x v="148"/>
    <x v="4"/>
    <x v="4"/>
  </r>
  <r>
    <x v="4"/>
    <s v="card"/>
    <n v="27.92"/>
    <x v="3"/>
    <x v="1"/>
    <s v="Jul"/>
    <n v="2"/>
    <n v="7"/>
    <x v="148"/>
    <x v="4"/>
    <x v="4"/>
  </r>
  <r>
    <x v="11"/>
    <s v="card"/>
    <n v="18.12"/>
    <x v="6"/>
    <x v="2"/>
    <s v="Jul"/>
    <n v="2"/>
    <n v="7"/>
    <x v="148"/>
    <x v="4"/>
    <x v="4"/>
  </r>
  <r>
    <x v="11"/>
    <s v="card"/>
    <n v="27.92"/>
    <x v="3"/>
    <x v="2"/>
    <s v="Jul"/>
    <n v="2"/>
    <n v="7"/>
    <x v="148"/>
    <x v="4"/>
    <x v="4"/>
  </r>
  <r>
    <x v="11"/>
    <s v="card"/>
    <n v="27.92"/>
    <x v="3"/>
    <x v="2"/>
    <s v="Jul"/>
    <n v="2"/>
    <n v="7"/>
    <x v="148"/>
    <x v="4"/>
    <x v="4"/>
  </r>
  <r>
    <x v="11"/>
    <s v="card"/>
    <n v="27.92"/>
    <x v="3"/>
    <x v="2"/>
    <s v="Jul"/>
    <n v="2"/>
    <n v="7"/>
    <x v="148"/>
    <x v="4"/>
    <x v="4"/>
  </r>
  <r>
    <x v="15"/>
    <s v="card"/>
    <n v="32.82"/>
    <x v="0"/>
    <x v="2"/>
    <s v="Jul"/>
    <n v="2"/>
    <n v="7"/>
    <x v="148"/>
    <x v="4"/>
    <x v="4"/>
  </r>
  <r>
    <x v="13"/>
    <s v="card"/>
    <n v="23.02"/>
    <x v="2"/>
    <x v="2"/>
    <s v="Jul"/>
    <n v="2"/>
    <n v="7"/>
    <x v="148"/>
    <x v="4"/>
    <x v="4"/>
  </r>
  <r>
    <x v="13"/>
    <s v="card"/>
    <n v="32.82"/>
    <x v="7"/>
    <x v="2"/>
    <s v="Jul"/>
    <n v="2"/>
    <n v="7"/>
    <x v="148"/>
    <x v="4"/>
    <x v="4"/>
  </r>
  <r>
    <x v="14"/>
    <s v="card"/>
    <n v="27.92"/>
    <x v="3"/>
    <x v="0"/>
    <s v="Jul"/>
    <n v="3"/>
    <n v="7"/>
    <x v="149"/>
    <x v="4"/>
    <x v="5"/>
  </r>
  <r>
    <x v="12"/>
    <s v="card"/>
    <n v="27.92"/>
    <x v="3"/>
    <x v="0"/>
    <s v="Jul"/>
    <n v="3"/>
    <n v="7"/>
    <x v="149"/>
    <x v="4"/>
    <x v="5"/>
  </r>
  <r>
    <x v="12"/>
    <s v="card"/>
    <n v="27.92"/>
    <x v="3"/>
    <x v="0"/>
    <s v="Jul"/>
    <n v="3"/>
    <n v="7"/>
    <x v="149"/>
    <x v="4"/>
    <x v="5"/>
  </r>
  <r>
    <x v="10"/>
    <s v="card"/>
    <n v="23.02"/>
    <x v="2"/>
    <x v="0"/>
    <s v="Jul"/>
    <n v="3"/>
    <n v="7"/>
    <x v="149"/>
    <x v="4"/>
    <x v="5"/>
  </r>
  <r>
    <x v="10"/>
    <s v="card"/>
    <n v="23.02"/>
    <x v="2"/>
    <x v="0"/>
    <s v="Jul"/>
    <n v="3"/>
    <n v="7"/>
    <x v="149"/>
    <x v="4"/>
    <x v="5"/>
  </r>
  <r>
    <x v="10"/>
    <s v="card"/>
    <n v="27.92"/>
    <x v="3"/>
    <x v="0"/>
    <s v="Jul"/>
    <n v="3"/>
    <n v="7"/>
    <x v="149"/>
    <x v="4"/>
    <x v="5"/>
  </r>
  <r>
    <x v="2"/>
    <s v="card"/>
    <n v="32.82"/>
    <x v="4"/>
    <x v="1"/>
    <s v="Jul"/>
    <n v="3"/>
    <n v="7"/>
    <x v="149"/>
    <x v="4"/>
    <x v="5"/>
  </r>
  <r>
    <x v="2"/>
    <s v="card"/>
    <n v="32.82"/>
    <x v="0"/>
    <x v="1"/>
    <s v="Jul"/>
    <n v="3"/>
    <n v="7"/>
    <x v="149"/>
    <x v="4"/>
    <x v="5"/>
  </r>
  <r>
    <x v="2"/>
    <s v="card"/>
    <n v="27.92"/>
    <x v="3"/>
    <x v="1"/>
    <s v="Jul"/>
    <n v="3"/>
    <n v="7"/>
    <x v="149"/>
    <x v="4"/>
    <x v="5"/>
  </r>
  <r>
    <x v="9"/>
    <s v="card"/>
    <n v="23.02"/>
    <x v="5"/>
    <x v="2"/>
    <s v="Jul"/>
    <n v="3"/>
    <n v="7"/>
    <x v="149"/>
    <x v="4"/>
    <x v="5"/>
  </r>
  <r>
    <x v="5"/>
    <s v="card"/>
    <n v="32.82"/>
    <x v="0"/>
    <x v="2"/>
    <s v="Jul"/>
    <n v="3"/>
    <n v="7"/>
    <x v="149"/>
    <x v="4"/>
    <x v="5"/>
  </r>
  <r>
    <x v="6"/>
    <s v="card"/>
    <n v="23.02"/>
    <x v="5"/>
    <x v="2"/>
    <s v="Jul"/>
    <n v="3"/>
    <n v="7"/>
    <x v="149"/>
    <x v="4"/>
    <x v="5"/>
  </r>
  <r>
    <x v="6"/>
    <s v="card"/>
    <n v="32.82"/>
    <x v="0"/>
    <x v="2"/>
    <s v="Jul"/>
    <n v="3"/>
    <n v="7"/>
    <x v="149"/>
    <x v="4"/>
    <x v="5"/>
  </r>
  <r>
    <x v="11"/>
    <s v="card"/>
    <n v="32.82"/>
    <x v="4"/>
    <x v="2"/>
    <s v="Jul"/>
    <n v="3"/>
    <n v="7"/>
    <x v="149"/>
    <x v="4"/>
    <x v="5"/>
  </r>
  <r>
    <x v="11"/>
    <s v="card"/>
    <n v="23.02"/>
    <x v="5"/>
    <x v="2"/>
    <s v="Jul"/>
    <n v="3"/>
    <n v="7"/>
    <x v="149"/>
    <x v="4"/>
    <x v="5"/>
  </r>
  <r>
    <x v="11"/>
    <s v="card"/>
    <n v="32.82"/>
    <x v="0"/>
    <x v="2"/>
    <s v="Jul"/>
    <n v="3"/>
    <n v="7"/>
    <x v="149"/>
    <x v="4"/>
    <x v="5"/>
  </r>
  <r>
    <x v="11"/>
    <s v="card"/>
    <n v="32.82"/>
    <x v="7"/>
    <x v="2"/>
    <s v="Jul"/>
    <n v="3"/>
    <n v="7"/>
    <x v="149"/>
    <x v="4"/>
    <x v="5"/>
  </r>
  <r>
    <x v="11"/>
    <s v="card"/>
    <n v="23.02"/>
    <x v="5"/>
    <x v="2"/>
    <s v="Jul"/>
    <n v="3"/>
    <n v="7"/>
    <x v="149"/>
    <x v="4"/>
    <x v="5"/>
  </r>
  <r>
    <x v="11"/>
    <s v="card"/>
    <n v="27.92"/>
    <x v="3"/>
    <x v="2"/>
    <s v="Jul"/>
    <n v="3"/>
    <n v="7"/>
    <x v="149"/>
    <x v="4"/>
    <x v="5"/>
  </r>
  <r>
    <x v="15"/>
    <s v="card"/>
    <n v="32.82"/>
    <x v="0"/>
    <x v="2"/>
    <s v="Jul"/>
    <n v="3"/>
    <n v="7"/>
    <x v="149"/>
    <x v="4"/>
    <x v="5"/>
  </r>
  <r>
    <x v="15"/>
    <s v="card"/>
    <n v="32.82"/>
    <x v="0"/>
    <x v="2"/>
    <s v="Jul"/>
    <n v="3"/>
    <n v="7"/>
    <x v="149"/>
    <x v="4"/>
    <x v="5"/>
  </r>
  <r>
    <x v="15"/>
    <s v="card"/>
    <n v="32.82"/>
    <x v="0"/>
    <x v="2"/>
    <s v="Jul"/>
    <n v="3"/>
    <n v="7"/>
    <x v="149"/>
    <x v="4"/>
    <x v="5"/>
  </r>
  <r>
    <x v="14"/>
    <s v="card"/>
    <n v="27.92"/>
    <x v="3"/>
    <x v="0"/>
    <s v="Aug"/>
    <n v="4"/>
    <n v="8"/>
    <x v="150"/>
    <x v="5"/>
    <x v="6"/>
  </r>
  <r>
    <x v="10"/>
    <s v="card"/>
    <n v="27.92"/>
    <x v="3"/>
    <x v="0"/>
    <s v="Aug"/>
    <n v="4"/>
    <n v="8"/>
    <x v="150"/>
    <x v="5"/>
    <x v="6"/>
  </r>
  <r>
    <x v="7"/>
    <s v="card"/>
    <n v="27.92"/>
    <x v="3"/>
    <x v="0"/>
    <s v="Aug"/>
    <n v="4"/>
    <n v="8"/>
    <x v="150"/>
    <x v="5"/>
    <x v="6"/>
  </r>
  <r>
    <x v="7"/>
    <s v="card"/>
    <n v="27.92"/>
    <x v="3"/>
    <x v="0"/>
    <s v="Aug"/>
    <n v="4"/>
    <n v="8"/>
    <x v="150"/>
    <x v="5"/>
    <x v="6"/>
  </r>
  <r>
    <x v="2"/>
    <s v="card"/>
    <n v="23.02"/>
    <x v="5"/>
    <x v="1"/>
    <s v="Aug"/>
    <n v="4"/>
    <n v="8"/>
    <x v="150"/>
    <x v="5"/>
    <x v="6"/>
  </r>
  <r>
    <x v="2"/>
    <s v="card"/>
    <n v="32.82"/>
    <x v="7"/>
    <x v="1"/>
    <s v="Aug"/>
    <n v="4"/>
    <n v="8"/>
    <x v="150"/>
    <x v="5"/>
    <x v="6"/>
  </r>
  <r>
    <x v="2"/>
    <s v="card"/>
    <n v="32.82"/>
    <x v="7"/>
    <x v="1"/>
    <s v="Aug"/>
    <n v="4"/>
    <n v="8"/>
    <x v="150"/>
    <x v="5"/>
    <x v="6"/>
  </r>
  <r>
    <x v="3"/>
    <s v="card"/>
    <n v="27.92"/>
    <x v="3"/>
    <x v="1"/>
    <s v="Aug"/>
    <n v="4"/>
    <n v="8"/>
    <x v="150"/>
    <x v="5"/>
    <x v="6"/>
  </r>
  <r>
    <x v="4"/>
    <s v="card"/>
    <n v="27.92"/>
    <x v="3"/>
    <x v="1"/>
    <s v="Aug"/>
    <n v="4"/>
    <n v="8"/>
    <x v="150"/>
    <x v="5"/>
    <x v="6"/>
  </r>
  <r>
    <x v="4"/>
    <s v="card"/>
    <n v="23.02"/>
    <x v="2"/>
    <x v="1"/>
    <s v="Aug"/>
    <n v="4"/>
    <n v="8"/>
    <x v="150"/>
    <x v="5"/>
    <x v="6"/>
  </r>
  <r>
    <x v="9"/>
    <s v="card"/>
    <n v="23.02"/>
    <x v="2"/>
    <x v="2"/>
    <s v="Aug"/>
    <n v="4"/>
    <n v="8"/>
    <x v="150"/>
    <x v="5"/>
    <x v="6"/>
  </r>
  <r>
    <x v="11"/>
    <s v="card"/>
    <n v="32.82"/>
    <x v="7"/>
    <x v="2"/>
    <s v="Aug"/>
    <n v="4"/>
    <n v="8"/>
    <x v="150"/>
    <x v="5"/>
    <x v="6"/>
  </r>
  <r>
    <x v="10"/>
    <s v="card"/>
    <n v="27.92"/>
    <x v="3"/>
    <x v="0"/>
    <s v="Aug"/>
    <n v="5"/>
    <n v="8"/>
    <x v="151"/>
    <x v="5"/>
    <x v="0"/>
  </r>
  <r>
    <x v="10"/>
    <s v="card"/>
    <n v="27.92"/>
    <x v="3"/>
    <x v="0"/>
    <s v="Aug"/>
    <n v="5"/>
    <n v="8"/>
    <x v="151"/>
    <x v="5"/>
    <x v="0"/>
  </r>
  <r>
    <x v="7"/>
    <s v="card"/>
    <n v="23.02"/>
    <x v="5"/>
    <x v="0"/>
    <s v="Aug"/>
    <n v="5"/>
    <n v="8"/>
    <x v="151"/>
    <x v="5"/>
    <x v="0"/>
  </r>
  <r>
    <x v="5"/>
    <s v="card"/>
    <n v="27.92"/>
    <x v="3"/>
    <x v="2"/>
    <s v="Aug"/>
    <n v="5"/>
    <n v="8"/>
    <x v="151"/>
    <x v="5"/>
    <x v="0"/>
  </r>
  <r>
    <x v="15"/>
    <s v="card"/>
    <n v="32.82"/>
    <x v="0"/>
    <x v="2"/>
    <s v="Aug"/>
    <n v="5"/>
    <n v="8"/>
    <x v="151"/>
    <x v="5"/>
    <x v="0"/>
  </r>
  <r>
    <x v="12"/>
    <s v="card"/>
    <n v="27.92"/>
    <x v="3"/>
    <x v="0"/>
    <s v="Aug"/>
    <n v="6"/>
    <n v="8"/>
    <x v="152"/>
    <x v="5"/>
    <x v="1"/>
  </r>
  <r>
    <x v="10"/>
    <s v="card"/>
    <n v="27.92"/>
    <x v="3"/>
    <x v="0"/>
    <s v="Aug"/>
    <n v="6"/>
    <n v="8"/>
    <x v="152"/>
    <x v="5"/>
    <x v="1"/>
  </r>
  <r>
    <x v="10"/>
    <s v="card"/>
    <n v="27.92"/>
    <x v="3"/>
    <x v="0"/>
    <s v="Aug"/>
    <n v="6"/>
    <n v="8"/>
    <x v="152"/>
    <x v="5"/>
    <x v="1"/>
  </r>
  <r>
    <x v="0"/>
    <s v="card"/>
    <n v="27.92"/>
    <x v="3"/>
    <x v="0"/>
    <s v="Aug"/>
    <n v="6"/>
    <n v="8"/>
    <x v="152"/>
    <x v="5"/>
    <x v="1"/>
  </r>
  <r>
    <x v="7"/>
    <s v="card"/>
    <n v="23.02"/>
    <x v="5"/>
    <x v="0"/>
    <s v="Aug"/>
    <n v="6"/>
    <n v="8"/>
    <x v="152"/>
    <x v="5"/>
    <x v="1"/>
  </r>
  <r>
    <x v="7"/>
    <s v="card"/>
    <n v="23.02"/>
    <x v="5"/>
    <x v="0"/>
    <s v="Aug"/>
    <n v="6"/>
    <n v="8"/>
    <x v="152"/>
    <x v="5"/>
    <x v="1"/>
  </r>
  <r>
    <x v="7"/>
    <s v="card"/>
    <n v="18.12"/>
    <x v="6"/>
    <x v="0"/>
    <s v="Aug"/>
    <n v="6"/>
    <n v="8"/>
    <x v="152"/>
    <x v="5"/>
    <x v="1"/>
  </r>
  <r>
    <x v="7"/>
    <s v="card"/>
    <n v="27.92"/>
    <x v="3"/>
    <x v="0"/>
    <s v="Aug"/>
    <n v="6"/>
    <n v="8"/>
    <x v="152"/>
    <x v="5"/>
    <x v="1"/>
  </r>
  <r>
    <x v="1"/>
    <s v="card"/>
    <n v="27.92"/>
    <x v="3"/>
    <x v="1"/>
    <s v="Aug"/>
    <n v="6"/>
    <n v="8"/>
    <x v="152"/>
    <x v="5"/>
    <x v="1"/>
  </r>
  <r>
    <x v="4"/>
    <s v="card"/>
    <n v="27.92"/>
    <x v="3"/>
    <x v="1"/>
    <s v="Aug"/>
    <n v="6"/>
    <n v="8"/>
    <x v="152"/>
    <x v="5"/>
    <x v="1"/>
  </r>
  <r>
    <x v="5"/>
    <s v="card"/>
    <n v="32.82"/>
    <x v="7"/>
    <x v="2"/>
    <s v="Aug"/>
    <n v="6"/>
    <n v="8"/>
    <x v="152"/>
    <x v="5"/>
    <x v="1"/>
  </r>
  <r>
    <x v="15"/>
    <s v="card"/>
    <n v="32.82"/>
    <x v="0"/>
    <x v="2"/>
    <s v="Aug"/>
    <n v="6"/>
    <n v="8"/>
    <x v="152"/>
    <x v="5"/>
    <x v="1"/>
  </r>
  <r>
    <x v="15"/>
    <s v="card"/>
    <n v="32.82"/>
    <x v="0"/>
    <x v="2"/>
    <s v="Aug"/>
    <n v="6"/>
    <n v="8"/>
    <x v="152"/>
    <x v="5"/>
    <x v="1"/>
  </r>
  <r>
    <x v="12"/>
    <s v="card"/>
    <n v="32.82"/>
    <x v="7"/>
    <x v="0"/>
    <s v="Aug"/>
    <n v="7"/>
    <n v="8"/>
    <x v="153"/>
    <x v="5"/>
    <x v="2"/>
  </r>
  <r>
    <x v="0"/>
    <s v="card"/>
    <n v="27.92"/>
    <x v="3"/>
    <x v="0"/>
    <s v="Aug"/>
    <n v="7"/>
    <n v="8"/>
    <x v="153"/>
    <x v="5"/>
    <x v="2"/>
  </r>
  <r>
    <x v="7"/>
    <s v="card"/>
    <n v="32.82"/>
    <x v="7"/>
    <x v="0"/>
    <s v="Aug"/>
    <n v="7"/>
    <n v="8"/>
    <x v="153"/>
    <x v="5"/>
    <x v="2"/>
  </r>
  <r>
    <x v="7"/>
    <s v="card"/>
    <n v="27.92"/>
    <x v="3"/>
    <x v="0"/>
    <s v="Aug"/>
    <n v="7"/>
    <n v="8"/>
    <x v="153"/>
    <x v="5"/>
    <x v="2"/>
  </r>
  <r>
    <x v="3"/>
    <s v="card"/>
    <n v="32.82"/>
    <x v="7"/>
    <x v="1"/>
    <s v="Aug"/>
    <n v="7"/>
    <n v="8"/>
    <x v="153"/>
    <x v="5"/>
    <x v="2"/>
  </r>
  <r>
    <x v="3"/>
    <s v="card"/>
    <n v="32.82"/>
    <x v="7"/>
    <x v="1"/>
    <s v="Aug"/>
    <n v="7"/>
    <n v="8"/>
    <x v="153"/>
    <x v="5"/>
    <x v="2"/>
  </r>
  <r>
    <x v="12"/>
    <s v="card"/>
    <n v="23.02"/>
    <x v="5"/>
    <x v="0"/>
    <s v="Aug"/>
    <n v="1"/>
    <n v="8"/>
    <x v="154"/>
    <x v="5"/>
    <x v="3"/>
  </r>
  <r>
    <x v="10"/>
    <s v="card"/>
    <n v="27.92"/>
    <x v="3"/>
    <x v="0"/>
    <s v="Aug"/>
    <n v="1"/>
    <n v="8"/>
    <x v="154"/>
    <x v="5"/>
    <x v="3"/>
  </r>
  <r>
    <x v="7"/>
    <s v="card"/>
    <n v="23.02"/>
    <x v="5"/>
    <x v="0"/>
    <s v="Aug"/>
    <n v="1"/>
    <n v="8"/>
    <x v="154"/>
    <x v="5"/>
    <x v="3"/>
  </r>
  <r>
    <x v="2"/>
    <s v="card"/>
    <n v="32.82"/>
    <x v="7"/>
    <x v="1"/>
    <s v="Aug"/>
    <n v="1"/>
    <n v="8"/>
    <x v="154"/>
    <x v="5"/>
    <x v="3"/>
  </r>
  <r>
    <x v="4"/>
    <s v="card"/>
    <n v="32.82"/>
    <x v="0"/>
    <x v="1"/>
    <s v="Aug"/>
    <n v="1"/>
    <n v="8"/>
    <x v="154"/>
    <x v="5"/>
    <x v="3"/>
  </r>
  <r>
    <x v="4"/>
    <s v="card"/>
    <n v="32.82"/>
    <x v="0"/>
    <x v="1"/>
    <s v="Aug"/>
    <n v="1"/>
    <n v="8"/>
    <x v="154"/>
    <x v="5"/>
    <x v="3"/>
  </r>
  <r>
    <x v="9"/>
    <s v="card"/>
    <n v="32.82"/>
    <x v="0"/>
    <x v="2"/>
    <s v="Aug"/>
    <n v="1"/>
    <n v="8"/>
    <x v="154"/>
    <x v="5"/>
    <x v="3"/>
  </r>
  <r>
    <x v="9"/>
    <s v="card"/>
    <n v="27.92"/>
    <x v="3"/>
    <x v="2"/>
    <s v="Aug"/>
    <n v="1"/>
    <n v="8"/>
    <x v="154"/>
    <x v="5"/>
    <x v="3"/>
  </r>
  <r>
    <x v="6"/>
    <s v="card"/>
    <n v="32.82"/>
    <x v="0"/>
    <x v="2"/>
    <s v="Aug"/>
    <n v="1"/>
    <n v="8"/>
    <x v="154"/>
    <x v="5"/>
    <x v="3"/>
  </r>
  <r>
    <x v="6"/>
    <s v="card"/>
    <n v="32.82"/>
    <x v="0"/>
    <x v="2"/>
    <s v="Aug"/>
    <n v="1"/>
    <n v="8"/>
    <x v="154"/>
    <x v="5"/>
    <x v="3"/>
  </r>
  <r>
    <x v="11"/>
    <s v="card"/>
    <n v="32.82"/>
    <x v="4"/>
    <x v="2"/>
    <s v="Aug"/>
    <n v="1"/>
    <n v="8"/>
    <x v="154"/>
    <x v="5"/>
    <x v="3"/>
  </r>
  <r>
    <x v="11"/>
    <s v="card"/>
    <n v="32.82"/>
    <x v="4"/>
    <x v="2"/>
    <s v="Aug"/>
    <n v="1"/>
    <n v="8"/>
    <x v="154"/>
    <x v="5"/>
    <x v="3"/>
  </r>
  <r>
    <x v="13"/>
    <s v="card"/>
    <n v="27.92"/>
    <x v="3"/>
    <x v="2"/>
    <s v="Aug"/>
    <n v="1"/>
    <n v="8"/>
    <x v="154"/>
    <x v="5"/>
    <x v="3"/>
  </r>
  <r>
    <x v="0"/>
    <s v="card"/>
    <n v="23.02"/>
    <x v="5"/>
    <x v="0"/>
    <s v="Aug"/>
    <n v="2"/>
    <n v="8"/>
    <x v="155"/>
    <x v="5"/>
    <x v="4"/>
  </r>
  <r>
    <x v="0"/>
    <s v="card"/>
    <n v="32.82"/>
    <x v="1"/>
    <x v="0"/>
    <s v="Aug"/>
    <n v="2"/>
    <n v="8"/>
    <x v="155"/>
    <x v="5"/>
    <x v="4"/>
  </r>
  <r>
    <x v="9"/>
    <s v="card"/>
    <n v="32.82"/>
    <x v="7"/>
    <x v="2"/>
    <s v="Aug"/>
    <n v="2"/>
    <n v="8"/>
    <x v="155"/>
    <x v="5"/>
    <x v="4"/>
  </r>
  <r>
    <x v="9"/>
    <s v="card"/>
    <n v="32.82"/>
    <x v="0"/>
    <x v="2"/>
    <s v="Aug"/>
    <n v="2"/>
    <n v="8"/>
    <x v="155"/>
    <x v="5"/>
    <x v="4"/>
  </r>
  <r>
    <x v="9"/>
    <s v="card"/>
    <n v="32.82"/>
    <x v="4"/>
    <x v="2"/>
    <s v="Aug"/>
    <n v="2"/>
    <n v="8"/>
    <x v="155"/>
    <x v="5"/>
    <x v="4"/>
  </r>
  <r>
    <x v="6"/>
    <s v="card"/>
    <n v="32.82"/>
    <x v="0"/>
    <x v="2"/>
    <s v="Aug"/>
    <n v="2"/>
    <n v="8"/>
    <x v="155"/>
    <x v="5"/>
    <x v="4"/>
  </r>
  <r>
    <x v="6"/>
    <s v="card"/>
    <n v="27.92"/>
    <x v="3"/>
    <x v="2"/>
    <s v="Aug"/>
    <n v="2"/>
    <n v="8"/>
    <x v="155"/>
    <x v="5"/>
    <x v="4"/>
  </r>
  <r>
    <x v="11"/>
    <s v="card"/>
    <n v="32.82"/>
    <x v="0"/>
    <x v="2"/>
    <s v="Aug"/>
    <n v="2"/>
    <n v="8"/>
    <x v="155"/>
    <x v="5"/>
    <x v="4"/>
  </r>
  <r>
    <x v="12"/>
    <s v="card"/>
    <n v="27.92"/>
    <x v="3"/>
    <x v="0"/>
    <s v="Aug"/>
    <n v="3"/>
    <n v="8"/>
    <x v="156"/>
    <x v="5"/>
    <x v="5"/>
  </r>
  <r>
    <x v="1"/>
    <s v="card"/>
    <n v="23.02"/>
    <x v="2"/>
    <x v="1"/>
    <s v="Aug"/>
    <n v="3"/>
    <n v="8"/>
    <x v="156"/>
    <x v="5"/>
    <x v="5"/>
  </r>
  <r>
    <x v="1"/>
    <s v="card"/>
    <n v="23.02"/>
    <x v="2"/>
    <x v="1"/>
    <s v="Aug"/>
    <n v="3"/>
    <n v="8"/>
    <x v="156"/>
    <x v="5"/>
    <x v="5"/>
  </r>
  <r>
    <x v="2"/>
    <s v="card"/>
    <n v="18.12"/>
    <x v="6"/>
    <x v="1"/>
    <s v="Aug"/>
    <n v="3"/>
    <n v="8"/>
    <x v="156"/>
    <x v="5"/>
    <x v="5"/>
  </r>
  <r>
    <x v="4"/>
    <s v="card"/>
    <n v="23.02"/>
    <x v="2"/>
    <x v="1"/>
    <s v="Aug"/>
    <n v="3"/>
    <n v="8"/>
    <x v="156"/>
    <x v="5"/>
    <x v="5"/>
  </r>
  <r>
    <x v="6"/>
    <s v="card"/>
    <n v="32.82"/>
    <x v="0"/>
    <x v="2"/>
    <s v="Aug"/>
    <n v="3"/>
    <n v="8"/>
    <x v="156"/>
    <x v="5"/>
    <x v="5"/>
  </r>
  <r>
    <x v="11"/>
    <s v="card"/>
    <n v="32.82"/>
    <x v="4"/>
    <x v="2"/>
    <s v="Aug"/>
    <n v="3"/>
    <n v="8"/>
    <x v="156"/>
    <x v="5"/>
    <x v="5"/>
  </r>
  <r>
    <x v="15"/>
    <s v="card"/>
    <n v="32.82"/>
    <x v="7"/>
    <x v="2"/>
    <s v="Aug"/>
    <n v="3"/>
    <n v="8"/>
    <x v="156"/>
    <x v="5"/>
    <x v="5"/>
  </r>
  <r>
    <x v="13"/>
    <s v="card"/>
    <n v="32.82"/>
    <x v="0"/>
    <x v="2"/>
    <s v="Aug"/>
    <n v="3"/>
    <n v="8"/>
    <x v="156"/>
    <x v="5"/>
    <x v="5"/>
  </r>
  <r>
    <x v="13"/>
    <s v="card"/>
    <n v="32.82"/>
    <x v="0"/>
    <x v="2"/>
    <s v="Aug"/>
    <n v="3"/>
    <n v="8"/>
    <x v="156"/>
    <x v="5"/>
    <x v="5"/>
  </r>
  <r>
    <x v="12"/>
    <s v="card"/>
    <n v="18.12"/>
    <x v="6"/>
    <x v="0"/>
    <s v="Aug"/>
    <n v="4"/>
    <n v="8"/>
    <x v="157"/>
    <x v="5"/>
    <x v="6"/>
  </r>
  <r>
    <x v="12"/>
    <s v="card"/>
    <n v="23.02"/>
    <x v="5"/>
    <x v="0"/>
    <s v="Aug"/>
    <n v="4"/>
    <n v="8"/>
    <x v="157"/>
    <x v="5"/>
    <x v="6"/>
  </r>
  <r>
    <x v="1"/>
    <s v="card"/>
    <n v="27.92"/>
    <x v="3"/>
    <x v="1"/>
    <s v="Aug"/>
    <n v="4"/>
    <n v="8"/>
    <x v="157"/>
    <x v="5"/>
    <x v="6"/>
  </r>
  <r>
    <x v="1"/>
    <s v="card"/>
    <n v="23.02"/>
    <x v="5"/>
    <x v="1"/>
    <s v="Aug"/>
    <n v="4"/>
    <n v="8"/>
    <x v="157"/>
    <x v="5"/>
    <x v="6"/>
  </r>
  <r>
    <x v="1"/>
    <s v="card"/>
    <n v="23.02"/>
    <x v="5"/>
    <x v="1"/>
    <s v="Aug"/>
    <n v="4"/>
    <n v="8"/>
    <x v="157"/>
    <x v="5"/>
    <x v="6"/>
  </r>
  <r>
    <x v="4"/>
    <s v="card"/>
    <n v="32.82"/>
    <x v="7"/>
    <x v="1"/>
    <s v="Aug"/>
    <n v="4"/>
    <n v="8"/>
    <x v="157"/>
    <x v="5"/>
    <x v="6"/>
  </r>
  <r>
    <x v="9"/>
    <s v="card"/>
    <n v="32.82"/>
    <x v="7"/>
    <x v="2"/>
    <s v="Aug"/>
    <n v="4"/>
    <n v="8"/>
    <x v="157"/>
    <x v="5"/>
    <x v="6"/>
  </r>
  <r>
    <x v="15"/>
    <s v="card"/>
    <n v="27.92"/>
    <x v="3"/>
    <x v="2"/>
    <s v="Aug"/>
    <n v="4"/>
    <n v="8"/>
    <x v="157"/>
    <x v="5"/>
    <x v="6"/>
  </r>
  <r>
    <x v="14"/>
    <s v="card"/>
    <n v="32.82"/>
    <x v="0"/>
    <x v="0"/>
    <s v="Aug"/>
    <n v="5"/>
    <n v="8"/>
    <x v="158"/>
    <x v="5"/>
    <x v="0"/>
  </r>
  <r>
    <x v="10"/>
    <s v="card"/>
    <n v="23.02"/>
    <x v="2"/>
    <x v="0"/>
    <s v="Aug"/>
    <n v="5"/>
    <n v="8"/>
    <x v="158"/>
    <x v="5"/>
    <x v="0"/>
  </r>
  <r>
    <x v="0"/>
    <s v="card"/>
    <n v="23.02"/>
    <x v="5"/>
    <x v="0"/>
    <s v="Aug"/>
    <n v="5"/>
    <n v="8"/>
    <x v="158"/>
    <x v="5"/>
    <x v="0"/>
  </r>
  <r>
    <x v="0"/>
    <s v="card"/>
    <n v="27.92"/>
    <x v="3"/>
    <x v="0"/>
    <s v="Aug"/>
    <n v="5"/>
    <n v="8"/>
    <x v="158"/>
    <x v="5"/>
    <x v="0"/>
  </r>
  <r>
    <x v="7"/>
    <s v="card"/>
    <n v="32.82"/>
    <x v="0"/>
    <x v="0"/>
    <s v="Aug"/>
    <n v="5"/>
    <n v="8"/>
    <x v="158"/>
    <x v="5"/>
    <x v="0"/>
  </r>
  <r>
    <x v="7"/>
    <s v="card"/>
    <n v="23.02"/>
    <x v="2"/>
    <x v="0"/>
    <s v="Aug"/>
    <n v="5"/>
    <n v="8"/>
    <x v="158"/>
    <x v="5"/>
    <x v="0"/>
  </r>
  <r>
    <x v="5"/>
    <s v="card"/>
    <n v="23.02"/>
    <x v="2"/>
    <x v="2"/>
    <s v="Aug"/>
    <n v="5"/>
    <n v="8"/>
    <x v="158"/>
    <x v="5"/>
    <x v="0"/>
  </r>
  <r>
    <x v="6"/>
    <s v="card"/>
    <n v="32.82"/>
    <x v="1"/>
    <x v="2"/>
    <s v="Aug"/>
    <n v="5"/>
    <n v="8"/>
    <x v="158"/>
    <x v="5"/>
    <x v="0"/>
  </r>
  <r>
    <x v="12"/>
    <s v="card"/>
    <n v="32.82"/>
    <x v="7"/>
    <x v="0"/>
    <s v="Aug"/>
    <n v="6"/>
    <n v="8"/>
    <x v="159"/>
    <x v="5"/>
    <x v="1"/>
  </r>
  <r>
    <x v="12"/>
    <s v="card"/>
    <n v="27.92"/>
    <x v="3"/>
    <x v="0"/>
    <s v="Aug"/>
    <n v="6"/>
    <n v="8"/>
    <x v="159"/>
    <x v="5"/>
    <x v="1"/>
  </r>
  <r>
    <x v="12"/>
    <s v="card"/>
    <n v="23.02"/>
    <x v="5"/>
    <x v="0"/>
    <s v="Aug"/>
    <n v="6"/>
    <n v="8"/>
    <x v="159"/>
    <x v="5"/>
    <x v="1"/>
  </r>
  <r>
    <x v="7"/>
    <s v="card"/>
    <n v="23.02"/>
    <x v="5"/>
    <x v="0"/>
    <s v="Aug"/>
    <n v="6"/>
    <n v="8"/>
    <x v="159"/>
    <x v="5"/>
    <x v="1"/>
  </r>
  <r>
    <x v="7"/>
    <s v="card"/>
    <n v="23.02"/>
    <x v="2"/>
    <x v="0"/>
    <s v="Aug"/>
    <n v="6"/>
    <n v="8"/>
    <x v="159"/>
    <x v="5"/>
    <x v="1"/>
  </r>
  <r>
    <x v="1"/>
    <s v="card"/>
    <n v="32.82"/>
    <x v="0"/>
    <x v="1"/>
    <s v="Aug"/>
    <n v="6"/>
    <n v="8"/>
    <x v="159"/>
    <x v="5"/>
    <x v="1"/>
  </r>
  <r>
    <x v="1"/>
    <s v="card"/>
    <n v="27.92"/>
    <x v="3"/>
    <x v="1"/>
    <s v="Aug"/>
    <n v="6"/>
    <n v="8"/>
    <x v="159"/>
    <x v="5"/>
    <x v="1"/>
  </r>
  <r>
    <x v="4"/>
    <s v="card"/>
    <n v="32.82"/>
    <x v="0"/>
    <x v="1"/>
    <s v="Aug"/>
    <n v="6"/>
    <n v="8"/>
    <x v="159"/>
    <x v="5"/>
    <x v="1"/>
  </r>
  <r>
    <x v="15"/>
    <s v="card"/>
    <n v="32.82"/>
    <x v="4"/>
    <x v="2"/>
    <s v="Aug"/>
    <n v="6"/>
    <n v="8"/>
    <x v="159"/>
    <x v="5"/>
    <x v="1"/>
  </r>
  <r>
    <x v="15"/>
    <s v="card"/>
    <n v="32.82"/>
    <x v="4"/>
    <x v="2"/>
    <s v="Aug"/>
    <n v="6"/>
    <n v="8"/>
    <x v="159"/>
    <x v="5"/>
    <x v="1"/>
  </r>
  <r>
    <x v="15"/>
    <s v="card"/>
    <n v="32.82"/>
    <x v="4"/>
    <x v="2"/>
    <s v="Aug"/>
    <n v="6"/>
    <n v="8"/>
    <x v="159"/>
    <x v="5"/>
    <x v="1"/>
  </r>
  <r>
    <x v="10"/>
    <s v="card"/>
    <n v="32.82"/>
    <x v="0"/>
    <x v="0"/>
    <s v="Aug"/>
    <n v="7"/>
    <n v="8"/>
    <x v="160"/>
    <x v="5"/>
    <x v="2"/>
  </r>
  <r>
    <x v="10"/>
    <s v="card"/>
    <n v="32.82"/>
    <x v="0"/>
    <x v="0"/>
    <s v="Aug"/>
    <n v="7"/>
    <n v="8"/>
    <x v="160"/>
    <x v="5"/>
    <x v="2"/>
  </r>
  <r>
    <x v="0"/>
    <s v="card"/>
    <n v="27.92"/>
    <x v="3"/>
    <x v="0"/>
    <s v="Aug"/>
    <n v="7"/>
    <n v="8"/>
    <x v="160"/>
    <x v="5"/>
    <x v="2"/>
  </r>
  <r>
    <x v="7"/>
    <s v="card"/>
    <n v="32.82"/>
    <x v="7"/>
    <x v="0"/>
    <s v="Aug"/>
    <n v="7"/>
    <n v="8"/>
    <x v="160"/>
    <x v="5"/>
    <x v="2"/>
  </r>
  <r>
    <x v="7"/>
    <s v="card"/>
    <n v="27.92"/>
    <x v="3"/>
    <x v="0"/>
    <s v="Aug"/>
    <n v="7"/>
    <n v="8"/>
    <x v="160"/>
    <x v="5"/>
    <x v="2"/>
  </r>
  <r>
    <x v="1"/>
    <s v="card"/>
    <n v="23.02"/>
    <x v="5"/>
    <x v="1"/>
    <s v="Aug"/>
    <n v="7"/>
    <n v="8"/>
    <x v="160"/>
    <x v="5"/>
    <x v="2"/>
  </r>
  <r>
    <x v="3"/>
    <s v="card"/>
    <n v="32.82"/>
    <x v="0"/>
    <x v="1"/>
    <s v="Aug"/>
    <n v="7"/>
    <n v="8"/>
    <x v="160"/>
    <x v="5"/>
    <x v="2"/>
  </r>
  <r>
    <x v="3"/>
    <s v="card"/>
    <n v="27.92"/>
    <x v="3"/>
    <x v="1"/>
    <s v="Aug"/>
    <n v="7"/>
    <n v="8"/>
    <x v="160"/>
    <x v="5"/>
    <x v="2"/>
  </r>
  <r>
    <x v="3"/>
    <s v="card"/>
    <n v="32.82"/>
    <x v="4"/>
    <x v="1"/>
    <s v="Aug"/>
    <n v="7"/>
    <n v="8"/>
    <x v="160"/>
    <x v="5"/>
    <x v="2"/>
  </r>
  <r>
    <x v="4"/>
    <s v="card"/>
    <n v="32.82"/>
    <x v="7"/>
    <x v="1"/>
    <s v="Aug"/>
    <n v="7"/>
    <n v="8"/>
    <x v="160"/>
    <x v="5"/>
    <x v="2"/>
  </r>
  <r>
    <x v="4"/>
    <s v="card"/>
    <n v="18.12"/>
    <x v="6"/>
    <x v="1"/>
    <s v="Aug"/>
    <n v="7"/>
    <n v="8"/>
    <x v="160"/>
    <x v="5"/>
    <x v="2"/>
  </r>
  <r>
    <x v="15"/>
    <s v="card"/>
    <n v="23.02"/>
    <x v="5"/>
    <x v="2"/>
    <s v="Aug"/>
    <n v="7"/>
    <n v="8"/>
    <x v="160"/>
    <x v="5"/>
    <x v="2"/>
  </r>
  <r>
    <x v="15"/>
    <s v="card"/>
    <n v="32.82"/>
    <x v="0"/>
    <x v="2"/>
    <s v="Aug"/>
    <n v="7"/>
    <n v="8"/>
    <x v="160"/>
    <x v="5"/>
    <x v="2"/>
  </r>
  <r>
    <x v="15"/>
    <s v="card"/>
    <n v="32.82"/>
    <x v="0"/>
    <x v="2"/>
    <s v="Aug"/>
    <n v="7"/>
    <n v="8"/>
    <x v="160"/>
    <x v="5"/>
    <x v="2"/>
  </r>
  <r>
    <x v="13"/>
    <s v="card"/>
    <n v="32.82"/>
    <x v="7"/>
    <x v="2"/>
    <s v="Aug"/>
    <n v="7"/>
    <n v="8"/>
    <x v="160"/>
    <x v="5"/>
    <x v="2"/>
  </r>
  <r>
    <x v="12"/>
    <s v="card"/>
    <n v="32.82"/>
    <x v="1"/>
    <x v="0"/>
    <s v="Aug"/>
    <n v="1"/>
    <n v="8"/>
    <x v="161"/>
    <x v="5"/>
    <x v="3"/>
  </r>
  <r>
    <x v="7"/>
    <s v="card"/>
    <n v="27.92"/>
    <x v="3"/>
    <x v="0"/>
    <s v="Aug"/>
    <n v="1"/>
    <n v="8"/>
    <x v="161"/>
    <x v="5"/>
    <x v="3"/>
  </r>
  <r>
    <x v="7"/>
    <s v="card"/>
    <n v="23.02"/>
    <x v="2"/>
    <x v="0"/>
    <s v="Aug"/>
    <n v="1"/>
    <n v="8"/>
    <x v="161"/>
    <x v="5"/>
    <x v="3"/>
  </r>
  <r>
    <x v="7"/>
    <s v="card"/>
    <n v="32.82"/>
    <x v="0"/>
    <x v="0"/>
    <s v="Aug"/>
    <n v="1"/>
    <n v="8"/>
    <x v="161"/>
    <x v="5"/>
    <x v="3"/>
  </r>
  <r>
    <x v="7"/>
    <s v="card"/>
    <n v="32.82"/>
    <x v="0"/>
    <x v="0"/>
    <s v="Aug"/>
    <n v="1"/>
    <n v="8"/>
    <x v="161"/>
    <x v="5"/>
    <x v="3"/>
  </r>
  <r>
    <x v="8"/>
    <s v="card"/>
    <n v="18.12"/>
    <x v="6"/>
    <x v="1"/>
    <s v="Aug"/>
    <n v="1"/>
    <n v="8"/>
    <x v="161"/>
    <x v="5"/>
    <x v="3"/>
  </r>
  <r>
    <x v="8"/>
    <s v="card"/>
    <n v="27.92"/>
    <x v="3"/>
    <x v="1"/>
    <s v="Aug"/>
    <n v="1"/>
    <n v="8"/>
    <x v="161"/>
    <x v="5"/>
    <x v="3"/>
  </r>
  <r>
    <x v="3"/>
    <s v="card"/>
    <n v="27.92"/>
    <x v="3"/>
    <x v="1"/>
    <s v="Aug"/>
    <n v="1"/>
    <n v="8"/>
    <x v="161"/>
    <x v="5"/>
    <x v="3"/>
  </r>
  <r>
    <x v="5"/>
    <s v="card"/>
    <n v="27.92"/>
    <x v="3"/>
    <x v="2"/>
    <s v="Aug"/>
    <n v="1"/>
    <n v="8"/>
    <x v="161"/>
    <x v="5"/>
    <x v="3"/>
  </r>
  <r>
    <x v="15"/>
    <s v="card"/>
    <n v="27.92"/>
    <x v="3"/>
    <x v="2"/>
    <s v="Aug"/>
    <n v="1"/>
    <n v="8"/>
    <x v="161"/>
    <x v="5"/>
    <x v="3"/>
  </r>
  <r>
    <x v="15"/>
    <s v="card"/>
    <n v="32.82"/>
    <x v="0"/>
    <x v="2"/>
    <s v="Aug"/>
    <n v="1"/>
    <n v="8"/>
    <x v="161"/>
    <x v="5"/>
    <x v="3"/>
  </r>
  <r>
    <x v="13"/>
    <s v="card"/>
    <n v="32.82"/>
    <x v="7"/>
    <x v="2"/>
    <s v="Aug"/>
    <n v="1"/>
    <n v="8"/>
    <x v="161"/>
    <x v="5"/>
    <x v="3"/>
  </r>
  <r>
    <x v="13"/>
    <s v="card"/>
    <n v="32.82"/>
    <x v="7"/>
    <x v="2"/>
    <s v="Aug"/>
    <n v="1"/>
    <n v="8"/>
    <x v="161"/>
    <x v="5"/>
    <x v="3"/>
  </r>
  <r>
    <x v="12"/>
    <s v="card"/>
    <n v="27.92"/>
    <x v="3"/>
    <x v="0"/>
    <s v="Aug"/>
    <n v="2"/>
    <n v="8"/>
    <x v="162"/>
    <x v="5"/>
    <x v="4"/>
  </r>
  <r>
    <x v="10"/>
    <s v="card"/>
    <n v="27.92"/>
    <x v="3"/>
    <x v="0"/>
    <s v="Aug"/>
    <n v="2"/>
    <n v="8"/>
    <x v="162"/>
    <x v="5"/>
    <x v="4"/>
  </r>
  <r>
    <x v="10"/>
    <s v="card"/>
    <n v="27.92"/>
    <x v="3"/>
    <x v="0"/>
    <s v="Aug"/>
    <n v="2"/>
    <n v="8"/>
    <x v="162"/>
    <x v="5"/>
    <x v="4"/>
  </r>
  <r>
    <x v="0"/>
    <s v="card"/>
    <n v="23.02"/>
    <x v="5"/>
    <x v="0"/>
    <s v="Aug"/>
    <n v="2"/>
    <n v="8"/>
    <x v="162"/>
    <x v="5"/>
    <x v="4"/>
  </r>
  <r>
    <x v="7"/>
    <s v="card"/>
    <n v="32.82"/>
    <x v="0"/>
    <x v="0"/>
    <s v="Aug"/>
    <n v="2"/>
    <n v="8"/>
    <x v="162"/>
    <x v="5"/>
    <x v="4"/>
  </r>
  <r>
    <x v="2"/>
    <s v="card"/>
    <n v="27.92"/>
    <x v="3"/>
    <x v="1"/>
    <s v="Aug"/>
    <n v="2"/>
    <n v="8"/>
    <x v="162"/>
    <x v="5"/>
    <x v="4"/>
  </r>
  <r>
    <x v="8"/>
    <s v="card"/>
    <n v="32.82"/>
    <x v="0"/>
    <x v="1"/>
    <s v="Aug"/>
    <n v="2"/>
    <n v="8"/>
    <x v="162"/>
    <x v="5"/>
    <x v="4"/>
  </r>
  <r>
    <x v="3"/>
    <s v="card"/>
    <n v="32.82"/>
    <x v="7"/>
    <x v="1"/>
    <s v="Aug"/>
    <n v="2"/>
    <n v="8"/>
    <x v="162"/>
    <x v="5"/>
    <x v="4"/>
  </r>
  <r>
    <x v="3"/>
    <s v="card"/>
    <n v="27.92"/>
    <x v="3"/>
    <x v="1"/>
    <s v="Aug"/>
    <n v="2"/>
    <n v="8"/>
    <x v="162"/>
    <x v="5"/>
    <x v="4"/>
  </r>
  <r>
    <x v="11"/>
    <s v="card"/>
    <n v="32.82"/>
    <x v="0"/>
    <x v="2"/>
    <s v="Aug"/>
    <n v="2"/>
    <n v="8"/>
    <x v="162"/>
    <x v="5"/>
    <x v="4"/>
  </r>
  <r>
    <x v="11"/>
    <s v="card"/>
    <n v="32.82"/>
    <x v="4"/>
    <x v="2"/>
    <s v="Aug"/>
    <n v="2"/>
    <n v="8"/>
    <x v="162"/>
    <x v="5"/>
    <x v="4"/>
  </r>
  <r>
    <x v="11"/>
    <s v="card"/>
    <n v="32.82"/>
    <x v="7"/>
    <x v="2"/>
    <s v="Aug"/>
    <n v="2"/>
    <n v="8"/>
    <x v="162"/>
    <x v="5"/>
    <x v="4"/>
  </r>
  <r>
    <x v="15"/>
    <s v="card"/>
    <n v="23.02"/>
    <x v="5"/>
    <x v="2"/>
    <s v="Aug"/>
    <n v="2"/>
    <n v="8"/>
    <x v="162"/>
    <x v="5"/>
    <x v="4"/>
  </r>
  <r>
    <x v="14"/>
    <s v="card"/>
    <n v="32.82"/>
    <x v="0"/>
    <x v="0"/>
    <s v="Aug"/>
    <n v="3"/>
    <n v="8"/>
    <x v="163"/>
    <x v="5"/>
    <x v="5"/>
  </r>
  <r>
    <x v="14"/>
    <s v="card"/>
    <n v="32.82"/>
    <x v="7"/>
    <x v="0"/>
    <s v="Aug"/>
    <n v="3"/>
    <n v="8"/>
    <x v="163"/>
    <x v="5"/>
    <x v="5"/>
  </r>
  <r>
    <x v="0"/>
    <s v="card"/>
    <n v="23.02"/>
    <x v="5"/>
    <x v="0"/>
    <s v="Aug"/>
    <n v="3"/>
    <n v="8"/>
    <x v="163"/>
    <x v="5"/>
    <x v="5"/>
  </r>
  <r>
    <x v="7"/>
    <s v="card"/>
    <n v="18.12"/>
    <x v="6"/>
    <x v="0"/>
    <s v="Aug"/>
    <n v="3"/>
    <n v="8"/>
    <x v="163"/>
    <x v="5"/>
    <x v="5"/>
  </r>
  <r>
    <x v="1"/>
    <s v="card"/>
    <n v="23.02"/>
    <x v="2"/>
    <x v="1"/>
    <s v="Aug"/>
    <n v="3"/>
    <n v="8"/>
    <x v="163"/>
    <x v="5"/>
    <x v="5"/>
  </r>
  <r>
    <x v="1"/>
    <s v="card"/>
    <n v="23.02"/>
    <x v="2"/>
    <x v="1"/>
    <s v="Aug"/>
    <n v="3"/>
    <n v="8"/>
    <x v="163"/>
    <x v="5"/>
    <x v="5"/>
  </r>
  <r>
    <x v="3"/>
    <s v="card"/>
    <n v="32.82"/>
    <x v="0"/>
    <x v="1"/>
    <s v="Aug"/>
    <n v="3"/>
    <n v="8"/>
    <x v="163"/>
    <x v="5"/>
    <x v="5"/>
  </r>
  <r>
    <x v="9"/>
    <s v="card"/>
    <n v="23.02"/>
    <x v="2"/>
    <x v="2"/>
    <s v="Aug"/>
    <n v="3"/>
    <n v="8"/>
    <x v="163"/>
    <x v="5"/>
    <x v="5"/>
  </r>
  <r>
    <x v="5"/>
    <s v="card"/>
    <n v="23.02"/>
    <x v="5"/>
    <x v="2"/>
    <s v="Aug"/>
    <n v="3"/>
    <n v="8"/>
    <x v="163"/>
    <x v="5"/>
    <x v="5"/>
  </r>
  <r>
    <x v="5"/>
    <s v="card"/>
    <n v="27.92"/>
    <x v="3"/>
    <x v="2"/>
    <s v="Aug"/>
    <n v="3"/>
    <n v="8"/>
    <x v="163"/>
    <x v="5"/>
    <x v="5"/>
  </r>
  <r>
    <x v="6"/>
    <s v="card"/>
    <n v="32.82"/>
    <x v="0"/>
    <x v="2"/>
    <s v="Aug"/>
    <n v="3"/>
    <n v="8"/>
    <x v="163"/>
    <x v="5"/>
    <x v="5"/>
  </r>
  <r>
    <x v="6"/>
    <s v="card"/>
    <n v="23.02"/>
    <x v="5"/>
    <x v="2"/>
    <s v="Aug"/>
    <n v="3"/>
    <n v="8"/>
    <x v="163"/>
    <x v="5"/>
    <x v="5"/>
  </r>
  <r>
    <x v="15"/>
    <s v="card"/>
    <n v="32.82"/>
    <x v="0"/>
    <x v="2"/>
    <s v="Aug"/>
    <n v="3"/>
    <n v="8"/>
    <x v="163"/>
    <x v="5"/>
    <x v="5"/>
  </r>
  <r>
    <x v="10"/>
    <s v="card"/>
    <n v="23.02"/>
    <x v="5"/>
    <x v="0"/>
    <s v="Aug"/>
    <n v="4"/>
    <n v="8"/>
    <x v="164"/>
    <x v="5"/>
    <x v="6"/>
  </r>
  <r>
    <x v="10"/>
    <s v="card"/>
    <n v="32.82"/>
    <x v="7"/>
    <x v="0"/>
    <s v="Aug"/>
    <n v="4"/>
    <n v="8"/>
    <x v="164"/>
    <x v="5"/>
    <x v="6"/>
  </r>
  <r>
    <x v="10"/>
    <s v="card"/>
    <n v="32.82"/>
    <x v="1"/>
    <x v="0"/>
    <s v="Aug"/>
    <n v="4"/>
    <n v="8"/>
    <x v="164"/>
    <x v="5"/>
    <x v="6"/>
  </r>
  <r>
    <x v="10"/>
    <s v="card"/>
    <n v="32.82"/>
    <x v="0"/>
    <x v="0"/>
    <s v="Aug"/>
    <n v="4"/>
    <n v="8"/>
    <x v="164"/>
    <x v="5"/>
    <x v="6"/>
  </r>
  <r>
    <x v="1"/>
    <s v="card"/>
    <n v="32.82"/>
    <x v="0"/>
    <x v="1"/>
    <s v="Aug"/>
    <n v="4"/>
    <n v="8"/>
    <x v="164"/>
    <x v="5"/>
    <x v="6"/>
  </r>
  <r>
    <x v="2"/>
    <s v="card"/>
    <n v="32.82"/>
    <x v="0"/>
    <x v="1"/>
    <s v="Aug"/>
    <n v="4"/>
    <n v="8"/>
    <x v="164"/>
    <x v="5"/>
    <x v="6"/>
  </r>
  <r>
    <x v="8"/>
    <s v="card"/>
    <n v="23.02"/>
    <x v="2"/>
    <x v="1"/>
    <s v="Aug"/>
    <n v="4"/>
    <n v="8"/>
    <x v="164"/>
    <x v="5"/>
    <x v="6"/>
  </r>
  <r>
    <x v="8"/>
    <s v="card"/>
    <n v="18.12"/>
    <x v="6"/>
    <x v="1"/>
    <s v="Aug"/>
    <n v="4"/>
    <n v="8"/>
    <x v="164"/>
    <x v="5"/>
    <x v="6"/>
  </r>
  <r>
    <x v="9"/>
    <s v="card"/>
    <n v="27.92"/>
    <x v="3"/>
    <x v="2"/>
    <s v="Aug"/>
    <n v="4"/>
    <n v="8"/>
    <x v="164"/>
    <x v="5"/>
    <x v="6"/>
  </r>
  <r>
    <x v="6"/>
    <s v="card"/>
    <n v="32.82"/>
    <x v="1"/>
    <x v="2"/>
    <s v="Aug"/>
    <n v="4"/>
    <n v="8"/>
    <x v="164"/>
    <x v="5"/>
    <x v="6"/>
  </r>
  <r>
    <x v="6"/>
    <s v="card"/>
    <n v="27.92"/>
    <x v="3"/>
    <x v="2"/>
    <s v="Aug"/>
    <n v="4"/>
    <n v="8"/>
    <x v="164"/>
    <x v="5"/>
    <x v="6"/>
  </r>
  <r>
    <x v="6"/>
    <s v="card"/>
    <n v="27.92"/>
    <x v="3"/>
    <x v="2"/>
    <s v="Aug"/>
    <n v="4"/>
    <n v="8"/>
    <x v="164"/>
    <x v="5"/>
    <x v="6"/>
  </r>
  <r>
    <x v="6"/>
    <s v="card"/>
    <n v="23.02"/>
    <x v="2"/>
    <x v="2"/>
    <s v="Aug"/>
    <n v="4"/>
    <n v="8"/>
    <x v="164"/>
    <x v="5"/>
    <x v="6"/>
  </r>
  <r>
    <x v="11"/>
    <s v="card"/>
    <n v="32.82"/>
    <x v="7"/>
    <x v="2"/>
    <s v="Aug"/>
    <n v="4"/>
    <n v="8"/>
    <x v="164"/>
    <x v="5"/>
    <x v="6"/>
  </r>
  <r>
    <x v="15"/>
    <s v="card"/>
    <n v="18.12"/>
    <x v="6"/>
    <x v="2"/>
    <s v="Aug"/>
    <n v="4"/>
    <n v="8"/>
    <x v="164"/>
    <x v="5"/>
    <x v="6"/>
  </r>
  <r>
    <x v="15"/>
    <s v="card"/>
    <n v="27.92"/>
    <x v="3"/>
    <x v="2"/>
    <s v="Aug"/>
    <n v="4"/>
    <n v="8"/>
    <x v="164"/>
    <x v="5"/>
    <x v="6"/>
  </r>
  <r>
    <x v="1"/>
    <s v="card"/>
    <n v="32.82"/>
    <x v="0"/>
    <x v="1"/>
    <s v="Aug"/>
    <n v="5"/>
    <n v="8"/>
    <x v="165"/>
    <x v="5"/>
    <x v="0"/>
  </r>
  <r>
    <x v="1"/>
    <s v="card"/>
    <n v="23.02"/>
    <x v="2"/>
    <x v="1"/>
    <s v="Aug"/>
    <n v="5"/>
    <n v="8"/>
    <x v="165"/>
    <x v="5"/>
    <x v="0"/>
  </r>
  <r>
    <x v="2"/>
    <s v="card"/>
    <n v="27.92"/>
    <x v="3"/>
    <x v="1"/>
    <s v="Aug"/>
    <n v="5"/>
    <n v="8"/>
    <x v="165"/>
    <x v="5"/>
    <x v="0"/>
  </r>
  <r>
    <x v="3"/>
    <s v="card"/>
    <n v="18.12"/>
    <x v="6"/>
    <x v="1"/>
    <s v="Aug"/>
    <n v="5"/>
    <n v="8"/>
    <x v="165"/>
    <x v="5"/>
    <x v="0"/>
  </r>
  <r>
    <x v="3"/>
    <s v="card"/>
    <n v="18.12"/>
    <x v="6"/>
    <x v="1"/>
    <s v="Aug"/>
    <n v="5"/>
    <n v="8"/>
    <x v="165"/>
    <x v="5"/>
    <x v="0"/>
  </r>
  <r>
    <x v="10"/>
    <s v="card"/>
    <n v="27.92"/>
    <x v="3"/>
    <x v="0"/>
    <s v="Aug"/>
    <n v="6"/>
    <n v="8"/>
    <x v="166"/>
    <x v="5"/>
    <x v="1"/>
  </r>
  <r>
    <x v="10"/>
    <s v="card"/>
    <n v="32.82"/>
    <x v="7"/>
    <x v="0"/>
    <s v="Aug"/>
    <n v="6"/>
    <n v="8"/>
    <x v="166"/>
    <x v="5"/>
    <x v="1"/>
  </r>
  <r>
    <x v="0"/>
    <s v="card"/>
    <n v="27.92"/>
    <x v="3"/>
    <x v="0"/>
    <s v="Aug"/>
    <n v="6"/>
    <n v="8"/>
    <x v="166"/>
    <x v="5"/>
    <x v="1"/>
  </r>
  <r>
    <x v="7"/>
    <s v="card"/>
    <n v="23.02"/>
    <x v="5"/>
    <x v="0"/>
    <s v="Aug"/>
    <n v="6"/>
    <n v="8"/>
    <x v="166"/>
    <x v="5"/>
    <x v="1"/>
  </r>
  <r>
    <x v="7"/>
    <s v="card"/>
    <n v="23.02"/>
    <x v="5"/>
    <x v="0"/>
    <s v="Aug"/>
    <n v="6"/>
    <n v="8"/>
    <x v="166"/>
    <x v="5"/>
    <x v="1"/>
  </r>
  <r>
    <x v="2"/>
    <s v="card"/>
    <n v="27.92"/>
    <x v="3"/>
    <x v="1"/>
    <s v="Aug"/>
    <n v="6"/>
    <n v="8"/>
    <x v="166"/>
    <x v="5"/>
    <x v="1"/>
  </r>
  <r>
    <x v="4"/>
    <s v="card"/>
    <n v="23.02"/>
    <x v="5"/>
    <x v="1"/>
    <s v="Aug"/>
    <n v="6"/>
    <n v="8"/>
    <x v="166"/>
    <x v="5"/>
    <x v="1"/>
  </r>
  <r>
    <x v="4"/>
    <s v="card"/>
    <n v="32.82"/>
    <x v="0"/>
    <x v="1"/>
    <s v="Aug"/>
    <n v="6"/>
    <n v="8"/>
    <x v="166"/>
    <x v="5"/>
    <x v="1"/>
  </r>
  <r>
    <x v="5"/>
    <s v="card"/>
    <n v="32.82"/>
    <x v="7"/>
    <x v="2"/>
    <s v="Aug"/>
    <n v="6"/>
    <n v="8"/>
    <x v="166"/>
    <x v="5"/>
    <x v="1"/>
  </r>
  <r>
    <x v="15"/>
    <s v="card"/>
    <n v="27.92"/>
    <x v="3"/>
    <x v="2"/>
    <s v="Aug"/>
    <n v="6"/>
    <n v="8"/>
    <x v="166"/>
    <x v="5"/>
    <x v="1"/>
  </r>
  <r>
    <x v="13"/>
    <s v="card"/>
    <n v="32.82"/>
    <x v="0"/>
    <x v="2"/>
    <s v="Aug"/>
    <n v="6"/>
    <n v="8"/>
    <x v="166"/>
    <x v="5"/>
    <x v="1"/>
  </r>
  <r>
    <x v="12"/>
    <s v="card"/>
    <n v="32.82"/>
    <x v="7"/>
    <x v="0"/>
    <s v="Aug"/>
    <n v="7"/>
    <n v="8"/>
    <x v="167"/>
    <x v="5"/>
    <x v="2"/>
  </r>
  <r>
    <x v="12"/>
    <s v="card"/>
    <n v="32.82"/>
    <x v="7"/>
    <x v="0"/>
    <s v="Aug"/>
    <n v="7"/>
    <n v="8"/>
    <x v="167"/>
    <x v="5"/>
    <x v="2"/>
  </r>
  <r>
    <x v="12"/>
    <s v="card"/>
    <n v="23.02"/>
    <x v="5"/>
    <x v="0"/>
    <s v="Aug"/>
    <n v="7"/>
    <n v="8"/>
    <x v="167"/>
    <x v="5"/>
    <x v="2"/>
  </r>
  <r>
    <x v="12"/>
    <s v="card"/>
    <n v="27.92"/>
    <x v="3"/>
    <x v="0"/>
    <s v="Aug"/>
    <n v="7"/>
    <n v="8"/>
    <x v="167"/>
    <x v="5"/>
    <x v="2"/>
  </r>
  <r>
    <x v="1"/>
    <s v="card"/>
    <n v="32.82"/>
    <x v="7"/>
    <x v="1"/>
    <s v="Aug"/>
    <n v="7"/>
    <n v="8"/>
    <x v="167"/>
    <x v="5"/>
    <x v="2"/>
  </r>
  <r>
    <x v="8"/>
    <s v="card"/>
    <n v="27.92"/>
    <x v="3"/>
    <x v="1"/>
    <s v="Aug"/>
    <n v="7"/>
    <n v="8"/>
    <x v="167"/>
    <x v="5"/>
    <x v="2"/>
  </r>
  <r>
    <x v="5"/>
    <s v="card"/>
    <n v="27.92"/>
    <x v="3"/>
    <x v="2"/>
    <s v="Aug"/>
    <n v="7"/>
    <n v="8"/>
    <x v="167"/>
    <x v="5"/>
    <x v="2"/>
  </r>
  <r>
    <x v="5"/>
    <s v="card"/>
    <n v="27.92"/>
    <x v="3"/>
    <x v="2"/>
    <s v="Aug"/>
    <n v="7"/>
    <n v="8"/>
    <x v="167"/>
    <x v="5"/>
    <x v="2"/>
  </r>
  <r>
    <x v="5"/>
    <s v="card"/>
    <n v="23.02"/>
    <x v="2"/>
    <x v="2"/>
    <s v="Aug"/>
    <n v="7"/>
    <n v="8"/>
    <x v="167"/>
    <x v="5"/>
    <x v="2"/>
  </r>
  <r>
    <x v="5"/>
    <s v="card"/>
    <n v="23.02"/>
    <x v="2"/>
    <x v="2"/>
    <s v="Aug"/>
    <n v="7"/>
    <n v="8"/>
    <x v="167"/>
    <x v="5"/>
    <x v="2"/>
  </r>
  <r>
    <x v="3"/>
    <s v="card"/>
    <n v="27.92"/>
    <x v="3"/>
    <x v="1"/>
    <s v="Aug"/>
    <n v="1"/>
    <n v="8"/>
    <x v="168"/>
    <x v="5"/>
    <x v="3"/>
  </r>
  <r>
    <x v="3"/>
    <s v="card"/>
    <n v="27.92"/>
    <x v="3"/>
    <x v="1"/>
    <s v="Aug"/>
    <n v="1"/>
    <n v="8"/>
    <x v="168"/>
    <x v="5"/>
    <x v="3"/>
  </r>
  <r>
    <x v="15"/>
    <s v="card"/>
    <n v="32.82"/>
    <x v="0"/>
    <x v="2"/>
    <s v="Aug"/>
    <n v="1"/>
    <n v="8"/>
    <x v="168"/>
    <x v="5"/>
    <x v="3"/>
  </r>
  <r>
    <x v="15"/>
    <s v="card"/>
    <n v="32.82"/>
    <x v="4"/>
    <x v="2"/>
    <s v="Aug"/>
    <n v="1"/>
    <n v="8"/>
    <x v="168"/>
    <x v="5"/>
    <x v="3"/>
  </r>
  <r>
    <x v="12"/>
    <s v="card"/>
    <n v="23.02"/>
    <x v="5"/>
    <x v="0"/>
    <s v="Aug"/>
    <n v="2"/>
    <n v="8"/>
    <x v="169"/>
    <x v="5"/>
    <x v="4"/>
  </r>
  <r>
    <x v="12"/>
    <s v="card"/>
    <n v="32.82"/>
    <x v="0"/>
    <x v="0"/>
    <s v="Aug"/>
    <n v="2"/>
    <n v="8"/>
    <x v="169"/>
    <x v="5"/>
    <x v="4"/>
  </r>
  <r>
    <x v="12"/>
    <s v="card"/>
    <n v="18.12"/>
    <x v="6"/>
    <x v="0"/>
    <s v="Aug"/>
    <n v="2"/>
    <n v="8"/>
    <x v="169"/>
    <x v="5"/>
    <x v="4"/>
  </r>
  <r>
    <x v="12"/>
    <s v="card"/>
    <n v="23.02"/>
    <x v="5"/>
    <x v="0"/>
    <s v="Aug"/>
    <n v="2"/>
    <n v="8"/>
    <x v="169"/>
    <x v="5"/>
    <x v="4"/>
  </r>
  <r>
    <x v="10"/>
    <s v="card"/>
    <n v="27.92"/>
    <x v="3"/>
    <x v="0"/>
    <s v="Aug"/>
    <n v="2"/>
    <n v="8"/>
    <x v="169"/>
    <x v="5"/>
    <x v="4"/>
  </r>
  <r>
    <x v="7"/>
    <s v="card"/>
    <n v="23.02"/>
    <x v="2"/>
    <x v="0"/>
    <s v="Aug"/>
    <n v="2"/>
    <n v="8"/>
    <x v="169"/>
    <x v="5"/>
    <x v="4"/>
  </r>
  <r>
    <x v="7"/>
    <s v="card"/>
    <n v="23.02"/>
    <x v="2"/>
    <x v="0"/>
    <s v="Aug"/>
    <n v="2"/>
    <n v="8"/>
    <x v="169"/>
    <x v="5"/>
    <x v="4"/>
  </r>
  <r>
    <x v="7"/>
    <s v="card"/>
    <n v="23.02"/>
    <x v="2"/>
    <x v="0"/>
    <s v="Aug"/>
    <n v="2"/>
    <n v="8"/>
    <x v="169"/>
    <x v="5"/>
    <x v="4"/>
  </r>
  <r>
    <x v="7"/>
    <s v="card"/>
    <n v="32.82"/>
    <x v="0"/>
    <x v="0"/>
    <s v="Aug"/>
    <n v="2"/>
    <n v="8"/>
    <x v="169"/>
    <x v="5"/>
    <x v="4"/>
  </r>
  <r>
    <x v="11"/>
    <s v="card"/>
    <n v="32.82"/>
    <x v="0"/>
    <x v="2"/>
    <s v="Aug"/>
    <n v="2"/>
    <n v="8"/>
    <x v="169"/>
    <x v="5"/>
    <x v="4"/>
  </r>
  <r>
    <x v="11"/>
    <s v="card"/>
    <n v="32.82"/>
    <x v="0"/>
    <x v="2"/>
    <s v="Aug"/>
    <n v="2"/>
    <n v="8"/>
    <x v="169"/>
    <x v="5"/>
    <x v="4"/>
  </r>
  <r>
    <x v="11"/>
    <s v="card"/>
    <n v="32.82"/>
    <x v="0"/>
    <x v="2"/>
    <s v="Aug"/>
    <n v="2"/>
    <n v="8"/>
    <x v="169"/>
    <x v="5"/>
    <x v="4"/>
  </r>
  <r>
    <x v="11"/>
    <s v="card"/>
    <n v="32.82"/>
    <x v="0"/>
    <x v="2"/>
    <s v="Aug"/>
    <n v="2"/>
    <n v="8"/>
    <x v="169"/>
    <x v="5"/>
    <x v="4"/>
  </r>
  <r>
    <x v="14"/>
    <s v="card"/>
    <n v="27.92"/>
    <x v="3"/>
    <x v="0"/>
    <s v="Aug"/>
    <n v="3"/>
    <n v="8"/>
    <x v="170"/>
    <x v="5"/>
    <x v="5"/>
  </r>
  <r>
    <x v="12"/>
    <s v="card"/>
    <n v="23.02"/>
    <x v="5"/>
    <x v="0"/>
    <s v="Aug"/>
    <n v="3"/>
    <n v="8"/>
    <x v="170"/>
    <x v="5"/>
    <x v="5"/>
  </r>
  <r>
    <x v="0"/>
    <s v="card"/>
    <n v="23.02"/>
    <x v="2"/>
    <x v="0"/>
    <s v="Aug"/>
    <n v="3"/>
    <n v="8"/>
    <x v="170"/>
    <x v="5"/>
    <x v="5"/>
  </r>
  <r>
    <x v="0"/>
    <s v="card"/>
    <n v="27.92"/>
    <x v="3"/>
    <x v="0"/>
    <s v="Aug"/>
    <n v="3"/>
    <n v="8"/>
    <x v="170"/>
    <x v="5"/>
    <x v="5"/>
  </r>
  <r>
    <x v="7"/>
    <s v="card"/>
    <n v="23.02"/>
    <x v="5"/>
    <x v="0"/>
    <s v="Aug"/>
    <n v="3"/>
    <n v="8"/>
    <x v="170"/>
    <x v="5"/>
    <x v="5"/>
  </r>
  <r>
    <x v="2"/>
    <s v="card"/>
    <n v="32.82"/>
    <x v="0"/>
    <x v="1"/>
    <s v="Aug"/>
    <n v="3"/>
    <n v="8"/>
    <x v="170"/>
    <x v="5"/>
    <x v="5"/>
  </r>
  <r>
    <x v="6"/>
    <s v="card"/>
    <n v="32.82"/>
    <x v="0"/>
    <x v="2"/>
    <s v="Aug"/>
    <n v="3"/>
    <n v="8"/>
    <x v="170"/>
    <x v="5"/>
    <x v="5"/>
  </r>
  <r>
    <x v="10"/>
    <s v="card"/>
    <n v="23.02"/>
    <x v="5"/>
    <x v="0"/>
    <s v="Aug"/>
    <n v="4"/>
    <n v="8"/>
    <x v="171"/>
    <x v="5"/>
    <x v="6"/>
  </r>
  <r>
    <x v="0"/>
    <s v="card"/>
    <n v="27.92"/>
    <x v="3"/>
    <x v="0"/>
    <s v="Aug"/>
    <n v="4"/>
    <n v="8"/>
    <x v="171"/>
    <x v="5"/>
    <x v="6"/>
  </r>
  <r>
    <x v="0"/>
    <s v="card"/>
    <n v="27.92"/>
    <x v="3"/>
    <x v="0"/>
    <s v="Aug"/>
    <n v="4"/>
    <n v="8"/>
    <x v="171"/>
    <x v="5"/>
    <x v="6"/>
  </r>
  <r>
    <x v="8"/>
    <s v="card"/>
    <n v="32.82"/>
    <x v="0"/>
    <x v="1"/>
    <s v="Aug"/>
    <n v="4"/>
    <n v="8"/>
    <x v="171"/>
    <x v="5"/>
    <x v="6"/>
  </r>
  <r>
    <x v="8"/>
    <s v="card"/>
    <n v="32.82"/>
    <x v="0"/>
    <x v="1"/>
    <s v="Aug"/>
    <n v="4"/>
    <n v="8"/>
    <x v="171"/>
    <x v="5"/>
    <x v="6"/>
  </r>
  <r>
    <x v="3"/>
    <s v="card"/>
    <n v="32.82"/>
    <x v="7"/>
    <x v="1"/>
    <s v="Aug"/>
    <n v="4"/>
    <n v="8"/>
    <x v="171"/>
    <x v="5"/>
    <x v="6"/>
  </r>
  <r>
    <x v="3"/>
    <s v="card"/>
    <n v="23.02"/>
    <x v="2"/>
    <x v="1"/>
    <s v="Aug"/>
    <n v="4"/>
    <n v="8"/>
    <x v="171"/>
    <x v="5"/>
    <x v="6"/>
  </r>
  <r>
    <x v="14"/>
    <s v="card"/>
    <n v="32.82"/>
    <x v="0"/>
    <x v="0"/>
    <s v="Aug"/>
    <n v="5"/>
    <n v="8"/>
    <x v="172"/>
    <x v="5"/>
    <x v="0"/>
  </r>
  <r>
    <x v="12"/>
    <s v="card"/>
    <n v="23.02"/>
    <x v="5"/>
    <x v="0"/>
    <s v="Aug"/>
    <n v="5"/>
    <n v="8"/>
    <x v="172"/>
    <x v="5"/>
    <x v="0"/>
  </r>
  <r>
    <x v="12"/>
    <s v="card"/>
    <n v="32.82"/>
    <x v="0"/>
    <x v="0"/>
    <s v="Aug"/>
    <n v="5"/>
    <n v="8"/>
    <x v="172"/>
    <x v="5"/>
    <x v="0"/>
  </r>
  <r>
    <x v="12"/>
    <s v="card"/>
    <n v="23.02"/>
    <x v="2"/>
    <x v="0"/>
    <s v="Aug"/>
    <n v="5"/>
    <n v="8"/>
    <x v="172"/>
    <x v="5"/>
    <x v="0"/>
  </r>
  <r>
    <x v="12"/>
    <s v="card"/>
    <n v="23.02"/>
    <x v="2"/>
    <x v="0"/>
    <s v="Aug"/>
    <n v="5"/>
    <n v="8"/>
    <x v="172"/>
    <x v="5"/>
    <x v="0"/>
  </r>
  <r>
    <x v="10"/>
    <s v="card"/>
    <n v="27.92"/>
    <x v="3"/>
    <x v="0"/>
    <s v="Aug"/>
    <n v="5"/>
    <n v="8"/>
    <x v="172"/>
    <x v="5"/>
    <x v="0"/>
  </r>
  <r>
    <x v="0"/>
    <s v="card"/>
    <n v="32.82"/>
    <x v="4"/>
    <x v="0"/>
    <s v="Aug"/>
    <n v="5"/>
    <n v="8"/>
    <x v="172"/>
    <x v="5"/>
    <x v="0"/>
  </r>
  <r>
    <x v="0"/>
    <s v="card"/>
    <n v="23.02"/>
    <x v="2"/>
    <x v="0"/>
    <s v="Aug"/>
    <n v="5"/>
    <n v="8"/>
    <x v="172"/>
    <x v="5"/>
    <x v="0"/>
  </r>
  <r>
    <x v="0"/>
    <s v="card"/>
    <n v="23.02"/>
    <x v="5"/>
    <x v="0"/>
    <s v="Aug"/>
    <n v="5"/>
    <n v="8"/>
    <x v="172"/>
    <x v="5"/>
    <x v="0"/>
  </r>
  <r>
    <x v="7"/>
    <s v="card"/>
    <n v="32.82"/>
    <x v="1"/>
    <x v="0"/>
    <s v="Aug"/>
    <n v="5"/>
    <n v="8"/>
    <x v="172"/>
    <x v="5"/>
    <x v="0"/>
  </r>
  <r>
    <x v="2"/>
    <s v="card"/>
    <n v="23.02"/>
    <x v="2"/>
    <x v="1"/>
    <s v="Aug"/>
    <n v="5"/>
    <n v="8"/>
    <x v="172"/>
    <x v="5"/>
    <x v="0"/>
  </r>
  <r>
    <x v="3"/>
    <s v="card"/>
    <n v="23.02"/>
    <x v="2"/>
    <x v="1"/>
    <s v="Aug"/>
    <n v="5"/>
    <n v="8"/>
    <x v="172"/>
    <x v="5"/>
    <x v="0"/>
  </r>
  <r>
    <x v="6"/>
    <s v="card"/>
    <n v="32.82"/>
    <x v="0"/>
    <x v="2"/>
    <s v="Aug"/>
    <n v="5"/>
    <n v="8"/>
    <x v="172"/>
    <x v="5"/>
    <x v="0"/>
  </r>
  <r>
    <x v="12"/>
    <s v="card"/>
    <n v="23.02"/>
    <x v="5"/>
    <x v="0"/>
    <s v="Aug"/>
    <n v="6"/>
    <n v="8"/>
    <x v="173"/>
    <x v="5"/>
    <x v="1"/>
  </r>
  <r>
    <x v="12"/>
    <s v="card"/>
    <n v="23.02"/>
    <x v="5"/>
    <x v="0"/>
    <s v="Aug"/>
    <n v="6"/>
    <n v="8"/>
    <x v="173"/>
    <x v="5"/>
    <x v="1"/>
  </r>
  <r>
    <x v="12"/>
    <s v="card"/>
    <n v="23.02"/>
    <x v="5"/>
    <x v="0"/>
    <s v="Aug"/>
    <n v="6"/>
    <n v="8"/>
    <x v="173"/>
    <x v="5"/>
    <x v="1"/>
  </r>
  <r>
    <x v="0"/>
    <s v="card"/>
    <n v="18.12"/>
    <x v="6"/>
    <x v="0"/>
    <s v="Aug"/>
    <n v="6"/>
    <n v="8"/>
    <x v="173"/>
    <x v="5"/>
    <x v="1"/>
  </r>
  <r>
    <x v="0"/>
    <s v="card"/>
    <n v="18.12"/>
    <x v="6"/>
    <x v="0"/>
    <s v="Aug"/>
    <n v="6"/>
    <n v="8"/>
    <x v="173"/>
    <x v="5"/>
    <x v="1"/>
  </r>
  <r>
    <x v="0"/>
    <s v="card"/>
    <n v="23.02"/>
    <x v="2"/>
    <x v="0"/>
    <s v="Aug"/>
    <n v="6"/>
    <n v="8"/>
    <x v="173"/>
    <x v="5"/>
    <x v="1"/>
  </r>
  <r>
    <x v="12"/>
    <s v="card"/>
    <n v="23.02"/>
    <x v="5"/>
    <x v="0"/>
    <s v="Aug"/>
    <n v="7"/>
    <n v="8"/>
    <x v="174"/>
    <x v="5"/>
    <x v="2"/>
  </r>
  <r>
    <x v="12"/>
    <s v="card"/>
    <n v="23.02"/>
    <x v="2"/>
    <x v="0"/>
    <s v="Aug"/>
    <n v="7"/>
    <n v="8"/>
    <x v="174"/>
    <x v="5"/>
    <x v="2"/>
  </r>
  <r>
    <x v="12"/>
    <s v="card"/>
    <n v="23.02"/>
    <x v="2"/>
    <x v="0"/>
    <s v="Aug"/>
    <n v="7"/>
    <n v="8"/>
    <x v="174"/>
    <x v="5"/>
    <x v="2"/>
  </r>
  <r>
    <x v="10"/>
    <s v="card"/>
    <n v="32.82"/>
    <x v="7"/>
    <x v="0"/>
    <s v="Aug"/>
    <n v="7"/>
    <n v="8"/>
    <x v="174"/>
    <x v="5"/>
    <x v="2"/>
  </r>
  <r>
    <x v="1"/>
    <s v="card"/>
    <n v="32.82"/>
    <x v="7"/>
    <x v="1"/>
    <s v="Aug"/>
    <n v="7"/>
    <n v="8"/>
    <x v="174"/>
    <x v="5"/>
    <x v="2"/>
  </r>
  <r>
    <x v="8"/>
    <s v="card"/>
    <n v="32.82"/>
    <x v="0"/>
    <x v="1"/>
    <s v="Aug"/>
    <n v="7"/>
    <n v="8"/>
    <x v="174"/>
    <x v="5"/>
    <x v="2"/>
  </r>
  <r>
    <x v="12"/>
    <s v="card"/>
    <n v="23.02"/>
    <x v="5"/>
    <x v="0"/>
    <s v="Aug"/>
    <n v="1"/>
    <n v="8"/>
    <x v="175"/>
    <x v="5"/>
    <x v="3"/>
  </r>
  <r>
    <x v="12"/>
    <s v="card"/>
    <n v="23.02"/>
    <x v="2"/>
    <x v="0"/>
    <s v="Aug"/>
    <n v="1"/>
    <n v="8"/>
    <x v="175"/>
    <x v="5"/>
    <x v="3"/>
  </r>
  <r>
    <x v="12"/>
    <s v="card"/>
    <n v="23.02"/>
    <x v="2"/>
    <x v="0"/>
    <s v="Aug"/>
    <n v="1"/>
    <n v="8"/>
    <x v="175"/>
    <x v="5"/>
    <x v="3"/>
  </r>
  <r>
    <x v="10"/>
    <s v="card"/>
    <n v="27.92"/>
    <x v="3"/>
    <x v="0"/>
    <s v="Aug"/>
    <n v="1"/>
    <n v="8"/>
    <x v="175"/>
    <x v="5"/>
    <x v="3"/>
  </r>
  <r>
    <x v="0"/>
    <s v="card"/>
    <n v="32.82"/>
    <x v="0"/>
    <x v="0"/>
    <s v="Aug"/>
    <n v="1"/>
    <n v="8"/>
    <x v="175"/>
    <x v="5"/>
    <x v="3"/>
  </r>
  <r>
    <x v="0"/>
    <s v="card"/>
    <n v="32.82"/>
    <x v="7"/>
    <x v="0"/>
    <s v="Aug"/>
    <n v="1"/>
    <n v="8"/>
    <x v="175"/>
    <x v="5"/>
    <x v="3"/>
  </r>
  <r>
    <x v="1"/>
    <s v="card"/>
    <n v="23.02"/>
    <x v="2"/>
    <x v="1"/>
    <s v="Aug"/>
    <n v="1"/>
    <n v="8"/>
    <x v="175"/>
    <x v="5"/>
    <x v="3"/>
  </r>
  <r>
    <x v="1"/>
    <s v="card"/>
    <n v="23.02"/>
    <x v="2"/>
    <x v="1"/>
    <s v="Aug"/>
    <n v="1"/>
    <n v="8"/>
    <x v="175"/>
    <x v="5"/>
    <x v="3"/>
  </r>
  <r>
    <x v="5"/>
    <s v="card"/>
    <n v="27.92"/>
    <x v="3"/>
    <x v="2"/>
    <s v="Aug"/>
    <n v="1"/>
    <n v="8"/>
    <x v="175"/>
    <x v="5"/>
    <x v="3"/>
  </r>
  <r>
    <x v="5"/>
    <s v="card"/>
    <n v="32.82"/>
    <x v="0"/>
    <x v="2"/>
    <s v="Aug"/>
    <n v="1"/>
    <n v="8"/>
    <x v="175"/>
    <x v="5"/>
    <x v="3"/>
  </r>
  <r>
    <x v="13"/>
    <s v="card"/>
    <n v="27.92"/>
    <x v="3"/>
    <x v="2"/>
    <s v="Aug"/>
    <n v="1"/>
    <n v="8"/>
    <x v="175"/>
    <x v="5"/>
    <x v="3"/>
  </r>
  <r>
    <x v="0"/>
    <s v="card"/>
    <n v="32.82"/>
    <x v="0"/>
    <x v="0"/>
    <s v="Aug"/>
    <n v="2"/>
    <n v="8"/>
    <x v="176"/>
    <x v="5"/>
    <x v="4"/>
  </r>
  <r>
    <x v="1"/>
    <s v="card"/>
    <n v="27.92"/>
    <x v="3"/>
    <x v="1"/>
    <s v="Aug"/>
    <n v="3"/>
    <n v="8"/>
    <x v="177"/>
    <x v="5"/>
    <x v="5"/>
  </r>
  <r>
    <x v="1"/>
    <s v="card"/>
    <n v="32.82"/>
    <x v="7"/>
    <x v="1"/>
    <s v="Aug"/>
    <n v="3"/>
    <n v="8"/>
    <x v="177"/>
    <x v="5"/>
    <x v="5"/>
  </r>
  <r>
    <x v="1"/>
    <s v="card"/>
    <n v="23.02"/>
    <x v="2"/>
    <x v="1"/>
    <s v="Aug"/>
    <n v="3"/>
    <n v="8"/>
    <x v="177"/>
    <x v="5"/>
    <x v="5"/>
  </r>
  <r>
    <x v="2"/>
    <s v="card"/>
    <n v="27.92"/>
    <x v="3"/>
    <x v="1"/>
    <s v="Aug"/>
    <n v="3"/>
    <n v="8"/>
    <x v="177"/>
    <x v="5"/>
    <x v="5"/>
  </r>
  <r>
    <x v="14"/>
    <s v="card"/>
    <n v="23.02"/>
    <x v="2"/>
    <x v="0"/>
    <s v="Aug"/>
    <n v="4"/>
    <n v="8"/>
    <x v="178"/>
    <x v="5"/>
    <x v="6"/>
  </r>
  <r>
    <x v="9"/>
    <s v="card"/>
    <n v="32.82"/>
    <x v="0"/>
    <x v="2"/>
    <s v="Aug"/>
    <n v="5"/>
    <n v="8"/>
    <x v="179"/>
    <x v="5"/>
    <x v="0"/>
  </r>
  <r>
    <x v="9"/>
    <s v="card"/>
    <n v="27.92"/>
    <x v="3"/>
    <x v="2"/>
    <s v="Aug"/>
    <n v="5"/>
    <n v="8"/>
    <x v="179"/>
    <x v="5"/>
    <x v="0"/>
  </r>
  <r>
    <x v="9"/>
    <s v="card"/>
    <n v="27.92"/>
    <x v="3"/>
    <x v="2"/>
    <s v="Aug"/>
    <n v="5"/>
    <n v="8"/>
    <x v="179"/>
    <x v="5"/>
    <x v="0"/>
  </r>
  <r>
    <x v="10"/>
    <s v="card"/>
    <n v="23.02"/>
    <x v="5"/>
    <x v="0"/>
    <s v="Aug"/>
    <n v="6"/>
    <n v="8"/>
    <x v="180"/>
    <x v="5"/>
    <x v="1"/>
  </r>
  <r>
    <x v="0"/>
    <s v="card"/>
    <n v="27.92"/>
    <x v="3"/>
    <x v="0"/>
    <s v="Aug"/>
    <n v="6"/>
    <n v="8"/>
    <x v="180"/>
    <x v="5"/>
    <x v="1"/>
  </r>
  <r>
    <x v="0"/>
    <s v="card"/>
    <n v="18.12"/>
    <x v="6"/>
    <x v="0"/>
    <s v="Aug"/>
    <n v="6"/>
    <n v="8"/>
    <x v="180"/>
    <x v="5"/>
    <x v="1"/>
  </r>
  <r>
    <x v="7"/>
    <s v="card"/>
    <n v="27.92"/>
    <x v="3"/>
    <x v="0"/>
    <s v="Aug"/>
    <n v="6"/>
    <n v="8"/>
    <x v="180"/>
    <x v="5"/>
    <x v="1"/>
  </r>
  <r>
    <x v="7"/>
    <s v="card"/>
    <n v="23.02"/>
    <x v="5"/>
    <x v="0"/>
    <s v="Aug"/>
    <n v="6"/>
    <n v="8"/>
    <x v="180"/>
    <x v="5"/>
    <x v="1"/>
  </r>
  <r>
    <x v="7"/>
    <s v="card"/>
    <n v="23.02"/>
    <x v="5"/>
    <x v="0"/>
    <s v="Aug"/>
    <n v="6"/>
    <n v="8"/>
    <x v="180"/>
    <x v="5"/>
    <x v="1"/>
  </r>
  <r>
    <x v="10"/>
    <s v="card"/>
    <n v="23.02"/>
    <x v="5"/>
    <x v="0"/>
    <s v="Sep"/>
    <n v="7"/>
    <n v="9"/>
    <x v="181"/>
    <x v="6"/>
    <x v="2"/>
  </r>
  <r>
    <x v="1"/>
    <s v="card"/>
    <n v="32.82"/>
    <x v="7"/>
    <x v="1"/>
    <s v="Sep"/>
    <n v="7"/>
    <n v="9"/>
    <x v="181"/>
    <x v="6"/>
    <x v="2"/>
  </r>
  <r>
    <x v="1"/>
    <s v="card"/>
    <n v="27.92"/>
    <x v="3"/>
    <x v="1"/>
    <s v="Sep"/>
    <n v="7"/>
    <n v="9"/>
    <x v="181"/>
    <x v="6"/>
    <x v="2"/>
  </r>
  <r>
    <x v="1"/>
    <s v="card"/>
    <n v="23.02"/>
    <x v="2"/>
    <x v="1"/>
    <s v="Sep"/>
    <n v="7"/>
    <n v="9"/>
    <x v="181"/>
    <x v="6"/>
    <x v="2"/>
  </r>
  <r>
    <x v="1"/>
    <s v="card"/>
    <n v="27.92"/>
    <x v="3"/>
    <x v="1"/>
    <s v="Sep"/>
    <n v="7"/>
    <n v="9"/>
    <x v="181"/>
    <x v="6"/>
    <x v="2"/>
  </r>
  <r>
    <x v="2"/>
    <s v="card"/>
    <n v="32.82"/>
    <x v="0"/>
    <x v="1"/>
    <s v="Sep"/>
    <n v="7"/>
    <n v="9"/>
    <x v="181"/>
    <x v="6"/>
    <x v="2"/>
  </r>
  <r>
    <x v="8"/>
    <s v="card"/>
    <n v="27.92"/>
    <x v="3"/>
    <x v="1"/>
    <s v="Sep"/>
    <n v="7"/>
    <n v="9"/>
    <x v="181"/>
    <x v="6"/>
    <x v="2"/>
  </r>
  <r>
    <x v="9"/>
    <s v="card"/>
    <n v="32.82"/>
    <x v="0"/>
    <x v="2"/>
    <s v="Sep"/>
    <n v="7"/>
    <n v="9"/>
    <x v="181"/>
    <x v="6"/>
    <x v="2"/>
  </r>
  <r>
    <x v="9"/>
    <s v="card"/>
    <n v="32.82"/>
    <x v="0"/>
    <x v="2"/>
    <s v="Sep"/>
    <n v="7"/>
    <n v="9"/>
    <x v="181"/>
    <x v="6"/>
    <x v="2"/>
  </r>
  <r>
    <x v="9"/>
    <s v="card"/>
    <n v="32.82"/>
    <x v="0"/>
    <x v="2"/>
    <s v="Sep"/>
    <n v="7"/>
    <n v="9"/>
    <x v="181"/>
    <x v="6"/>
    <x v="2"/>
  </r>
  <r>
    <x v="12"/>
    <s v="card"/>
    <n v="32.82"/>
    <x v="0"/>
    <x v="0"/>
    <s v="Sep"/>
    <n v="1"/>
    <n v="9"/>
    <x v="182"/>
    <x v="6"/>
    <x v="3"/>
  </r>
  <r>
    <x v="12"/>
    <s v="card"/>
    <n v="27.92"/>
    <x v="3"/>
    <x v="0"/>
    <s v="Sep"/>
    <n v="1"/>
    <n v="9"/>
    <x v="182"/>
    <x v="6"/>
    <x v="3"/>
  </r>
  <r>
    <x v="12"/>
    <s v="card"/>
    <n v="32.82"/>
    <x v="0"/>
    <x v="0"/>
    <s v="Sep"/>
    <n v="1"/>
    <n v="9"/>
    <x v="182"/>
    <x v="6"/>
    <x v="3"/>
  </r>
  <r>
    <x v="8"/>
    <s v="card"/>
    <n v="27.92"/>
    <x v="3"/>
    <x v="1"/>
    <s v="Sep"/>
    <n v="1"/>
    <n v="9"/>
    <x v="182"/>
    <x v="6"/>
    <x v="3"/>
  </r>
  <r>
    <x v="11"/>
    <s v="card"/>
    <n v="32.82"/>
    <x v="7"/>
    <x v="2"/>
    <s v="Sep"/>
    <n v="1"/>
    <n v="9"/>
    <x v="182"/>
    <x v="6"/>
    <x v="3"/>
  </r>
  <r>
    <x v="11"/>
    <s v="card"/>
    <n v="32.82"/>
    <x v="4"/>
    <x v="2"/>
    <s v="Sep"/>
    <n v="1"/>
    <n v="9"/>
    <x v="182"/>
    <x v="6"/>
    <x v="3"/>
  </r>
  <r>
    <x v="11"/>
    <s v="card"/>
    <n v="23.02"/>
    <x v="2"/>
    <x v="2"/>
    <s v="Sep"/>
    <n v="1"/>
    <n v="9"/>
    <x v="182"/>
    <x v="6"/>
    <x v="3"/>
  </r>
  <r>
    <x v="11"/>
    <s v="card"/>
    <n v="23.02"/>
    <x v="2"/>
    <x v="2"/>
    <s v="Sep"/>
    <n v="1"/>
    <n v="9"/>
    <x v="182"/>
    <x v="6"/>
    <x v="3"/>
  </r>
  <r>
    <x v="12"/>
    <s v="card"/>
    <n v="32.82"/>
    <x v="4"/>
    <x v="0"/>
    <s v="Sep"/>
    <n v="2"/>
    <n v="9"/>
    <x v="183"/>
    <x v="6"/>
    <x v="4"/>
  </r>
  <r>
    <x v="12"/>
    <s v="card"/>
    <n v="32.82"/>
    <x v="7"/>
    <x v="0"/>
    <s v="Sep"/>
    <n v="2"/>
    <n v="9"/>
    <x v="183"/>
    <x v="6"/>
    <x v="4"/>
  </r>
  <r>
    <x v="12"/>
    <s v="card"/>
    <n v="32.82"/>
    <x v="0"/>
    <x v="0"/>
    <s v="Sep"/>
    <n v="2"/>
    <n v="9"/>
    <x v="183"/>
    <x v="6"/>
    <x v="4"/>
  </r>
  <r>
    <x v="10"/>
    <s v="card"/>
    <n v="27.92"/>
    <x v="3"/>
    <x v="0"/>
    <s v="Sep"/>
    <n v="2"/>
    <n v="9"/>
    <x v="183"/>
    <x v="6"/>
    <x v="4"/>
  </r>
  <r>
    <x v="10"/>
    <s v="card"/>
    <n v="32.82"/>
    <x v="7"/>
    <x v="0"/>
    <s v="Sep"/>
    <n v="2"/>
    <n v="9"/>
    <x v="183"/>
    <x v="6"/>
    <x v="4"/>
  </r>
  <r>
    <x v="10"/>
    <s v="card"/>
    <n v="32.82"/>
    <x v="4"/>
    <x v="0"/>
    <s v="Sep"/>
    <n v="2"/>
    <n v="9"/>
    <x v="183"/>
    <x v="6"/>
    <x v="4"/>
  </r>
  <r>
    <x v="10"/>
    <s v="card"/>
    <n v="32.82"/>
    <x v="4"/>
    <x v="0"/>
    <s v="Sep"/>
    <n v="2"/>
    <n v="9"/>
    <x v="183"/>
    <x v="6"/>
    <x v="4"/>
  </r>
  <r>
    <x v="10"/>
    <s v="card"/>
    <n v="27.92"/>
    <x v="3"/>
    <x v="0"/>
    <s v="Sep"/>
    <n v="2"/>
    <n v="9"/>
    <x v="183"/>
    <x v="6"/>
    <x v="4"/>
  </r>
  <r>
    <x v="10"/>
    <s v="card"/>
    <n v="27.92"/>
    <x v="3"/>
    <x v="0"/>
    <s v="Sep"/>
    <n v="2"/>
    <n v="9"/>
    <x v="183"/>
    <x v="6"/>
    <x v="4"/>
  </r>
  <r>
    <x v="10"/>
    <s v="card"/>
    <n v="32.82"/>
    <x v="0"/>
    <x v="0"/>
    <s v="Sep"/>
    <n v="2"/>
    <n v="9"/>
    <x v="183"/>
    <x v="6"/>
    <x v="4"/>
  </r>
  <r>
    <x v="10"/>
    <s v="card"/>
    <n v="32.82"/>
    <x v="4"/>
    <x v="0"/>
    <s v="Sep"/>
    <n v="2"/>
    <n v="9"/>
    <x v="183"/>
    <x v="6"/>
    <x v="4"/>
  </r>
  <r>
    <x v="1"/>
    <s v="card"/>
    <n v="23.02"/>
    <x v="5"/>
    <x v="1"/>
    <s v="Sep"/>
    <n v="2"/>
    <n v="9"/>
    <x v="183"/>
    <x v="6"/>
    <x v="4"/>
  </r>
  <r>
    <x v="8"/>
    <s v="card"/>
    <n v="27.92"/>
    <x v="3"/>
    <x v="1"/>
    <s v="Sep"/>
    <n v="2"/>
    <n v="9"/>
    <x v="183"/>
    <x v="6"/>
    <x v="4"/>
  </r>
  <r>
    <x v="8"/>
    <s v="card"/>
    <n v="27.92"/>
    <x v="3"/>
    <x v="1"/>
    <s v="Sep"/>
    <n v="2"/>
    <n v="9"/>
    <x v="183"/>
    <x v="6"/>
    <x v="4"/>
  </r>
  <r>
    <x v="5"/>
    <s v="card"/>
    <n v="27.92"/>
    <x v="3"/>
    <x v="2"/>
    <s v="Sep"/>
    <n v="2"/>
    <n v="9"/>
    <x v="183"/>
    <x v="6"/>
    <x v="4"/>
  </r>
  <r>
    <x v="6"/>
    <s v="card"/>
    <n v="32.82"/>
    <x v="0"/>
    <x v="2"/>
    <s v="Sep"/>
    <n v="2"/>
    <n v="9"/>
    <x v="183"/>
    <x v="6"/>
    <x v="4"/>
  </r>
  <r>
    <x v="6"/>
    <s v="card"/>
    <n v="27.92"/>
    <x v="3"/>
    <x v="2"/>
    <s v="Sep"/>
    <n v="2"/>
    <n v="9"/>
    <x v="183"/>
    <x v="6"/>
    <x v="4"/>
  </r>
  <r>
    <x v="7"/>
    <s v="card"/>
    <n v="27.92"/>
    <x v="3"/>
    <x v="0"/>
    <s v="Sep"/>
    <n v="3"/>
    <n v="9"/>
    <x v="184"/>
    <x v="6"/>
    <x v="5"/>
  </r>
  <r>
    <x v="7"/>
    <s v="card"/>
    <n v="32.82"/>
    <x v="0"/>
    <x v="0"/>
    <s v="Sep"/>
    <n v="3"/>
    <n v="9"/>
    <x v="184"/>
    <x v="6"/>
    <x v="5"/>
  </r>
  <r>
    <x v="7"/>
    <s v="card"/>
    <n v="23.02"/>
    <x v="2"/>
    <x v="0"/>
    <s v="Sep"/>
    <n v="3"/>
    <n v="9"/>
    <x v="184"/>
    <x v="6"/>
    <x v="5"/>
  </r>
  <r>
    <x v="7"/>
    <s v="card"/>
    <n v="27.92"/>
    <x v="3"/>
    <x v="0"/>
    <s v="Sep"/>
    <n v="3"/>
    <n v="9"/>
    <x v="184"/>
    <x v="6"/>
    <x v="5"/>
  </r>
  <r>
    <x v="1"/>
    <s v="card"/>
    <n v="32.82"/>
    <x v="0"/>
    <x v="1"/>
    <s v="Sep"/>
    <n v="3"/>
    <n v="9"/>
    <x v="184"/>
    <x v="6"/>
    <x v="5"/>
  </r>
  <r>
    <x v="2"/>
    <s v="card"/>
    <n v="32.82"/>
    <x v="0"/>
    <x v="1"/>
    <s v="Sep"/>
    <n v="3"/>
    <n v="9"/>
    <x v="184"/>
    <x v="6"/>
    <x v="5"/>
  </r>
  <r>
    <x v="2"/>
    <s v="card"/>
    <n v="27.92"/>
    <x v="3"/>
    <x v="1"/>
    <s v="Sep"/>
    <n v="3"/>
    <n v="9"/>
    <x v="184"/>
    <x v="6"/>
    <x v="5"/>
  </r>
  <r>
    <x v="5"/>
    <s v="card"/>
    <n v="32.82"/>
    <x v="7"/>
    <x v="2"/>
    <s v="Sep"/>
    <n v="3"/>
    <n v="9"/>
    <x v="184"/>
    <x v="6"/>
    <x v="5"/>
  </r>
  <r>
    <x v="6"/>
    <s v="card"/>
    <n v="27.92"/>
    <x v="3"/>
    <x v="2"/>
    <s v="Sep"/>
    <n v="3"/>
    <n v="9"/>
    <x v="184"/>
    <x v="6"/>
    <x v="5"/>
  </r>
  <r>
    <x v="15"/>
    <s v="card"/>
    <n v="32.82"/>
    <x v="0"/>
    <x v="2"/>
    <s v="Sep"/>
    <n v="3"/>
    <n v="9"/>
    <x v="184"/>
    <x v="6"/>
    <x v="5"/>
  </r>
  <r>
    <x v="10"/>
    <s v="card"/>
    <n v="27.92"/>
    <x v="3"/>
    <x v="0"/>
    <s v="Sep"/>
    <n v="4"/>
    <n v="9"/>
    <x v="185"/>
    <x v="6"/>
    <x v="6"/>
  </r>
  <r>
    <x v="0"/>
    <s v="card"/>
    <n v="27.92"/>
    <x v="3"/>
    <x v="0"/>
    <s v="Sep"/>
    <n v="4"/>
    <n v="9"/>
    <x v="185"/>
    <x v="6"/>
    <x v="6"/>
  </r>
  <r>
    <x v="7"/>
    <s v="card"/>
    <n v="23.02"/>
    <x v="2"/>
    <x v="0"/>
    <s v="Sep"/>
    <n v="4"/>
    <n v="9"/>
    <x v="185"/>
    <x v="6"/>
    <x v="6"/>
  </r>
  <r>
    <x v="8"/>
    <s v="card"/>
    <n v="32.82"/>
    <x v="0"/>
    <x v="1"/>
    <s v="Sep"/>
    <n v="4"/>
    <n v="9"/>
    <x v="185"/>
    <x v="6"/>
    <x v="6"/>
  </r>
  <r>
    <x v="3"/>
    <s v="card"/>
    <n v="32.82"/>
    <x v="0"/>
    <x v="1"/>
    <s v="Sep"/>
    <n v="4"/>
    <n v="9"/>
    <x v="185"/>
    <x v="6"/>
    <x v="6"/>
  </r>
  <r>
    <x v="4"/>
    <s v="card"/>
    <n v="23.02"/>
    <x v="2"/>
    <x v="1"/>
    <s v="Sep"/>
    <n v="4"/>
    <n v="9"/>
    <x v="185"/>
    <x v="6"/>
    <x v="6"/>
  </r>
  <r>
    <x v="4"/>
    <s v="card"/>
    <n v="27.92"/>
    <x v="3"/>
    <x v="1"/>
    <s v="Sep"/>
    <n v="4"/>
    <n v="9"/>
    <x v="185"/>
    <x v="6"/>
    <x v="6"/>
  </r>
  <r>
    <x v="9"/>
    <s v="card"/>
    <n v="32.82"/>
    <x v="7"/>
    <x v="2"/>
    <s v="Sep"/>
    <n v="4"/>
    <n v="9"/>
    <x v="185"/>
    <x v="6"/>
    <x v="6"/>
  </r>
  <r>
    <x v="9"/>
    <s v="card"/>
    <n v="32.82"/>
    <x v="7"/>
    <x v="2"/>
    <s v="Sep"/>
    <n v="4"/>
    <n v="9"/>
    <x v="185"/>
    <x v="6"/>
    <x v="6"/>
  </r>
  <r>
    <x v="11"/>
    <s v="card"/>
    <n v="32.82"/>
    <x v="7"/>
    <x v="2"/>
    <s v="Sep"/>
    <n v="4"/>
    <n v="9"/>
    <x v="185"/>
    <x v="6"/>
    <x v="6"/>
  </r>
  <r>
    <x v="11"/>
    <s v="card"/>
    <n v="23.02"/>
    <x v="2"/>
    <x v="2"/>
    <s v="Sep"/>
    <n v="4"/>
    <n v="9"/>
    <x v="185"/>
    <x v="6"/>
    <x v="6"/>
  </r>
  <r>
    <x v="11"/>
    <s v="card"/>
    <n v="32.82"/>
    <x v="7"/>
    <x v="2"/>
    <s v="Sep"/>
    <n v="4"/>
    <n v="9"/>
    <x v="185"/>
    <x v="6"/>
    <x v="6"/>
  </r>
  <r>
    <x v="15"/>
    <s v="card"/>
    <n v="27.92"/>
    <x v="3"/>
    <x v="2"/>
    <s v="Sep"/>
    <n v="4"/>
    <n v="9"/>
    <x v="185"/>
    <x v="6"/>
    <x v="6"/>
  </r>
  <r>
    <x v="15"/>
    <s v="card"/>
    <n v="27.92"/>
    <x v="3"/>
    <x v="2"/>
    <s v="Sep"/>
    <n v="4"/>
    <n v="9"/>
    <x v="185"/>
    <x v="6"/>
    <x v="6"/>
  </r>
  <r>
    <x v="12"/>
    <s v="card"/>
    <n v="32.82"/>
    <x v="7"/>
    <x v="0"/>
    <s v="Sep"/>
    <n v="5"/>
    <n v="9"/>
    <x v="186"/>
    <x v="6"/>
    <x v="0"/>
  </r>
  <r>
    <x v="12"/>
    <s v="card"/>
    <n v="32.82"/>
    <x v="0"/>
    <x v="0"/>
    <s v="Sep"/>
    <n v="5"/>
    <n v="9"/>
    <x v="186"/>
    <x v="6"/>
    <x v="0"/>
  </r>
  <r>
    <x v="12"/>
    <s v="card"/>
    <n v="23.02"/>
    <x v="2"/>
    <x v="0"/>
    <s v="Sep"/>
    <n v="5"/>
    <n v="9"/>
    <x v="186"/>
    <x v="6"/>
    <x v="0"/>
  </r>
  <r>
    <x v="10"/>
    <s v="card"/>
    <n v="18.12"/>
    <x v="6"/>
    <x v="0"/>
    <s v="Sep"/>
    <n v="5"/>
    <n v="9"/>
    <x v="186"/>
    <x v="6"/>
    <x v="0"/>
  </r>
  <r>
    <x v="10"/>
    <s v="card"/>
    <n v="32.82"/>
    <x v="0"/>
    <x v="0"/>
    <s v="Sep"/>
    <n v="5"/>
    <n v="9"/>
    <x v="186"/>
    <x v="6"/>
    <x v="0"/>
  </r>
  <r>
    <x v="0"/>
    <s v="card"/>
    <n v="32.82"/>
    <x v="1"/>
    <x v="0"/>
    <s v="Sep"/>
    <n v="5"/>
    <n v="9"/>
    <x v="186"/>
    <x v="6"/>
    <x v="0"/>
  </r>
  <r>
    <x v="7"/>
    <s v="card"/>
    <n v="18.12"/>
    <x v="6"/>
    <x v="0"/>
    <s v="Sep"/>
    <n v="5"/>
    <n v="9"/>
    <x v="186"/>
    <x v="6"/>
    <x v="0"/>
  </r>
  <r>
    <x v="7"/>
    <s v="card"/>
    <n v="18.12"/>
    <x v="6"/>
    <x v="0"/>
    <s v="Sep"/>
    <n v="5"/>
    <n v="9"/>
    <x v="186"/>
    <x v="6"/>
    <x v="0"/>
  </r>
  <r>
    <x v="11"/>
    <s v="card"/>
    <n v="32.82"/>
    <x v="0"/>
    <x v="2"/>
    <s v="Sep"/>
    <n v="5"/>
    <n v="9"/>
    <x v="186"/>
    <x v="6"/>
    <x v="0"/>
  </r>
  <r>
    <x v="15"/>
    <s v="card"/>
    <n v="32.82"/>
    <x v="0"/>
    <x v="2"/>
    <s v="Sep"/>
    <n v="5"/>
    <n v="9"/>
    <x v="186"/>
    <x v="6"/>
    <x v="0"/>
  </r>
  <r>
    <x v="12"/>
    <s v="card"/>
    <n v="32.82"/>
    <x v="0"/>
    <x v="0"/>
    <s v="Sep"/>
    <n v="6"/>
    <n v="9"/>
    <x v="187"/>
    <x v="6"/>
    <x v="1"/>
  </r>
  <r>
    <x v="10"/>
    <s v="card"/>
    <n v="23.02"/>
    <x v="5"/>
    <x v="0"/>
    <s v="Sep"/>
    <n v="6"/>
    <n v="9"/>
    <x v="187"/>
    <x v="6"/>
    <x v="1"/>
  </r>
  <r>
    <x v="10"/>
    <s v="card"/>
    <n v="23.02"/>
    <x v="5"/>
    <x v="0"/>
    <s v="Sep"/>
    <n v="6"/>
    <n v="9"/>
    <x v="187"/>
    <x v="6"/>
    <x v="1"/>
  </r>
  <r>
    <x v="10"/>
    <s v="card"/>
    <n v="23.02"/>
    <x v="5"/>
    <x v="0"/>
    <s v="Sep"/>
    <n v="6"/>
    <n v="9"/>
    <x v="187"/>
    <x v="6"/>
    <x v="1"/>
  </r>
  <r>
    <x v="10"/>
    <s v="card"/>
    <n v="27.92"/>
    <x v="3"/>
    <x v="0"/>
    <s v="Sep"/>
    <n v="6"/>
    <n v="9"/>
    <x v="187"/>
    <x v="6"/>
    <x v="1"/>
  </r>
  <r>
    <x v="10"/>
    <s v="card"/>
    <n v="27.92"/>
    <x v="3"/>
    <x v="0"/>
    <s v="Sep"/>
    <n v="6"/>
    <n v="9"/>
    <x v="187"/>
    <x v="6"/>
    <x v="1"/>
  </r>
  <r>
    <x v="0"/>
    <s v="card"/>
    <n v="23.02"/>
    <x v="5"/>
    <x v="0"/>
    <s v="Sep"/>
    <n v="6"/>
    <n v="9"/>
    <x v="187"/>
    <x v="6"/>
    <x v="1"/>
  </r>
  <r>
    <x v="0"/>
    <s v="card"/>
    <n v="23.02"/>
    <x v="2"/>
    <x v="0"/>
    <s v="Sep"/>
    <n v="6"/>
    <n v="9"/>
    <x v="187"/>
    <x v="6"/>
    <x v="1"/>
  </r>
  <r>
    <x v="0"/>
    <s v="card"/>
    <n v="18.12"/>
    <x v="6"/>
    <x v="0"/>
    <s v="Sep"/>
    <n v="6"/>
    <n v="9"/>
    <x v="187"/>
    <x v="6"/>
    <x v="1"/>
  </r>
  <r>
    <x v="0"/>
    <s v="card"/>
    <n v="18.12"/>
    <x v="6"/>
    <x v="0"/>
    <s v="Sep"/>
    <n v="6"/>
    <n v="9"/>
    <x v="187"/>
    <x v="6"/>
    <x v="1"/>
  </r>
  <r>
    <x v="0"/>
    <s v="card"/>
    <n v="32.82"/>
    <x v="0"/>
    <x v="0"/>
    <s v="Sep"/>
    <n v="6"/>
    <n v="9"/>
    <x v="187"/>
    <x v="6"/>
    <x v="1"/>
  </r>
  <r>
    <x v="7"/>
    <s v="card"/>
    <n v="27.92"/>
    <x v="3"/>
    <x v="0"/>
    <s v="Sep"/>
    <n v="6"/>
    <n v="9"/>
    <x v="187"/>
    <x v="6"/>
    <x v="1"/>
  </r>
  <r>
    <x v="7"/>
    <s v="card"/>
    <n v="23.02"/>
    <x v="2"/>
    <x v="0"/>
    <s v="Sep"/>
    <n v="6"/>
    <n v="9"/>
    <x v="187"/>
    <x v="6"/>
    <x v="1"/>
  </r>
  <r>
    <x v="7"/>
    <s v="card"/>
    <n v="18.12"/>
    <x v="6"/>
    <x v="0"/>
    <s v="Sep"/>
    <n v="6"/>
    <n v="9"/>
    <x v="187"/>
    <x v="6"/>
    <x v="1"/>
  </r>
  <r>
    <x v="3"/>
    <s v="card"/>
    <n v="32.82"/>
    <x v="0"/>
    <x v="1"/>
    <s v="Sep"/>
    <n v="6"/>
    <n v="9"/>
    <x v="187"/>
    <x v="6"/>
    <x v="1"/>
  </r>
  <r>
    <x v="4"/>
    <s v="card"/>
    <n v="23.02"/>
    <x v="2"/>
    <x v="1"/>
    <s v="Sep"/>
    <n v="6"/>
    <n v="9"/>
    <x v="187"/>
    <x v="6"/>
    <x v="1"/>
  </r>
  <r>
    <x v="4"/>
    <s v="card"/>
    <n v="18.12"/>
    <x v="6"/>
    <x v="1"/>
    <s v="Sep"/>
    <n v="6"/>
    <n v="9"/>
    <x v="187"/>
    <x v="6"/>
    <x v="1"/>
  </r>
  <r>
    <x v="6"/>
    <s v="card"/>
    <n v="32.82"/>
    <x v="4"/>
    <x v="2"/>
    <s v="Sep"/>
    <n v="6"/>
    <n v="9"/>
    <x v="187"/>
    <x v="6"/>
    <x v="1"/>
  </r>
  <r>
    <x v="6"/>
    <s v="card"/>
    <n v="32.82"/>
    <x v="0"/>
    <x v="2"/>
    <s v="Sep"/>
    <n v="6"/>
    <n v="9"/>
    <x v="187"/>
    <x v="6"/>
    <x v="1"/>
  </r>
  <r>
    <x v="6"/>
    <s v="card"/>
    <n v="32.82"/>
    <x v="0"/>
    <x v="2"/>
    <s v="Sep"/>
    <n v="6"/>
    <n v="9"/>
    <x v="187"/>
    <x v="6"/>
    <x v="1"/>
  </r>
  <r>
    <x v="11"/>
    <s v="card"/>
    <n v="32.82"/>
    <x v="0"/>
    <x v="2"/>
    <s v="Sep"/>
    <n v="6"/>
    <n v="9"/>
    <x v="187"/>
    <x v="6"/>
    <x v="1"/>
  </r>
  <r>
    <x v="11"/>
    <s v="card"/>
    <n v="32.82"/>
    <x v="0"/>
    <x v="2"/>
    <s v="Sep"/>
    <n v="6"/>
    <n v="9"/>
    <x v="187"/>
    <x v="6"/>
    <x v="1"/>
  </r>
  <r>
    <x v="12"/>
    <s v="card"/>
    <n v="23.02"/>
    <x v="5"/>
    <x v="0"/>
    <s v="Sep"/>
    <n v="7"/>
    <n v="9"/>
    <x v="188"/>
    <x v="6"/>
    <x v="2"/>
  </r>
  <r>
    <x v="10"/>
    <s v="card"/>
    <n v="23.02"/>
    <x v="5"/>
    <x v="0"/>
    <s v="Sep"/>
    <n v="7"/>
    <n v="9"/>
    <x v="188"/>
    <x v="6"/>
    <x v="2"/>
  </r>
  <r>
    <x v="10"/>
    <s v="card"/>
    <n v="23.02"/>
    <x v="5"/>
    <x v="0"/>
    <s v="Sep"/>
    <n v="7"/>
    <n v="9"/>
    <x v="188"/>
    <x v="6"/>
    <x v="2"/>
  </r>
  <r>
    <x v="0"/>
    <s v="card"/>
    <n v="23.02"/>
    <x v="5"/>
    <x v="0"/>
    <s v="Sep"/>
    <n v="7"/>
    <n v="9"/>
    <x v="188"/>
    <x v="6"/>
    <x v="2"/>
  </r>
  <r>
    <x v="1"/>
    <s v="card"/>
    <n v="23.02"/>
    <x v="5"/>
    <x v="1"/>
    <s v="Sep"/>
    <n v="7"/>
    <n v="9"/>
    <x v="188"/>
    <x v="6"/>
    <x v="2"/>
  </r>
  <r>
    <x v="11"/>
    <s v="card"/>
    <n v="23.02"/>
    <x v="2"/>
    <x v="2"/>
    <s v="Sep"/>
    <n v="7"/>
    <n v="9"/>
    <x v="188"/>
    <x v="6"/>
    <x v="2"/>
  </r>
  <r>
    <x v="14"/>
    <s v="card"/>
    <n v="32.82"/>
    <x v="0"/>
    <x v="0"/>
    <s v="Sep"/>
    <n v="1"/>
    <n v="9"/>
    <x v="189"/>
    <x v="6"/>
    <x v="3"/>
  </r>
  <r>
    <x v="14"/>
    <s v="card"/>
    <n v="32.82"/>
    <x v="7"/>
    <x v="0"/>
    <s v="Sep"/>
    <n v="1"/>
    <n v="9"/>
    <x v="189"/>
    <x v="6"/>
    <x v="3"/>
  </r>
  <r>
    <x v="14"/>
    <s v="card"/>
    <n v="27.92"/>
    <x v="3"/>
    <x v="0"/>
    <s v="Sep"/>
    <n v="1"/>
    <n v="9"/>
    <x v="189"/>
    <x v="6"/>
    <x v="3"/>
  </r>
  <r>
    <x v="14"/>
    <s v="card"/>
    <n v="32.82"/>
    <x v="0"/>
    <x v="0"/>
    <s v="Sep"/>
    <n v="1"/>
    <n v="9"/>
    <x v="189"/>
    <x v="6"/>
    <x v="3"/>
  </r>
  <r>
    <x v="10"/>
    <s v="card"/>
    <n v="32.82"/>
    <x v="0"/>
    <x v="0"/>
    <s v="Sep"/>
    <n v="1"/>
    <n v="9"/>
    <x v="189"/>
    <x v="6"/>
    <x v="3"/>
  </r>
  <r>
    <x v="10"/>
    <s v="card"/>
    <n v="32.82"/>
    <x v="1"/>
    <x v="0"/>
    <s v="Sep"/>
    <n v="1"/>
    <n v="9"/>
    <x v="189"/>
    <x v="6"/>
    <x v="3"/>
  </r>
  <r>
    <x v="10"/>
    <s v="card"/>
    <n v="32.82"/>
    <x v="0"/>
    <x v="0"/>
    <s v="Sep"/>
    <n v="1"/>
    <n v="9"/>
    <x v="189"/>
    <x v="6"/>
    <x v="3"/>
  </r>
  <r>
    <x v="7"/>
    <s v="card"/>
    <n v="27.92"/>
    <x v="3"/>
    <x v="0"/>
    <s v="Sep"/>
    <n v="1"/>
    <n v="9"/>
    <x v="189"/>
    <x v="6"/>
    <x v="3"/>
  </r>
  <r>
    <x v="7"/>
    <s v="card"/>
    <n v="27.92"/>
    <x v="3"/>
    <x v="0"/>
    <s v="Sep"/>
    <n v="1"/>
    <n v="9"/>
    <x v="189"/>
    <x v="6"/>
    <x v="3"/>
  </r>
  <r>
    <x v="7"/>
    <s v="card"/>
    <n v="32.82"/>
    <x v="0"/>
    <x v="0"/>
    <s v="Sep"/>
    <n v="1"/>
    <n v="9"/>
    <x v="189"/>
    <x v="6"/>
    <x v="3"/>
  </r>
  <r>
    <x v="1"/>
    <s v="card"/>
    <n v="18.12"/>
    <x v="6"/>
    <x v="1"/>
    <s v="Sep"/>
    <n v="1"/>
    <n v="9"/>
    <x v="189"/>
    <x v="6"/>
    <x v="3"/>
  </r>
  <r>
    <x v="3"/>
    <s v="card"/>
    <n v="32.82"/>
    <x v="0"/>
    <x v="1"/>
    <s v="Sep"/>
    <n v="1"/>
    <n v="9"/>
    <x v="189"/>
    <x v="6"/>
    <x v="3"/>
  </r>
  <r>
    <x v="3"/>
    <s v="card"/>
    <n v="23.02"/>
    <x v="2"/>
    <x v="1"/>
    <s v="Sep"/>
    <n v="1"/>
    <n v="9"/>
    <x v="189"/>
    <x v="6"/>
    <x v="3"/>
  </r>
  <r>
    <x v="9"/>
    <s v="card"/>
    <n v="32.82"/>
    <x v="0"/>
    <x v="2"/>
    <s v="Sep"/>
    <n v="1"/>
    <n v="9"/>
    <x v="189"/>
    <x v="6"/>
    <x v="3"/>
  </r>
  <r>
    <x v="5"/>
    <s v="card"/>
    <n v="32.82"/>
    <x v="0"/>
    <x v="2"/>
    <s v="Sep"/>
    <n v="1"/>
    <n v="9"/>
    <x v="189"/>
    <x v="6"/>
    <x v="3"/>
  </r>
  <r>
    <x v="11"/>
    <s v="card"/>
    <n v="32.82"/>
    <x v="7"/>
    <x v="2"/>
    <s v="Sep"/>
    <n v="1"/>
    <n v="9"/>
    <x v="189"/>
    <x v="6"/>
    <x v="3"/>
  </r>
  <r>
    <x v="11"/>
    <s v="card"/>
    <n v="32.82"/>
    <x v="0"/>
    <x v="2"/>
    <s v="Sep"/>
    <n v="1"/>
    <n v="9"/>
    <x v="189"/>
    <x v="6"/>
    <x v="3"/>
  </r>
  <r>
    <x v="12"/>
    <s v="card"/>
    <n v="32.82"/>
    <x v="1"/>
    <x v="0"/>
    <s v="Sep"/>
    <n v="2"/>
    <n v="9"/>
    <x v="190"/>
    <x v="6"/>
    <x v="4"/>
  </r>
  <r>
    <x v="10"/>
    <s v="card"/>
    <n v="32.82"/>
    <x v="7"/>
    <x v="0"/>
    <s v="Sep"/>
    <n v="2"/>
    <n v="9"/>
    <x v="190"/>
    <x v="6"/>
    <x v="4"/>
  </r>
  <r>
    <x v="3"/>
    <s v="card"/>
    <n v="23.02"/>
    <x v="5"/>
    <x v="1"/>
    <s v="Sep"/>
    <n v="2"/>
    <n v="9"/>
    <x v="190"/>
    <x v="6"/>
    <x v="4"/>
  </r>
  <r>
    <x v="3"/>
    <s v="card"/>
    <n v="23.02"/>
    <x v="5"/>
    <x v="1"/>
    <s v="Sep"/>
    <n v="2"/>
    <n v="9"/>
    <x v="190"/>
    <x v="6"/>
    <x v="4"/>
  </r>
  <r>
    <x v="5"/>
    <s v="card"/>
    <n v="32.82"/>
    <x v="7"/>
    <x v="2"/>
    <s v="Sep"/>
    <n v="2"/>
    <n v="9"/>
    <x v="190"/>
    <x v="6"/>
    <x v="4"/>
  </r>
  <r>
    <x v="5"/>
    <s v="card"/>
    <n v="27.92"/>
    <x v="3"/>
    <x v="2"/>
    <s v="Sep"/>
    <n v="2"/>
    <n v="9"/>
    <x v="190"/>
    <x v="6"/>
    <x v="4"/>
  </r>
  <r>
    <x v="6"/>
    <s v="card"/>
    <n v="32.82"/>
    <x v="0"/>
    <x v="2"/>
    <s v="Sep"/>
    <n v="2"/>
    <n v="9"/>
    <x v="190"/>
    <x v="6"/>
    <x v="4"/>
  </r>
  <r>
    <x v="6"/>
    <s v="card"/>
    <n v="32.82"/>
    <x v="0"/>
    <x v="2"/>
    <s v="Sep"/>
    <n v="2"/>
    <n v="9"/>
    <x v="190"/>
    <x v="6"/>
    <x v="4"/>
  </r>
  <r>
    <x v="15"/>
    <s v="card"/>
    <n v="27.92"/>
    <x v="3"/>
    <x v="2"/>
    <s v="Sep"/>
    <n v="2"/>
    <n v="9"/>
    <x v="190"/>
    <x v="6"/>
    <x v="4"/>
  </r>
  <r>
    <x v="15"/>
    <s v="card"/>
    <n v="23.02"/>
    <x v="2"/>
    <x v="2"/>
    <s v="Sep"/>
    <n v="2"/>
    <n v="9"/>
    <x v="190"/>
    <x v="6"/>
    <x v="4"/>
  </r>
  <r>
    <x v="12"/>
    <s v="card"/>
    <n v="32.82"/>
    <x v="0"/>
    <x v="0"/>
    <s v="Sep"/>
    <n v="3"/>
    <n v="9"/>
    <x v="191"/>
    <x v="6"/>
    <x v="5"/>
  </r>
  <r>
    <x v="10"/>
    <s v="card"/>
    <n v="27.92"/>
    <x v="3"/>
    <x v="0"/>
    <s v="Sep"/>
    <n v="3"/>
    <n v="9"/>
    <x v="191"/>
    <x v="6"/>
    <x v="5"/>
  </r>
  <r>
    <x v="0"/>
    <s v="card"/>
    <n v="32.82"/>
    <x v="0"/>
    <x v="0"/>
    <s v="Sep"/>
    <n v="3"/>
    <n v="9"/>
    <x v="191"/>
    <x v="6"/>
    <x v="5"/>
  </r>
  <r>
    <x v="6"/>
    <s v="card"/>
    <n v="32.82"/>
    <x v="7"/>
    <x v="2"/>
    <s v="Sep"/>
    <n v="3"/>
    <n v="9"/>
    <x v="191"/>
    <x v="6"/>
    <x v="5"/>
  </r>
  <r>
    <x v="11"/>
    <s v="card"/>
    <n v="27.92"/>
    <x v="3"/>
    <x v="2"/>
    <s v="Sep"/>
    <n v="3"/>
    <n v="9"/>
    <x v="191"/>
    <x v="6"/>
    <x v="5"/>
  </r>
  <r>
    <x v="11"/>
    <s v="card"/>
    <n v="32.82"/>
    <x v="0"/>
    <x v="2"/>
    <s v="Sep"/>
    <n v="3"/>
    <n v="9"/>
    <x v="191"/>
    <x v="6"/>
    <x v="5"/>
  </r>
  <r>
    <x v="11"/>
    <s v="card"/>
    <n v="32.82"/>
    <x v="0"/>
    <x v="2"/>
    <s v="Sep"/>
    <n v="3"/>
    <n v="9"/>
    <x v="191"/>
    <x v="6"/>
    <x v="5"/>
  </r>
  <r>
    <x v="15"/>
    <s v="card"/>
    <n v="23.02"/>
    <x v="5"/>
    <x v="2"/>
    <s v="Sep"/>
    <n v="3"/>
    <n v="9"/>
    <x v="191"/>
    <x v="6"/>
    <x v="5"/>
  </r>
  <r>
    <x v="0"/>
    <s v="card"/>
    <n v="18.12"/>
    <x v="6"/>
    <x v="0"/>
    <s v="Sep"/>
    <n v="4"/>
    <n v="9"/>
    <x v="192"/>
    <x v="6"/>
    <x v="6"/>
  </r>
  <r>
    <x v="0"/>
    <s v="card"/>
    <n v="27.92"/>
    <x v="3"/>
    <x v="0"/>
    <s v="Sep"/>
    <n v="4"/>
    <n v="9"/>
    <x v="192"/>
    <x v="6"/>
    <x v="6"/>
  </r>
  <r>
    <x v="7"/>
    <s v="card"/>
    <n v="27.92"/>
    <x v="3"/>
    <x v="0"/>
    <s v="Sep"/>
    <n v="4"/>
    <n v="9"/>
    <x v="192"/>
    <x v="6"/>
    <x v="6"/>
  </r>
  <r>
    <x v="1"/>
    <s v="card"/>
    <n v="32.82"/>
    <x v="7"/>
    <x v="1"/>
    <s v="Sep"/>
    <n v="4"/>
    <n v="9"/>
    <x v="192"/>
    <x v="6"/>
    <x v="6"/>
  </r>
  <r>
    <x v="1"/>
    <s v="card"/>
    <n v="23.02"/>
    <x v="5"/>
    <x v="1"/>
    <s v="Sep"/>
    <n v="4"/>
    <n v="9"/>
    <x v="192"/>
    <x v="6"/>
    <x v="6"/>
  </r>
  <r>
    <x v="1"/>
    <s v="card"/>
    <n v="23.02"/>
    <x v="5"/>
    <x v="1"/>
    <s v="Sep"/>
    <n v="4"/>
    <n v="9"/>
    <x v="192"/>
    <x v="6"/>
    <x v="6"/>
  </r>
  <r>
    <x v="1"/>
    <s v="card"/>
    <n v="23.02"/>
    <x v="5"/>
    <x v="1"/>
    <s v="Sep"/>
    <n v="4"/>
    <n v="9"/>
    <x v="192"/>
    <x v="6"/>
    <x v="6"/>
  </r>
  <r>
    <x v="1"/>
    <s v="card"/>
    <n v="23.02"/>
    <x v="5"/>
    <x v="1"/>
    <s v="Sep"/>
    <n v="4"/>
    <n v="9"/>
    <x v="192"/>
    <x v="6"/>
    <x v="6"/>
  </r>
  <r>
    <x v="9"/>
    <s v="card"/>
    <n v="32.82"/>
    <x v="0"/>
    <x v="2"/>
    <s v="Sep"/>
    <n v="4"/>
    <n v="9"/>
    <x v="192"/>
    <x v="6"/>
    <x v="6"/>
  </r>
  <r>
    <x v="15"/>
    <s v="card"/>
    <n v="23.02"/>
    <x v="2"/>
    <x v="2"/>
    <s v="Sep"/>
    <n v="4"/>
    <n v="9"/>
    <x v="192"/>
    <x v="6"/>
    <x v="6"/>
  </r>
  <r>
    <x v="15"/>
    <s v="card"/>
    <n v="32.82"/>
    <x v="7"/>
    <x v="2"/>
    <s v="Sep"/>
    <n v="4"/>
    <n v="9"/>
    <x v="192"/>
    <x v="6"/>
    <x v="6"/>
  </r>
  <r>
    <x v="15"/>
    <s v="card"/>
    <n v="23.02"/>
    <x v="5"/>
    <x v="2"/>
    <s v="Sep"/>
    <n v="4"/>
    <n v="9"/>
    <x v="192"/>
    <x v="6"/>
    <x v="6"/>
  </r>
  <r>
    <x v="14"/>
    <s v="card"/>
    <n v="32.82"/>
    <x v="0"/>
    <x v="0"/>
    <s v="Sep"/>
    <n v="5"/>
    <n v="9"/>
    <x v="193"/>
    <x v="6"/>
    <x v="0"/>
  </r>
  <r>
    <x v="12"/>
    <s v="card"/>
    <n v="32.82"/>
    <x v="0"/>
    <x v="0"/>
    <s v="Sep"/>
    <n v="5"/>
    <n v="9"/>
    <x v="193"/>
    <x v="6"/>
    <x v="0"/>
  </r>
  <r>
    <x v="12"/>
    <s v="card"/>
    <n v="32.82"/>
    <x v="0"/>
    <x v="0"/>
    <s v="Sep"/>
    <n v="5"/>
    <n v="9"/>
    <x v="193"/>
    <x v="6"/>
    <x v="0"/>
  </r>
  <r>
    <x v="10"/>
    <s v="card"/>
    <n v="32.82"/>
    <x v="0"/>
    <x v="0"/>
    <s v="Sep"/>
    <n v="5"/>
    <n v="9"/>
    <x v="193"/>
    <x v="6"/>
    <x v="0"/>
  </r>
  <r>
    <x v="3"/>
    <s v="card"/>
    <n v="27.92"/>
    <x v="3"/>
    <x v="1"/>
    <s v="Sep"/>
    <n v="5"/>
    <n v="9"/>
    <x v="193"/>
    <x v="6"/>
    <x v="0"/>
  </r>
  <r>
    <x v="3"/>
    <s v="card"/>
    <n v="27.92"/>
    <x v="3"/>
    <x v="1"/>
    <s v="Sep"/>
    <n v="5"/>
    <n v="9"/>
    <x v="193"/>
    <x v="6"/>
    <x v="0"/>
  </r>
  <r>
    <x v="4"/>
    <s v="card"/>
    <n v="32.82"/>
    <x v="7"/>
    <x v="1"/>
    <s v="Sep"/>
    <n v="6"/>
    <n v="9"/>
    <x v="194"/>
    <x v="6"/>
    <x v="1"/>
  </r>
  <r>
    <x v="4"/>
    <s v="card"/>
    <n v="32.82"/>
    <x v="7"/>
    <x v="1"/>
    <s v="Sep"/>
    <n v="6"/>
    <n v="9"/>
    <x v="194"/>
    <x v="6"/>
    <x v="1"/>
  </r>
  <r>
    <x v="12"/>
    <s v="card"/>
    <n v="18.12"/>
    <x v="6"/>
    <x v="0"/>
    <s v="Sep"/>
    <n v="7"/>
    <n v="9"/>
    <x v="195"/>
    <x v="6"/>
    <x v="2"/>
  </r>
  <r>
    <x v="10"/>
    <s v="card"/>
    <n v="27.92"/>
    <x v="3"/>
    <x v="0"/>
    <s v="Sep"/>
    <n v="7"/>
    <n v="9"/>
    <x v="195"/>
    <x v="6"/>
    <x v="2"/>
  </r>
  <r>
    <x v="2"/>
    <s v="card"/>
    <n v="23.02"/>
    <x v="2"/>
    <x v="1"/>
    <s v="Sep"/>
    <n v="7"/>
    <n v="9"/>
    <x v="195"/>
    <x v="6"/>
    <x v="2"/>
  </r>
  <r>
    <x v="8"/>
    <s v="card"/>
    <n v="23.02"/>
    <x v="5"/>
    <x v="1"/>
    <s v="Sep"/>
    <n v="7"/>
    <n v="9"/>
    <x v="195"/>
    <x v="6"/>
    <x v="2"/>
  </r>
  <r>
    <x v="8"/>
    <s v="card"/>
    <n v="23.02"/>
    <x v="5"/>
    <x v="1"/>
    <s v="Sep"/>
    <n v="7"/>
    <n v="9"/>
    <x v="195"/>
    <x v="6"/>
    <x v="2"/>
  </r>
  <r>
    <x v="8"/>
    <s v="card"/>
    <n v="32.82"/>
    <x v="7"/>
    <x v="1"/>
    <s v="Sep"/>
    <n v="7"/>
    <n v="9"/>
    <x v="195"/>
    <x v="6"/>
    <x v="2"/>
  </r>
  <r>
    <x v="2"/>
    <s v="card"/>
    <n v="32.82"/>
    <x v="0"/>
    <x v="1"/>
    <s v="Sep"/>
    <n v="1"/>
    <n v="9"/>
    <x v="196"/>
    <x v="6"/>
    <x v="3"/>
  </r>
  <r>
    <x v="2"/>
    <s v="card"/>
    <n v="27.92"/>
    <x v="3"/>
    <x v="1"/>
    <s v="Sep"/>
    <n v="1"/>
    <n v="9"/>
    <x v="196"/>
    <x v="6"/>
    <x v="3"/>
  </r>
  <r>
    <x v="3"/>
    <s v="card"/>
    <n v="32.82"/>
    <x v="0"/>
    <x v="1"/>
    <s v="Sep"/>
    <n v="1"/>
    <n v="9"/>
    <x v="196"/>
    <x v="6"/>
    <x v="3"/>
  </r>
  <r>
    <x v="9"/>
    <s v="card"/>
    <n v="27.92"/>
    <x v="3"/>
    <x v="2"/>
    <s v="Sep"/>
    <n v="1"/>
    <n v="9"/>
    <x v="196"/>
    <x v="6"/>
    <x v="3"/>
  </r>
  <r>
    <x v="9"/>
    <s v="card"/>
    <n v="32.82"/>
    <x v="0"/>
    <x v="2"/>
    <s v="Sep"/>
    <n v="1"/>
    <n v="9"/>
    <x v="196"/>
    <x v="6"/>
    <x v="3"/>
  </r>
  <r>
    <x v="5"/>
    <s v="card"/>
    <n v="32.82"/>
    <x v="0"/>
    <x v="2"/>
    <s v="Sep"/>
    <n v="1"/>
    <n v="9"/>
    <x v="196"/>
    <x v="6"/>
    <x v="3"/>
  </r>
  <r>
    <x v="5"/>
    <s v="card"/>
    <n v="32.82"/>
    <x v="0"/>
    <x v="2"/>
    <s v="Sep"/>
    <n v="1"/>
    <n v="9"/>
    <x v="196"/>
    <x v="6"/>
    <x v="3"/>
  </r>
  <r>
    <x v="15"/>
    <s v="card"/>
    <n v="27.92"/>
    <x v="3"/>
    <x v="2"/>
    <s v="Sep"/>
    <n v="1"/>
    <n v="9"/>
    <x v="196"/>
    <x v="6"/>
    <x v="3"/>
  </r>
  <r>
    <x v="15"/>
    <s v="card"/>
    <n v="32.82"/>
    <x v="0"/>
    <x v="2"/>
    <s v="Sep"/>
    <n v="1"/>
    <n v="9"/>
    <x v="196"/>
    <x v="6"/>
    <x v="3"/>
  </r>
  <r>
    <x v="15"/>
    <s v="card"/>
    <n v="27.92"/>
    <x v="3"/>
    <x v="2"/>
    <s v="Sep"/>
    <n v="1"/>
    <n v="9"/>
    <x v="196"/>
    <x v="6"/>
    <x v="3"/>
  </r>
  <r>
    <x v="15"/>
    <s v="card"/>
    <n v="27.92"/>
    <x v="3"/>
    <x v="2"/>
    <s v="Sep"/>
    <n v="1"/>
    <n v="9"/>
    <x v="196"/>
    <x v="6"/>
    <x v="3"/>
  </r>
  <r>
    <x v="14"/>
    <s v="card"/>
    <n v="23.02"/>
    <x v="5"/>
    <x v="0"/>
    <s v="Sep"/>
    <n v="2"/>
    <n v="9"/>
    <x v="197"/>
    <x v="6"/>
    <x v="4"/>
  </r>
  <r>
    <x v="12"/>
    <s v="card"/>
    <n v="32.82"/>
    <x v="0"/>
    <x v="0"/>
    <s v="Sep"/>
    <n v="2"/>
    <n v="9"/>
    <x v="197"/>
    <x v="6"/>
    <x v="4"/>
  </r>
  <r>
    <x v="12"/>
    <s v="card"/>
    <n v="27.92"/>
    <x v="3"/>
    <x v="0"/>
    <s v="Sep"/>
    <n v="2"/>
    <n v="9"/>
    <x v="197"/>
    <x v="6"/>
    <x v="4"/>
  </r>
  <r>
    <x v="12"/>
    <s v="card"/>
    <n v="23.02"/>
    <x v="5"/>
    <x v="0"/>
    <s v="Sep"/>
    <n v="2"/>
    <n v="9"/>
    <x v="197"/>
    <x v="6"/>
    <x v="4"/>
  </r>
  <r>
    <x v="10"/>
    <s v="card"/>
    <n v="32.82"/>
    <x v="7"/>
    <x v="0"/>
    <s v="Sep"/>
    <n v="2"/>
    <n v="9"/>
    <x v="197"/>
    <x v="6"/>
    <x v="4"/>
  </r>
  <r>
    <x v="10"/>
    <s v="card"/>
    <n v="27.92"/>
    <x v="3"/>
    <x v="0"/>
    <s v="Sep"/>
    <n v="2"/>
    <n v="9"/>
    <x v="197"/>
    <x v="6"/>
    <x v="4"/>
  </r>
  <r>
    <x v="10"/>
    <s v="card"/>
    <n v="27.92"/>
    <x v="3"/>
    <x v="0"/>
    <s v="Sep"/>
    <n v="2"/>
    <n v="9"/>
    <x v="197"/>
    <x v="6"/>
    <x v="4"/>
  </r>
  <r>
    <x v="1"/>
    <s v="card"/>
    <n v="18.12"/>
    <x v="6"/>
    <x v="1"/>
    <s v="Sep"/>
    <n v="2"/>
    <n v="9"/>
    <x v="197"/>
    <x v="6"/>
    <x v="4"/>
  </r>
  <r>
    <x v="1"/>
    <s v="card"/>
    <n v="27.92"/>
    <x v="3"/>
    <x v="1"/>
    <s v="Sep"/>
    <n v="2"/>
    <n v="9"/>
    <x v="197"/>
    <x v="6"/>
    <x v="4"/>
  </r>
  <r>
    <x v="1"/>
    <s v="card"/>
    <n v="32.82"/>
    <x v="0"/>
    <x v="1"/>
    <s v="Sep"/>
    <n v="2"/>
    <n v="9"/>
    <x v="197"/>
    <x v="6"/>
    <x v="4"/>
  </r>
  <r>
    <x v="2"/>
    <s v="card"/>
    <n v="27.92"/>
    <x v="3"/>
    <x v="1"/>
    <s v="Sep"/>
    <n v="2"/>
    <n v="9"/>
    <x v="197"/>
    <x v="6"/>
    <x v="4"/>
  </r>
  <r>
    <x v="2"/>
    <s v="card"/>
    <n v="23.02"/>
    <x v="5"/>
    <x v="1"/>
    <s v="Sep"/>
    <n v="2"/>
    <n v="9"/>
    <x v="197"/>
    <x v="6"/>
    <x v="4"/>
  </r>
  <r>
    <x v="4"/>
    <s v="card"/>
    <n v="32.82"/>
    <x v="7"/>
    <x v="1"/>
    <s v="Sep"/>
    <n v="2"/>
    <n v="9"/>
    <x v="197"/>
    <x v="6"/>
    <x v="4"/>
  </r>
  <r>
    <x v="4"/>
    <s v="card"/>
    <n v="32.82"/>
    <x v="0"/>
    <x v="1"/>
    <s v="Sep"/>
    <n v="2"/>
    <n v="9"/>
    <x v="197"/>
    <x v="6"/>
    <x v="4"/>
  </r>
  <r>
    <x v="5"/>
    <s v="card"/>
    <n v="32.82"/>
    <x v="1"/>
    <x v="2"/>
    <s v="Sep"/>
    <n v="2"/>
    <n v="9"/>
    <x v="197"/>
    <x v="6"/>
    <x v="4"/>
  </r>
  <r>
    <x v="6"/>
    <s v="card"/>
    <n v="27.92"/>
    <x v="3"/>
    <x v="2"/>
    <s v="Sep"/>
    <n v="2"/>
    <n v="9"/>
    <x v="197"/>
    <x v="6"/>
    <x v="4"/>
  </r>
  <r>
    <x v="6"/>
    <s v="card"/>
    <n v="27.92"/>
    <x v="3"/>
    <x v="2"/>
    <s v="Sep"/>
    <n v="2"/>
    <n v="9"/>
    <x v="197"/>
    <x v="6"/>
    <x v="4"/>
  </r>
  <r>
    <x v="6"/>
    <s v="card"/>
    <n v="32.82"/>
    <x v="0"/>
    <x v="2"/>
    <s v="Sep"/>
    <n v="2"/>
    <n v="9"/>
    <x v="197"/>
    <x v="6"/>
    <x v="4"/>
  </r>
  <r>
    <x v="6"/>
    <s v="card"/>
    <n v="27.92"/>
    <x v="3"/>
    <x v="2"/>
    <s v="Sep"/>
    <n v="2"/>
    <n v="9"/>
    <x v="197"/>
    <x v="6"/>
    <x v="4"/>
  </r>
  <r>
    <x v="6"/>
    <s v="card"/>
    <n v="27.92"/>
    <x v="3"/>
    <x v="2"/>
    <s v="Sep"/>
    <n v="2"/>
    <n v="9"/>
    <x v="197"/>
    <x v="6"/>
    <x v="4"/>
  </r>
  <r>
    <x v="6"/>
    <s v="card"/>
    <n v="27.92"/>
    <x v="3"/>
    <x v="2"/>
    <s v="Sep"/>
    <n v="2"/>
    <n v="9"/>
    <x v="197"/>
    <x v="6"/>
    <x v="4"/>
  </r>
  <r>
    <x v="13"/>
    <s v="card"/>
    <n v="32.82"/>
    <x v="1"/>
    <x v="2"/>
    <s v="Sep"/>
    <n v="2"/>
    <n v="9"/>
    <x v="197"/>
    <x v="6"/>
    <x v="4"/>
  </r>
  <r>
    <x v="13"/>
    <s v="card"/>
    <n v="32.82"/>
    <x v="1"/>
    <x v="2"/>
    <s v="Sep"/>
    <n v="2"/>
    <n v="9"/>
    <x v="197"/>
    <x v="6"/>
    <x v="4"/>
  </r>
  <r>
    <x v="8"/>
    <s v="card"/>
    <n v="32.82"/>
    <x v="0"/>
    <x v="1"/>
    <s v="Sep"/>
    <n v="3"/>
    <n v="9"/>
    <x v="198"/>
    <x v="6"/>
    <x v="5"/>
  </r>
  <r>
    <x v="9"/>
    <s v="card"/>
    <n v="32.82"/>
    <x v="0"/>
    <x v="2"/>
    <s v="Sep"/>
    <n v="3"/>
    <n v="9"/>
    <x v="198"/>
    <x v="6"/>
    <x v="5"/>
  </r>
  <r>
    <x v="15"/>
    <s v="card"/>
    <n v="27.92"/>
    <x v="3"/>
    <x v="2"/>
    <s v="Sep"/>
    <n v="3"/>
    <n v="9"/>
    <x v="198"/>
    <x v="6"/>
    <x v="5"/>
  </r>
  <r>
    <x v="15"/>
    <s v="card"/>
    <n v="27.92"/>
    <x v="3"/>
    <x v="2"/>
    <s v="Sep"/>
    <n v="3"/>
    <n v="9"/>
    <x v="198"/>
    <x v="6"/>
    <x v="5"/>
  </r>
  <r>
    <x v="12"/>
    <s v="card"/>
    <n v="27.92"/>
    <x v="3"/>
    <x v="0"/>
    <s v="Sep"/>
    <n v="4"/>
    <n v="9"/>
    <x v="199"/>
    <x v="6"/>
    <x v="6"/>
  </r>
  <r>
    <x v="12"/>
    <s v="card"/>
    <n v="23.02"/>
    <x v="5"/>
    <x v="0"/>
    <s v="Sep"/>
    <n v="4"/>
    <n v="9"/>
    <x v="199"/>
    <x v="6"/>
    <x v="6"/>
  </r>
  <r>
    <x v="0"/>
    <s v="card"/>
    <n v="32.82"/>
    <x v="0"/>
    <x v="0"/>
    <s v="Sep"/>
    <n v="4"/>
    <n v="9"/>
    <x v="199"/>
    <x v="6"/>
    <x v="6"/>
  </r>
  <r>
    <x v="1"/>
    <s v="card"/>
    <n v="23.02"/>
    <x v="2"/>
    <x v="1"/>
    <s v="Sep"/>
    <n v="4"/>
    <n v="9"/>
    <x v="199"/>
    <x v="6"/>
    <x v="6"/>
  </r>
  <r>
    <x v="2"/>
    <s v="card"/>
    <n v="27.92"/>
    <x v="3"/>
    <x v="1"/>
    <s v="Sep"/>
    <n v="4"/>
    <n v="9"/>
    <x v="199"/>
    <x v="6"/>
    <x v="6"/>
  </r>
  <r>
    <x v="2"/>
    <s v="card"/>
    <n v="23.02"/>
    <x v="5"/>
    <x v="1"/>
    <s v="Sep"/>
    <n v="4"/>
    <n v="9"/>
    <x v="199"/>
    <x v="6"/>
    <x v="6"/>
  </r>
  <r>
    <x v="12"/>
    <s v="card"/>
    <n v="27.92"/>
    <x v="3"/>
    <x v="0"/>
    <s v="Sep"/>
    <n v="5"/>
    <n v="9"/>
    <x v="200"/>
    <x v="6"/>
    <x v="0"/>
  </r>
  <r>
    <x v="10"/>
    <s v="card"/>
    <n v="27.92"/>
    <x v="3"/>
    <x v="0"/>
    <s v="Sep"/>
    <n v="5"/>
    <n v="9"/>
    <x v="200"/>
    <x v="6"/>
    <x v="0"/>
  </r>
  <r>
    <x v="2"/>
    <s v="card"/>
    <n v="27.92"/>
    <x v="3"/>
    <x v="1"/>
    <s v="Sep"/>
    <n v="5"/>
    <n v="9"/>
    <x v="200"/>
    <x v="6"/>
    <x v="0"/>
  </r>
  <r>
    <x v="4"/>
    <s v="card"/>
    <n v="32.82"/>
    <x v="0"/>
    <x v="1"/>
    <s v="Sep"/>
    <n v="5"/>
    <n v="9"/>
    <x v="200"/>
    <x v="6"/>
    <x v="0"/>
  </r>
  <r>
    <x v="11"/>
    <s v="card"/>
    <n v="23.02"/>
    <x v="2"/>
    <x v="2"/>
    <s v="Sep"/>
    <n v="5"/>
    <n v="9"/>
    <x v="200"/>
    <x v="6"/>
    <x v="0"/>
  </r>
  <r>
    <x v="15"/>
    <s v="card"/>
    <n v="27.92"/>
    <x v="3"/>
    <x v="2"/>
    <s v="Sep"/>
    <n v="5"/>
    <n v="9"/>
    <x v="200"/>
    <x v="6"/>
    <x v="0"/>
  </r>
  <r>
    <x v="15"/>
    <s v="card"/>
    <n v="27.92"/>
    <x v="3"/>
    <x v="2"/>
    <s v="Sep"/>
    <n v="5"/>
    <n v="9"/>
    <x v="200"/>
    <x v="6"/>
    <x v="0"/>
  </r>
  <r>
    <x v="7"/>
    <s v="card"/>
    <n v="32.82"/>
    <x v="0"/>
    <x v="0"/>
    <s v="Sep"/>
    <n v="6"/>
    <n v="9"/>
    <x v="201"/>
    <x v="6"/>
    <x v="1"/>
  </r>
  <r>
    <x v="7"/>
    <s v="card"/>
    <n v="32.82"/>
    <x v="4"/>
    <x v="0"/>
    <s v="Sep"/>
    <n v="6"/>
    <n v="9"/>
    <x v="201"/>
    <x v="6"/>
    <x v="1"/>
  </r>
  <r>
    <x v="7"/>
    <s v="card"/>
    <n v="23.02"/>
    <x v="5"/>
    <x v="0"/>
    <s v="Sep"/>
    <n v="6"/>
    <n v="9"/>
    <x v="201"/>
    <x v="6"/>
    <x v="1"/>
  </r>
  <r>
    <x v="7"/>
    <s v="card"/>
    <n v="23.02"/>
    <x v="5"/>
    <x v="0"/>
    <s v="Sep"/>
    <n v="6"/>
    <n v="9"/>
    <x v="201"/>
    <x v="6"/>
    <x v="1"/>
  </r>
  <r>
    <x v="3"/>
    <s v="card"/>
    <n v="32.82"/>
    <x v="7"/>
    <x v="1"/>
    <s v="Sep"/>
    <n v="6"/>
    <n v="9"/>
    <x v="201"/>
    <x v="6"/>
    <x v="1"/>
  </r>
  <r>
    <x v="3"/>
    <s v="card"/>
    <n v="32.82"/>
    <x v="0"/>
    <x v="1"/>
    <s v="Sep"/>
    <n v="6"/>
    <n v="9"/>
    <x v="201"/>
    <x v="6"/>
    <x v="1"/>
  </r>
  <r>
    <x v="5"/>
    <s v="card"/>
    <n v="32.82"/>
    <x v="0"/>
    <x v="2"/>
    <s v="Sep"/>
    <n v="6"/>
    <n v="9"/>
    <x v="201"/>
    <x v="6"/>
    <x v="1"/>
  </r>
  <r>
    <x v="5"/>
    <s v="card"/>
    <n v="32.82"/>
    <x v="0"/>
    <x v="2"/>
    <s v="Sep"/>
    <n v="6"/>
    <n v="9"/>
    <x v="201"/>
    <x v="6"/>
    <x v="1"/>
  </r>
  <r>
    <x v="11"/>
    <s v="card"/>
    <n v="23.02"/>
    <x v="2"/>
    <x v="2"/>
    <s v="Sep"/>
    <n v="6"/>
    <n v="9"/>
    <x v="201"/>
    <x v="6"/>
    <x v="1"/>
  </r>
  <r>
    <x v="11"/>
    <s v="card"/>
    <n v="23.02"/>
    <x v="2"/>
    <x v="2"/>
    <s v="Sep"/>
    <n v="6"/>
    <n v="9"/>
    <x v="201"/>
    <x v="6"/>
    <x v="1"/>
  </r>
  <r>
    <x v="11"/>
    <s v="card"/>
    <n v="32.82"/>
    <x v="0"/>
    <x v="2"/>
    <s v="Sep"/>
    <n v="6"/>
    <n v="9"/>
    <x v="201"/>
    <x v="6"/>
    <x v="1"/>
  </r>
  <r>
    <x v="11"/>
    <s v="card"/>
    <n v="32.82"/>
    <x v="0"/>
    <x v="2"/>
    <s v="Sep"/>
    <n v="6"/>
    <n v="9"/>
    <x v="201"/>
    <x v="6"/>
    <x v="1"/>
  </r>
  <r>
    <x v="13"/>
    <s v="card"/>
    <n v="27.92"/>
    <x v="3"/>
    <x v="2"/>
    <s v="Sep"/>
    <n v="6"/>
    <n v="9"/>
    <x v="201"/>
    <x v="6"/>
    <x v="1"/>
  </r>
  <r>
    <x v="13"/>
    <s v="card"/>
    <n v="23.02"/>
    <x v="2"/>
    <x v="2"/>
    <s v="Sep"/>
    <n v="6"/>
    <n v="9"/>
    <x v="201"/>
    <x v="6"/>
    <x v="1"/>
  </r>
  <r>
    <x v="13"/>
    <s v="card"/>
    <n v="23.02"/>
    <x v="2"/>
    <x v="2"/>
    <s v="Sep"/>
    <n v="6"/>
    <n v="9"/>
    <x v="201"/>
    <x v="6"/>
    <x v="1"/>
  </r>
  <r>
    <x v="12"/>
    <s v="card"/>
    <n v="23.02"/>
    <x v="2"/>
    <x v="0"/>
    <s v="Sep"/>
    <n v="7"/>
    <n v="9"/>
    <x v="202"/>
    <x v="6"/>
    <x v="2"/>
  </r>
  <r>
    <x v="0"/>
    <s v="card"/>
    <n v="27.92"/>
    <x v="3"/>
    <x v="0"/>
    <s v="Sep"/>
    <n v="7"/>
    <n v="9"/>
    <x v="202"/>
    <x v="6"/>
    <x v="2"/>
  </r>
  <r>
    <x v="0"/>
    <s v="card"/>
    <n v="32.82"/>
    <x v="0"/>
    <x v="0"/>
    <s v="Sep"/>
    <n v="7"/>
    <n v="9"/>
    <x v="202"/>
    <x v="6"/>
    <x v="2"/>
  </r>
  <r>
    <x v="7"/>
    <s v="card"/>
    <n v="23.02"/>
    <x v="5"/>
    <x v="0"/>
    <s v="Sep"/>
    <n v="7"/>
    <n v="9"/>
    <x v="202"/>
    <x v="6"/>
    <x v="2"/>
  </r>
  <r>
    <x v="7"/>
    <s v="card"/>
    <n v="23.02"/>
    <x v="5"/>
    <x v="0"/>
    <s v="Sep"/>
    <n v="7"/>
    <n v="9"/>
    <x v="202"/>
    <x v="6"/>
    <x v="2"/>
  </r>
  <r>
    <x v="7"/>
    <s v="card"/>
    <n v="27.92"/>
    <x v="3"/>
    <x v="0"/>
    <s v="Sep"/>
    <n v="7"/>
    <n v="9"/>
    <x v="202"/>
    <x v="6"/>
    <x v="2"/>
  </r>
  <r>
    <x v="7"/>
    <s v="card"/>
    <n v="23.02"/>
    <x v="2"/>
    <x v="0"/>
    <s v="Sep"/>
    <n v="7"/>
    <n v="9"/>
    <x v="202"/>
    <x v="6"/>
    <x v="2"/>
  </r>
  <r>
    <x v="1"/>
    <s v="card"/>
    <n v="27.92"/>
    <x v="3"/>
    <x v="1"/>
    <s v="Sep"/>
    <n v="7"/>
    <n v="9"/>
    <x v="202"/>
    <x v="6"/>
    <x v="2"/>
  </r>
  <r>
    <x v="2"/>
    <s v="card"/>
    <n v="27.92"/>
    <x v="3"/>
    <x v="1"/>
    <s v="Sep"/>
    <n v="7"/>
    <n v="9"/>
    <x v="202"/>
    <x v="6"/>
    <x v="2"/>
  </r>
  <r>
    <x v="2"/>
    <s v="card"/>
    <n v="27.92"/>
    <x v="3"/>
    <x v="1"/>
    <s v="Sep"/>
    <n v="7"/>
    <n v="9"/>
    <x v="202"/>
    <x v="6"/>
    <x v="2"/>
  </r>
  <r>
    <x v="2"/>
    <s v="card"/>
    <n v="27.92"/>
    <x v="3"/>
    <x v="1"/>
    <s v="Sep"/>
    <n v="7"/>
    <n v="9"/>
    <x v="202"/>
    <x v="6"/>
    <x v="2"/>
  </r>
  <r>
    <x v="3"/>
    <s v="card"/>
    <n v="32.82"/>
    <x v="0"/>
    <x v="1"/>
    <s v="Sep"/>
    <n v="7"/>
    <n v="9"/>
    <x v="202"/>
    <x v="6"/>
    <x v="2"/>
  </r>
  <r>
    <x v="3"/>
    <s v="card"/>
    <n v="27.92"/>
    <x v="3"/>
    <x v="1"/>
    <s v="Sep"/>
    <n v="7"/>
    <n v="9"/>
    <x v="202"/>
    <x v="6"/>
    <x v="2"/>
  </r>
  <r>
    <x v="4"/>
    <s v="card"/>
    <n v="32.82"/>
    <x v="4"/>
    <x v="1"/>
    <s v="Sep"/>
    <n v="7"/>
    <n v="9"/>
    <x v="202"/>
    <x v="6"/>
    <x v="2"/>
  </r>
  <r>
    <x v="11"/>
    <s v="card"/>
    <n v="32.82"/>
    <x v="0"/>
    <x v="2"/>
    <s v="Sep"/>
    <n v="7"/>
    <n v="9"/>
    <x v="202"/>
    <x v="6"/>
    <x v="2"/>
  </r>
  <r>
    <x v="11"/>
    <s v="card"/>
    <n v="32.82"/>
    <x v="7"/>
    <x v="2"/>
    <s v="Sep"/>
    <n v="7"/>
    <n v="9"/>
    <x v="202"/>
    <x v="6"/>
    <x v="2"/>
  </r>
  <r>
    <x v="11"/>
    <s v="card"/>
    <n v="27.92"/>
    <x v="3"/>
    <x v="2"/>
    <s v="Sep"/>
    <n v="7"/>
    <n v="9"/>
    <x v="202"/>
    <x v="6"/>
    <x v="2"/>
  </r>
  <r>
    <x v="11"/>
    <s v="card"/>
    <n v="27.92"/>
    <x v="3"/>
    <x v="2"/>
    <s v="Sep"/>
    <n v="7"/>
    <n v="9"/>
    <x v="202"/>
    <x v="6"/>
    <x v="2"/>
  </r>
  <r>
    <x v="15"/>
    <s v="card"/>
    <n v="27.92"/>
    <x v="3"/>
    <x v="2"/>
    <s v="Sep"/>
    <n v="7"/>
    <n v="9"/>
    <x v="202"/>
    <x v="6"/>
    <x v="2"/>
  </r>
  <r>
    <x v="15"/>
    <s v="card"/>
    <n v="27.92"/>
    <x v="3"/>
    <x v="2"/>
    <s v="Sep"/>
    <n v="7"/>
    <n v="9"/>
    <x v="202"/>
    <x v="6"/>
    <x v="2"/>
  </r>
  <r>
    <x v="15"/>
    <s v="card"/>
    <n v="32.82"/>
    <x v="1"/>
    <x v="2"/>
    <s v="Sep"/>
    <n v="7"/>
    <n v="9"/>
    <x v="202"/>
    <x v="6"/>
    <x v="2"/>
  </r>
  <r>
    <x v="15"/>
    <s v="card"/>
    <n v="32.82"/>
    <x v="1"/>
    <x v="2"/>
    <s v="Sep"/>
    <n v="7"/>
    <n v="9"/>
    <x v="202"/>
    <x v="6"/>
    <x v="2"/>
  </r>
  <r>
    <x v="13"/>
    <s v="card"/>
    <n v="23.02"/>
    <x v="2"/>
    <x v="2"/>
    <s v="Sep"/>
    <n v="7"/>
    <n v="9"/>
    <x v="202"/>
    <x v="6"/>
    <x v="2"/>
  </r>
  <r>
    <x v="13"/>
    <s v="card"/>
    <n v="27.92"/>
    <x v="3"/>
    <x v="2"/>
    <s v="Sep"/>
    <n v="7"/>
    <n v="9"/>
    <x v="202"/>
    <x v="6"/>
    <x v="2"/>
  </r>
  <r>
    <x v="10"/>
    <s v="card"/>
    <n v="27.92"/>
    <x v="3"/>
    <x v="0"/>
    <s v="Sep"/>
    <n v="1"/>
    <n v="9"/>
    <x v="203"/>
    <x v="6"/>
    <x v="3"/>
  </r>
  <r>
    <x v="0"/>
    <s v="card"/>
    <n v="23.02"/>
    <x v="5"/>
    <x v="0"/>
    <s v="Sep"/>
    <n v="1"/>
    <n v="9"/>
    <x v="203"/>
    <x v="6"/>
    <x v="3"/>
  </r>
  <r>
    <x v="1"/>
    <s v="card"/>
    <n v="23.02"/>
    <x v="2"/>
    <x v="1"/>
    <s v="Sep"/>
    <n v="1"/>
    <n v="9"/>
    <x v="203"/>
    <x v="6"/>
    <x v="3"/>
  </r>
  <r>
    <x v="8"/>
    <s v="card"/>
    <n v="27.92"/>
    <x v="3"/>
    <x v="1"/>
    <s v="Sep"/>
    <n v="1"/>
    <n v="9"/>
    <x v="203"/>
    <x v="6"/>
    <x v="3"/>
  </r>
  <r>
    <x v="9"/>
    <s v="card"/>
    <n v="32.82"/>
    <x v="7"/>
    <x v="2"/>
    <s v="Sep"/>
    <n v="1"/>
    <n v="9"/>
    <x v="203"/>
    <x v="6"/>
    <x v="3"/>
  </r>
  <r>
    <x v="5"/>
    <s v="card"/>
    <n v="23.02"/>
    <x v="2"/>
    <x v="2"/>
    <s v="Sep"/>
    <n v="1"/>
    <n v="9"/>
    <x v="203"/>
    <x v="6"/>
    <x v="3"/>
  </r>
  <r>
    <x v="6"/>
    <s v="card"/>
    <n v="32.82"/>
    <x v="0"/>
    <x v="2"/>
    <s v="Sep"/>
    <n v="1"/>
    <n v="9"/>
    <x v="203"/>
    <x v="6"/>
    <x v="3"/>
  </r>
  <r>
    <x v="11"/>
    <s v="card"/>
    <n v="32.82"/>
    <x v="7"/>
    <x v="2"/>
    <s v="Sep"/>
    <n v="1"/>
    <n v="9"/>
    <x v="203"/>
    <x v="6"/>
    <x v="3"/>
  </r>
  <r>
    <x v="13"/>
    <s v="card"/>
    <n v="27.92"/>
    <x v="3"/>
    <x v="2"/>
    <s v="Sep"/>
    <n v="1"/>
    <n v="9"/>
    <x v="203"/>
    <x v="6"/>
    <x v="3"/>
  </r>
  <r>
    <x v="13"/>
    <s v="card"/>
    <n v="27.92"/>
    <x v="3"/>
    <x v="2"/>
    <s v="Sep"/>
    <n v="1"/>
    <n v="9"/>
    <x v="203"/>
    <x v="6"/>
    <x v="3"/>
  </r>
  <r>
    <x v="12"/>
    <s v="card"/>
    <n v="27.92"/>
    <x v="3"/>
    <x v="0"/>
    <s v="Sep"/>
    <n v="2"/>
    <n v="9"/>
    <x v="204"/>
    <x v="6"/>
    <x v="4"/>
  </r>
  <r>
    <x v="1"/>
    <s v="card"/>
    <n v="32.82"/>
    <x v="0"/>
    <x v="1"/>
    <s v="Sep"/>
    <n v="2"/>
    <n v="9"/>
    <x v="204"/>
    <x v="6"/>
    <x v="4"/>
  </r>
  <r>
    <x v="1"/>
    <s v="card"/>
    <n v="32.82"/>
    <x v="0"/>
    <x v="1"/>
    <s v="Sep"/>
    <n v="2"/>
    <n v="9"/>
    <x v="204"/>
    <x v="6"/>
    <x v="4"/>
  </r>
  <r>
    <x v="1"/>
    <s v="card"/>
    <n v="32.82"/>
    <x v="0"/>
    <x v="1"/>
    <s v="Sep"/>
    <n v="2"/>
    <n v="9"/>
    <x v="204"/>
    <x v="6"/>
    <x v="4"/>
  </r>
  <r>
    <x v="1"/>
    <s v="card"/>
    <n v="32.82"/>
    <x v="0"/>
    <x v="1"/>
    <s v="Sep"/>
    <n v="2"/>
    <n v="9"/>
    <x v="204"/>
    <x v="6"/>
    <x v="4"/>
  </r>
  <r>
    <x v="8"/>
    <s v="card"/>
    <n v="32.82"/>
    <x v="0"/>
    <x v="1"/>
    <s v="Sep"/>
    <n v="2"/>
    <n v="9"/>
    <x v="204"/>
    <x v="6"/>
    <x v="4"/>
  </r>
  <r>
    <x v="8"/>
    <s v="card"/>
    <n v="23.02"/>
    <x v="5"/>
    <x v="1"/>
    <s v="Sep"/>
    <n v="2"/>
    <n v="9"/>
    <x v="204"/>
    <x v="6"/>
    <x v="4"/>
  </r>
  <r>
    <x v="3"/>
    <s v="card"/>
    <n v="32.82"/>
    <x v="7"/>
    <x v="1"/>
    <s v="Sep"/>
    <n v="2"/>
    <n v="9"/>
    <x v="204"/>
    <x v="6"/>
    <x v="4"/>
  </r>
  <r>
    <x v="4"/>
    <s v="card"/>
    <n v="32.82"/>
    <x v="0"/>
    <x v="1"/>
    <s v="Sep"/>
    <n v="2"/>
    <n v="9"/>
    <x v="204"/>
    <x v="6"/>
    <x v="4"/>
  </r>
  <r>
    <x v="5"/>
    <s v="card"/>
    <n v="23.02"/>
    <x v="2"/>
    <x v="2"/>
    <s v="Sep"/>
    <n v="2"/>
    <n v="9"/>
    <x v="204"/>
    <x v="6"/>
    <x v="4"/>
  </r>
  <r>
    <x v="5"/>
    <s v="card"/>
    <n v="23.02"/>
    <x v="2"/>
    <x v="2"/>
    <s v="Sep"/>
    <n v="2"/>
    <n v="9"/>
    <x v="204"/>
    <x v="6"/>
    <x v="4"/>
  </r>
  <r>
    <x v="11"/>
    <s v="card"/>
    <n v="32.82"/>
    <x v="1"/>
    <x v="2"/>
    <s v="Sep"/>
    <n v="2"/>
    <n v="9"/>
    <x v="204"/>
    <x v="6"/>
    <x v="4"/>
  </r>
  <r>
    <x v="15"/>
    <s v="card"/>
    <n v="32.82"/>
    <x v="0"/>
    <x v="2"/>
    <s v="Sep"/>
    <n v="2"/>
    <n v="9"/>
    <x v="204"/>
    <x v="6"/>
    <x v="4"/>
  </r>
  <r>
    <x v="15"/>
    <s v="card"/>
    <n v="27.92"/>
    <x v="3"/>
    <x v="2"/>
    <s v="Sep"/>
    <n v="2"/>
    <n v="9"/>
    <x v="204"/>
    <x v="6"/>
    <x v="4"/>
  </r>
  <r>
    <x v="15"/>
    <s v="card"/>
    <n v="27.92"/>
    <x v="3"/>
    <x v="2"/>
    <s v="Sep"/>
    <n v="2"/>
    <n v="9"/>
    <x v="204"/>
    <x v="6"/>
    <x v="4"/>
  </r>
  <r>
    <x v="14"/>
    <s v="card"/>
    <n v="32.82"/>
    <x v="7"/>
    <x v="0"/>
    <s v="Sep"/>
    <n v="3"/>
    <n v="9"/>
    <x v="205"/>
    <x v="6"/>
    <x v="5"/>
  </r>
  <r>
    <x v="7"/>
    <s v="card"/>
    <n v="23.02"/>
    <x v="5"/>
    <x v="0"/>
    <s v="Sep"/>
    <n v="3"/>
    <n v="9"/>
    <x v="205"/>
    <x v="6"/>
    <x v="5"/>
  </r>
  <r>
    <x v="7"/>
    <s v="card"/>
    <n v="27.92"/>
    <x v="3"/>
    <x v="0"/>
    <s v="Sep"/>
    <n v="3"/>
    <n v="9"/>
    <x v="205"/>
    <x v="6"/>
    <x v="5"/>
  </r>
  <r>
    <x v="7"/>
    <s v="card"/>
    <n v="32.82"/>
    <x v="0"/>
    <x v="0"/>
    <s v="Sep"/>
    <n v="3"/>
    <n v="9"/>
    <x v="205"/>
    <x v="6"/>
    <x v="5"/>
  </r>
  <r>
    <x v="2"/>
    <s v="card"/>
    <n v="27.92"/>
    <x v="3"/>
    <x v="1"/>
    <s v="Sep"/>
    <n v="3"/>
    <n v="9"/>
    <x v="205"/>
    <x v="6"/>
    <x v="5"/>
  </r>
  <r>
    <x v="2"/>
    <s v="card"/>
    <n v="27.92"/>
    <x v="3"/>
    <x v="1"/>
    <s v="Sep"/>
    <n v="3"/>
    <n v="9"/>
    <x v="205"/>
    <x v="6"/>
    <x v="5"/>
  </r>
  <r>
    <x v="9"/>
    <s v="card"/>
    <n v="27.92"/>
    <x v="3"/>
    <x v="2"/>
    <s v="Sep"/>
    <n v="3"/>
    <n v="9"/>
    <x v="205"/>
    <x v="6"/>
    <x v="5"/>
  </r>
  <r>
    <x v="9"/>
    <s v="card"/>
    <n v="27.92"/>
    <x v="3"/>
    <x v="2"/>
    <s v="Sep"/>
    <n v="3"/>
    <n v="9"/>
    <x v="205"/>
    <x v="6"/>
    <x v="5"/>
  </r>
  <r>
    <x v="15"/>
    <s v="card"/>
    <n v="23.02"/>
    <x v="2"/>
    <x v="2"/>
    <s v="Sep"/>
    <n v="3"/>
    <n v="9"/>
    <x v="205"/>
    <x v="6"/>
    <x v="5"/>
  </r>
  <r>
    <x v="13"/>
    <s v="card"/>
    <n v="27.92"/>
    <x v="3"/>
    <x v="2"/>
    <s v="Sep"/>
    <n v="3"/>
    <n v="9"/>
    <x v="205"/>
    <x v="6"/>
    <x v="5"/>
  </r>
  <r>
    <x v="12"/>
    <s v="card"/>
    <n v="32.82"/>
    <x v="0"/>
    <x v="0"/>
    <s v="Sep"/>
    <n v="4"/>
    <n v="9"/>
    <x v="206"/>
    <x v="6"/>
    <x v="6"/>
  </r>
  <r>
    <x v="0"/>
    <s v="card"/>
    <n v="27.92"/>
    <x v="3"/>
    <x v="0"/>
    <s v="Sep"/>
    <n v="4"/>
    <n v="9"/>
    <x v="206"/>
    <x v="6"/>
    <x v="6"/>
  </r>
  <r>
    <x v="0"/>
    <s v="card"/>
    <n v="18.12"/>
    <x v="6"/>
    <x v="0"/>
    <s v="Sep"/>
    <n v="4"/>
    <n v="9"/>
    <x v="206"/>
    <x v="6"/>
    <x v="6"/>
  </r>
  <r>
    <x v="7"/>
    <s v="card"/>
    <n v="32.82"/>
    <x v="7"/>
    <x v="0"/>
    <s v="Sep"/>
    <n v="4"/>
    <n v="9"/>
    <x v="206"/>
    <x v="6"/>
    <x v="6"/>
  </r>
  <r>
    <x v="1"/>
    <s v="card"/>
    <n v="32.82"/>
    <x v="0"/>
    <x v="1"/>
    <s v="Sep"/>
    <n v="4"/>
    <n v="9"/>
    <x v="206"/>
    <x v="6"/>
    <x v="6"/>
  </r>
  <r>
    <x v="5"/>
    <s v="card"/>
    <n v="32.82"/>
    <x v="0"/>
    <x v="2"/>
    <s v="Sep"/>
    <n v="4"/>
    <n v="9"/>
    <x v="206"/>
    <x v="6"/>
    <x v="6"/>
  </r>
  <r>
    <x v="13"/>
    <s v="card"/>
    <n v="32.82"/>
    <x v="0"/>
    <x v="2"/>
    <s v="Sep"/>
    <n v="4"/>
    <n v="9"/>
    <x v="206"/>
    <x v="6"/>
    <x v="6"/>
  </r>
  <r>
    <x v="13"/>
    <s v="card"/>
    <n v="23.02"/>
    <x v="5"/>
    <x v="2"/>
    <s v="Sep"/>
    <n v="4"/>
    <n v="9"/>
    <x v="206"/>
    <x v="6"/>
    <x v="6"/>
  </r>
  <r>
    <x v="13"/>
    <s v="card"/>
    <n v="27.92"/>
    <x v="3"/>
    <x v="2"/>
    <s v="Sep"/>
    <n v="4"/>
    <n v="9"/>
    <x v="206"/>
    <x v="6"/>
    <x v="6"/>
  </r>
  <r>
    <x v="10"/>
    <s v="card"/>
    <n v="27.92"/>
    <x v="3"/>
    <x v="0"/>
    <s v="Sep"/>
    <n v="5"/>
    <n v="9"/>
    <x v="207"/>
    <x v="6"/>
    <x v="0"/>
  </r>
  <r>
    <x v="10"/>
    <s v="card"/>
    <n v="23.02"/>
    <x v="5"/>
    <x v="0"/>
    <s v="Sep"/>
    <n v="5"/>
    <n v="9"/>
    <x v="207"/>
    <x v="6"/>
    <x v="0"/>
  </r>
  <r>
    <x v="10"/>
    <s v="card"/>
    <n v="32.82"/>
    <x v="7"/>
    <x v="0"/>
    <s v="Sep"/>
    <n v="5"/>
    <n v="9"/>
    <x v="207"/>
    <x v="6"/>
    <x v="0"/>
  </r>
  <r>
    <x v="0"/>
    <s v="card"/>
    <n v="27.92"/>
    <x v="3"/>
    <x v="0"/>
    <s v="Sep"/>
    <n v="5"/>
    <n v="9"/>
    <x v="207"/>
    <x v="6"/>
    <x v="0"/>
  </r>
  <r>
    <x v="7"/>
    <s v="card"/>
    <n v="27.92"/>
    <x v="3"/>
    <x v="0"/>
    <s v="Sep"/>
    <n v="5"/>
    <n v="9"/>
    <x v="207"/>
    <x v="6"/>
    <x v="0"/>
  </r>
  <r>
    <x v="2"/>
    <s v="card"/>
    <n v="32.82"/>
    <x v="7"/>
    <x v="1"/>
    <s v="Sep"/>
    <n v="5"/>
    <n v="9"/>
    <x v="207"/>
    <x v="6"/>
    <x v="0"/>
  </r>
  <r>
    <x v="2"/>
    <s v="card"/>
    <n v="32.82"/>
    <x v="7"/>
    <x v="1"/>
    <s v="Sep"/>
    <n v="5"/>
    <n v="9"/>
    <x v="207"/>
    <x v="6"/>
    <x v="0"/>
  </r>
  <r>
    <x v="2"/>
    <s v="card"/>
    <n v="23.02"/>
    <x v="2"/>
    <x v="1"/>
    <s v="Sep"/>
    <n v="5"/>
    <n v="9"/>
    <x v="207"/>
    <x v="6"/>
    <x v="0"/>
  </r>
  <r>
    <x v="2"/>
    <s v="card"/>
    <n v="27.92"/>
    <x v="3"/>
    <x v="1"/>
    <s v="Sep"/>
    <n v="5"/>
    <n v="9"/>
    <x v="207"/>
    <x v="6"/>
    <x v="0"/>
  </r>
  <r>
    <x v="5"/>
    <s v="card"/>
    <n v="32.82"/>
    <x v="0"/>
    <x v="2"/>
    <s v="Sep"/>
    <n v="5"/>
    <n v="9"/>
    <x v="207"/>
    <x v="6"/>
    <x v="0"/>
  </r>
  <r>
    <x v="5"/>
    <s v="card"/>
    <n v="32.82"/>
    <x v="0"/>
    <x v="2"/>
    <s v="Sep"/>
    <n v="5"/>
    <n v="9"/>
    <x v="207"/>
    <x v="6"/>
    <x v="0"/>
  </r>
  <r>
    <x v="5"/>
    <s v="card"/>
    <n v="32.82"/>
    <x v="7"/>
    <x v="2"/>
    <s v="Sep"/>
    <n v="5"/>
    <n v="9"/>
    <x v="207"/>
    <x v="6"/>
    <x v="0"/>
  </r>
  <r>
    <x v="5"/>
    <s v="card"/>
    <n v="32.82"/>
    <x v="7"/>
    <x v="2"/>
    <s v="Sep"/>
    <n v="5"/>
    <n v="9"/>
    <x v="207"/>
    <x v="6"/>
    <x v="0"/>
  </r>
  <r>
    <x v="11"/>
    <s v="card"/>
    <n v="32.82"/>
    <x v="7"/>
    <x v="2"/>
    <s v="Sep"/>
    <n v="5"/>
    <n v="9"/>
    <x v="207"/>
    <x v="6"/>
    <x v="0"/>
  </r>
  <r>
    <x v="11"/>
    <s v="card"/>
    <n v="32.82"/>
    <x v="7"/>
    <x v="2"/>
    <s v="Sep"/>
    <n v="5"/>
    <n v="9"/>
    <x v="207"/>
    <x v="6"/>
    <x v="0"/>
  </r>
  <r>
    <x v="11"/>
    <s v="card"/>
    <n v="27.92"/>
    <x v="3"/>
    <x v="2"/>
    <s v="Sep"/>
    <n v="5"/>
    <n v="9"/>
    <x v="207"/>
    <x v="6"/>
    <x v="0"/>
  </r>
  <r>
    <x v="12"/>
    <s v="card"/>
    <n v="27.92"/>
    <x v="3"/>
    <x v="0"/>
    <s v="Sep"/>
    <n v="6"/>
    <n v="9"/>
    <x v="208"/>
    <x v="6"/>
    <x v="1"/>
  </r>
  <r>
    <x v="10"/>
    <s v="card"/>
    <n v="27.92"/>
    <x v="3"/>
    <x v="0"/>
    <s v="Sep"/>
    <n v="6"/>
    <n v="9"/>
    <x v="208"/>
    <x v="6"/>
    <x v="1"/>
  </r>
  <r>
    <x v="8"/>
    <s v="card"/>
    <n v="35.76"/>
    <x v="0"/>
    <x v="1"/>
    <s v="Sep"/>
    <n v="6"/>
    <n v="9"/>
    <x v="208"/>
    <x v="6"/>
    <x v="1"/>
  </r>
  <r>
    <x v="4"/>
    <s v="card"/>
    <n v="35.76"/>
    <x v="0"/>
    <x v="1"/>
    <s v="Sep"/>
    <n v="6"/>
    <n v="9"/>
    <x v="208"/>
    <x v="6"/>
    <x v="1"/>
  </r>
  <r>
    <x v="9"/>
    <s v="card"/>
    <n v="30.86"/>
    <x v="3"/>
    <x v="2"/>
    <s v="Sep"/>
    <n v="6"/>
    <n v="9"/>
    <x v="208"/>
    <x v="6"/>
    <x v="1"/>
  </r>
  <r>
    <x v="11"/>
    <s v="card"/>
    <n v="35.76"/>
    <x v="0"/>
    <x v="2"/>
    <s v="Sep"/>
    <n v="6"/>
    <n v="9"/>
    <x v="208"/>
    <x v="6"/>
    <x v="1"/>
  </r>
  <r>
    <x v="11"/>
    <s v="card"/>
    <n v="35.76"/>
    <x v="0"/>
    <x v="2"/>
    <s v="Sep"/>
    <n v="6"/>
    <n v="9"/>
    <x v="208"/>
    <x v="6"/>
    <x v="1"/>
  </r>
  <r>
    <x v="13"/>
    <s v="card"/>
    <n v="35.76"/>
    <x v="7"/>
    <x v="2"/>
    <s v="Sep"/>
    <n v="6"/>
    <n v="9"/>
    <x v="208"/>
    <x v="6"/>
    <x v="1"/>
  </r>
  <r>
    <x v="13"/>
    <s v="card"/>
    <n v="35.76"/>
    <x v="4"/>
    <x v="2"/>
    <s v="Sep"/>
    <n v="6"/>
    <n v="9"/>
    <x v="208"/>
    <x v="6"/>
    <x v="1"/>
  </r>
  <r>
    <x v="13"/>
    <s v="card"/>
    <n v="25.96"/>
    <x v="5"/>
    <x v="2"/>
    <s v="Sep"/>
    <n v="6"/>
    <n v="9"/>
    <x v="208"/>
    <x v="6"/>
    <x v="1"/>
  </r>
  <r>
    <x v="13"/>
    <s v="card"/>
    <n v="35.76"/>
    <x v="1"/>
    <x v="2"/>
    <s v="Sep"/>
    <n v="6"/>
    <n v="9"/>
    <x v="208"/>
    <x v="6"/>
    <x v="1"/>
  </r>
  <r>
    <x v="0"/>
    <s v="card"/>
    <n v="25.96"/>
    <x v="2"/>
    <x v="0"/>
    <s v="Sep"/>
    <n v="7"/>
    <n v="9"/>
    <x v="209"/>
    <x v="6"/>
    <x v="2"/>
  </r>
  <r>
    <x v="0"/>
    <s v="card"/>
    <n v="35.76"/>
    <x v="7"/>
    <x v="0"/>
    <s v="Sep"/>
    <n v="7"/>
    <n v="9"/>
    <x v="209"/>
    <x v="6"/>
    <x v="2"/>
  </r>
  <r>
    <x v="0"/>
    <s v="card"/>
    <n v="35.76"/>
    <x v="7"/>
    <x v="0"/>
    <s v="Sep"/>
    <n v="7"/>
    <n v="9"/>
    <x v="209"/>
    <x v="6"/>
    <x v="2"/>
  </r>
  <r>
    <x v="0"/>
    <s v="card"/>
    <n v="35.76"/>
    <x v="7"/>
    <x v="0"/>
    <s v="Sep"/>
    <n v="7"/>
    <n v="9"/>
    <x v="209"/>
    <x v="6"/>
    <x v="2"/>
  </r>
  <r>
    <x v="0"/>
    <s v="card"/>
    <n v="30.86"/>
    <x v="3"/>
    <x v="0"/>
    <s v="Sep"/>
    <n v="7"/>
    <n v="9"/>
    <x v="209"/>
    <x v="6"/>
    <x v="2"/>
  </r>
  <r>
    <x v="1"/>
    <s v="card"/>
    <n v="35.76"/>
    <x v="0"/>
    <x v="1"/>
    <s v="Sep"/>
    <n v="7"/>
    <n v="9"/>
    <x v="209"/>
    <x v="6"/>
    <x v="2"/>
  </r>
  <r>
    <x v="1"/>
    <s v="card"/>
    <n v="25.96"/>
    <x v="5"/>
    <x v="1"/>
    <s v="Sep"/>
    <n v="7"/>
    <n v="9"/>
    <x v="209"/>
    <x v="6"/>
    <x v="2"/>
  </r>
  <r>
    <x v="1"/>
    <s v="card"/>
    <n v="35.76"/>
    <x v="0"/>
    <x v="1"/>
    <s v="Sep"/>
    <n v="7"/>
    <n v="9"/>
    <x v="209"/>
    <x v="6"/>
    <x v="2"/>
  </r>
  <r>
    <x v="1"/>
    <s v="card"/>
    <n v="35.76"/>
    <x v="0"/>
    <x v="1"/>
    <s v="Sep"/>
    <n v="7"/>
    <n v="9"/>
    <x v="209"/>
    <x v="6"/>
    <x v="2"/>
  </r>
  <r>
    <x v="5"/>
    <s v="card"/>
    <n v="35.76"/>
    <x v="7"/>
    <x v="2"/>
    <s v="Sep"/>
    <n v="7"/>
    <n v="9"/>
    <x v="209"/>
    <x v="6"/>
    <x v="2"/>
  </r>
  <r>
    <x v="13"/>
    <s v="card"/>
    <n v="35.76"/>
    <x v="0"/>
    <x v="2"/>
    <s v="Sep"/>
    <n v="7"/>
    <n v="9"/>
    <x v="209"/>
    <x v="6"/>
    <x v="2"/>
  </r>
  <r>
    <x v="12"/>
    <s v="card"/>
    <n v="25.96"/>
    <x v="5"/>
    <x v="0"/>
    <s v="Sep"/>
    <n v="1"/>
    <n v="9"/>
    <x v="210"/>
    <x v="6"/>
    <x v="3"/>
  </r>
  <r>
    <x v="12"/>
    <s v="card"/>
    <n v="25.96"/>
    <x v="5"/>
    <x v="0"/>
    <s v="Sep"/>
    <n v="1"/>
    <n v="9"/>
    <x v="210"/>
    <x v="6"/>
    <x v="3"/>
  </r>
  <r>
    <x v="10"/>
    <s v="card"/>
    <n v="35.76"/>
    <x v="1"/>
    <x v="0"/>
    <s v="Sep"/>
    <n v="1"/>
    <n v="9"/>
    <x v="210"/>
    <x v="6"/>
    <x v="3"/>
  </r>
  <r>
    <x v="0"/>
    <s v="card"/>
    <n v="30.86"/>
    <x v="3"/>
    <x v="0"/>
    <s v="Sep"/>
    <n v="1"/>
    <n v="9"/>
    <x v="210"/>
    <x v="6"/>
    <x v="3"/>
  </r>
  <r>
    <x v="0"/>
    <s v="card"/>
    <n v="25.96"/>
    <x v="5"/>
    <x v="0"/>
    <s v="Sep"/>
    <n v="1"/>
    <n v="9"/>
    <x v="210"/>
    <x v="6"/>
    <x v="3"/>
  </r>
  <r>
    <x v="7"/>
    <s v="card"/>
    <n v="30.86"/>
    <x v="3"/>
    <x v="0"/>
    <s v="Sep"/>
    <n v="1"/>
    <n v="9"/>
    <x v="210"/>
    <x v="6"/>
    <x v="3"/>
  </r>
  <r>
    <x v="4"/>
    <s v="card"/>
    <n v="30.86"/>
    <x v="3"/>
    <x v="1"/>
    <s v="Sep"/>
    <n v="1"/>
    <n v="9"/>
    <x v="210"/>
    <x v="6"/>
    <x v="3"/>
  </r>
  <r>
    <x v="6"/>
    <s v="card"/>
    <n v="35.76"/>
    <x v="0"/>
    <x v="2"/>
    <s v="Sep"/>
    <n v="1"/>
    <n v="9"/>
    <x v="210"/>
    <x v="6"/>
    <x v="3"/>
  </r>
  <r>
    <x v="6"/>
    <s v="card"/>
    <n v="30.86"/>
    <x v="3"/>
    <x v="2"/>
    <s v="Sep"/>
    <n v="1"/>
    <n v="9"/>
    <x v="210"/>
    <x v="6"/>
    <x v="3"/>
  </r>
  <r>
    <x v="6"/>
    <s v="card"/>
    <n v="25.96"/>
    <x v="5"/>
    <x v="2"/>
    <s v="Sep"/>
    <n v="1"/>
    <n v="9"/>
    <x v="210"/>
    <x v="6"/>
    <x v="3"/>
  </r>
  <r>
    <x v="6"/>
    <s v="card"/>
    <n v="35.76"/>
    <x v="0"/>
    <x v="2"/>
    <s v="Sep"/>
    <n v="1"/>
    <n v="9"/>
    <x v="210"/>
    <x v="6"/>
    <x v="3"/>
  </r>
  <r>
    <x v="11"/>
    <s v="card"/>
    <n v="30.86"/>
    <x v="3"/>
    <x v="2"/>
    <s v="Sep"/>
    <n v="1"/>
    <n v="9"/>
    <x v="210"/>
    <x v="6"/>
    <x v="3"/>
  </r>
  <r>
    <x v="11"/>
    <s v="card"/>
    <n v="30.86"/>
    <x v="3"/>
    <x v="2"/>
    <s v="Sep"/>
    <n v="1"/>
    <n v="9"/>
    <x v="210"/>
    <x v="6"/>
    <x v="3"/>
  </r>
  <r>
    <x v="15"/>
    <s v="card"/>
    <n v="30.86"/>
    <x v="3"/>
    <x v="2"/>
    <s v="Sep"/>
    <n v="1"/>
    <n v="9"/>
    <x v="210"/>
    <x v="6"/>
    <x v="3"/>
  </r>
  <r>
    <x v="14"/>
    <s v="card"/>
    <n v="35.76"/>
    <x v="0"/>
    <x v="0"/>
    <s v="Oct"/>
    <n v="2"/>
    <n v="10"/>
    <x v="211"/>
    <x v="7"/>
    <x v="4"/>
  </r>
  <r>
    <x v="10"/>
    <s v="card"/>
    <n v="30.86"/>
    <x v="3"/>
    <x v="0"/>
    <s v="Oct"/>
    <n v="2"/>
    <n v="10"/>
    <x v="211"/>
    <x v="7"/>
    <x v="4"/>
  </r>
  <r>
    <x v="0"/>
    <s v="card"/>
    <n v="30.86"/>
    <x v="3"/>
    <x v="0"/>
    <s v="Oct"/>
    <n v="2"/>
    <n v="10"/>
    <x v="211"/>
    <x v="7"/>
    <x v="4"/>
  </r>
  <r>
    <x v="0"/>
    <s v="card"/>
    <n v="30.86"/>
    <x v="3"/>
    <x v="0"/>
    <s v="Oct"/>
    <n v="2"/>
    <n v="10"/>
    <x v="211"/>
    <x v="7"/>
    <x v="4"/>
  </r>
  <r>
    <x v="7"/>
    <s v="card"/>
    <n v="30.86"/>
    <x v="3"/>
    <x v="0"/>
    <s v="Oct"/>
    <n v="2"/>
    <n v="10"/>
    <x v="211"/>
    <x v="7"/>
    <x v="4"/>
  </r>
  <r>
    <x v="1"/>
    <s v="card"/>
    <n v="30.86"/>
    <x v="3"/>
    <x v="1"/>
    <s v="Oct"/>
    <n v="2"/>
    <n v="10"/>
    <x v="211"/>
    <x v="7"/>
    <x v="4"/>
  </r>
  <r>
    <x v="1"/>
    <s v="card"/>
    <n v="30.86"/>
    <x v="3"/>
    <x v="1"/>
    <s v="Oct"/>
    <n v="2"/>
    <n v="10"/>
    <x v="211"/>
    <x v="7"/>
    <x v="4"/>
  </r>
  <r>
    <x v="8"/>
    <s v="card"/>
    <n v="25.96"/>
    <x v="2"/>
    <x v="1"/>
    <s v="Oct"/>
    <n v="2"/>
    <n v="10"/>
    <x v="211"/>
    <x v="7"/>
    <x v="4"/>
  </r>
  <r>
    <x v="8"/>
    <s v="card"/>
    <n v="30.86"/>
    <x v="3"/>
    <x v="1"/>
    <s v="Oct"/>
    <n v="2"/>
    <n v="10"/>
    <x v="211"/>
    <x v="7"/>
    <x v="4"/>
  </r>
  <r>
    <x v="4"/>
    <s v="card"/>
    <n v="35.76"/>
    <x v="1"/>
    <x v="1"/>
    <s v="Oct"/>
    <n v="2"/>
    <n v="10"/>
    <x v="211"/>
    <x v="7"/>
    <x v="4"/>
  </r>
  <r>
    <x v="4"/>
    <s v="card"/>
    <n v="25.96"/>
    <x v="2"/>
    <x v="1"/>
    <s v="Oct"/>
    <n v="2"/>
    <n v="10"/>
    <x v="211"/>
    <x v="7"/>
    <x v="4"/>
  </r>
  <r>
    <x v="5"/>
    <s v="card"/>
    <n v="35.76"/>
    <x v="0"/>
    <x v="2"/>
    <s v="Oct"/>
    <n v="2"/>
    <n v="10"/>
    <x v="211"/>
    <x v="7"/>
    <x v="4"/>
  </r>
  <r>
    <x v="5"/>
    <s v="card"/>
    <n v="35.76"/>
    <x v="0"/>
    <x v="2"/>
    <s v="Oct"/>
    <n v="2"/>
    <n v="10"/>
    <x v="211"/>
    <x v="7"/>
    <x v="4"/>
  </r>
  <r>
    <x v="5"/>
    <s v="card"/>
    <n v="35.76"/>
    <x v="1"/>
    <x v="2"/>
    <s v="Oct"/>
    <n v="2"/>
    <n v="10"/>
    <x v="211"/>
    <x v="7"/>
    <x v="4"/>
  </r>
  <r>
    <x v="11"/>
    <s v="card"/>
    <n v="35.76"/>
    <x v="1"/>
    <x v="2"/>
    <s v="Oct"/>
    <n v="2"/>
    <n v="10"/>
    <x v="211"/>
    <x v="7"/>
    <x v="4"/>
  </r>
  <r>
    <x v="14"/>
    <s v="card"/>
    <n v="35.76"/>
    <x v="0"/>
    <x v="0"/>
    <s v="Oct"/>
    <n v="3"/>
    <n v="10"/>
    <x v="212"/>
    <x v="7"/>
    <x v="5"/>
  </r>
  <r>
    <x v="12"/>
    <s v="card"/>
    <n v="25.96"/>
    <x v="5"/>
    <x v="0"/>
    <s v="Oct"/>
    <n v="3"/>
    <n v="10"/>
    <x v="212"/>
    <x v="7"/>
    <x v="5"/>
  </r>
  <r>
    <x v="10"/>
    <s v="card"/>
    <n v="30.86"/>
    <x v="3"/>
    <x v="0"/>
    <s v="Oct"/>
    <n v="3"/>
    <n v="10"/>
    <x v="212"/>
    <x v="7"/>
    <x v="5"/>
  </r>
  <r>
    <x v="0"/>
    <s v="card"/>
    <n v="35.76"/>
    <x v="0"/>
    <x v="0"/>
    <s v="Oct"/>
    <n v="3"/>
    <n v="10"/>
    <x v="212"/>
    <x v="7"/>
    <x v="5"/>
  </r>
  <r>
    <x v="0"/>
    <s v="card"/>
    <n v="30.86"/>
    <x v="3"/>
    <x v="0"/>
    <s v="Oct"/>
    <n v="3"/>
    <n v="10"/>
    <x v="212"/>
    <x v="7"/>
    <x v="5"/>
  </r>
  <r>
    <x v="7"/>
    <s v="card"/>
    <n v="35.76"/>
    <x v="7"/>
    <x v="0"/>
    <s v="Oct"/>
    <n v="3"/>
    <n v="10"/>
    <x v="212"/>
    <x v="7"/>
    <x v="5"/>
  </r>
  <r>
    <x v="3"/>
    <s v="card"/>
    <n v="35.76"/>
    <x v="7"/>
    <x v="1"/>
    <s v="Oct"/>
    <n v="3"/>
    <n v="10"/>
    <x v="212"/>
    <x v="7"/>
    <x v="5"/>
  </r>
  <r>
    <x v="5"/>
    <s v="card"/>
    <n v="35.76"/>
    <x v="1"/>
    <x v="2"/>
    <s v="Oct"/>
    <n v="3"/>
    <n v="10"/>
    <x v="212"/>
    <x v="7"/>
    <x v="5"/>
  </r>
  <r>
    <x v="13"/>
    <s v="card"/>
    <n v="35.76"/>
    <x v="1"/>
    <x v="2"/>
    <s v="Oct"/>
    <n v="3"/>
    <n v="10"/>
    <x v="212"/>
    <x v="7"/>
    <x v="5"/>
  </r>
  <r>
    <x v="13"/>
    <s v="card"/>
    <n v="35.76"/>
    <x v="1"/>
    <x v="2"/>
    <s v="Oct"/>
    <n v="3"/>
    <n v="10"/>
    <x v="212"/>
    <x v="7"/>
    <x v="5"/>
  </r>
  <r>
    <x v="13"/>
    <s v="card"/>
    <n v="35.76"/>
    <x v="1"/>
    <x v="2"/>
    <s v="Oct"/>
    <n v="3"/>
    <n v="10"/>
    <x v="212"/>
    <x v="7"/>
    <x v="5"/>
  </r>
  <r>
    <x v="2"/>
    <s v="card"/>
    <n v="35.76"/>
    <x v="4"/>
    <x v="1"/>
    <s v="Oct"/>
    <n v="4"/>
    <n v="10"/>
    <x v="213"/>
    <x v="7"/>
    <x v="6"/>
  </r>
  <r>
    <x v="3"/>
    <s v="card"/>
    <n v="30.86"/>
    <x v="3"/>
    <x v="1"/>
    <s v="Oct"/>
    <n v="4"/>
    <n v="10"/>
    <x v="213"/>
    <x v="7"/>
    <x v="6"/>
  </r>
  <r>
    <x v="11"/>
    <s v="card"/>
    <n v="25.96"/>
    <x v="5"/>
    <x v="2"/>
    <s v="Oct"/>
    <n v="4"/>
    <n v="10"/>
    <x v="213"/>
    <x v="7"/>
    <x v="6"/>
  </r>
  <r>
    <x v="11"/>
    <s v="card"/>
    <n v="35.76"/>
    <x v="1"/>
    <x v="2"/>
    <s v="Oct"/>
    <n v="4"/>
    <n v="10"/>
    <x v="213"/>
    <x v="7"/>
    <x v="6"/>
  </r>
  <r>
    <x v="15"/>
    <s v="card"/>
    <n v="35.76"/>
    <x v="1"/>
    <x v="2"/>
    <s v="Oct"/>
    <n v="4"/>
    <n v="10"/>
    <x v="213"/>
    <x v="7"/>
    <x v="6"/>
  </r>
  <r>
    <x v="15"/>
    <s v="card"/>
    <n v="35.76"/>
    <x v="1"/>
    <x v="2"/>
    <s v="Oct"/>
    <n v="4"/>
    <n v="10"/>
    <x v="213"/>
    <x v="7"/>
    <x v="6"/>
  </r>
  <r>
    <x v="15"/>
    <s v="card"/>
    <n v="35.76"/>
    <x v="7"/>
    <x v="2"/>
    <s v="Oct"/>
    <n v="4"/>
    <n v="10"/>
    <x v="213"/>
    <x v="7"/>
    <x v="6"/>
  </r>
  <r>
    <x v="15"/>
    <s v="card"/>
    <n v="35.76"/>
    <x v="1"/>
    <x v="2"/>
    <s v="Oct"/>
    <n v="4"/>
    <n v="10"/>
    <x v="213"/>
    <x v="7"/>
    <x v="6"/>
  </r>
  <r>
    <x v="12"/>
    <s v="card"/>
    <n v="25.96"/>
    <x v="2"/>
    <x v="0"/>
    <s v="Oct"/>
    <n v="5"/>
    <n v="10"/>
    <x v="214"/>
    <x v="7"/>
    <x v="0"/>
  </r>
  <r>
    <x v="12"/>
    <s v="card"/>
    <n v="25.96"/>
    <x v="2"/>
    <x v="0"/>
    <s v="Oct"/>
    <n v="5"/>
    <n v="10"/>
    <x v="214"/>
    <x v="7"/>
    <x v="0"/>
  </r>
  <r>
    <x v="10"/>
    <s v="card"/>
    <n v="30.86"/>
    <x v="3"/>
    <x v="0"/>
    <s v="Oct"/>
    <n v="5"/>
    <n v="10"/>
    <x v="214"/>
    <x v="7"/>
    <x v="0"/>
  </r>
  <r>
    <x v="10"/>
    <s v="card"/>
    <n v="25.96"/>
    <x v="2"/>
    <x v="0"/>
    <s v="Oct"/>
    <n v="5"/>
    <n v="10"/>
    <x v="214"/>
    <x v="7"/>
    <x v="0"/>
  </r>
  <r>
    <x v="10"/>
    <s v="card"/>
    <n v="25.96"/>
    <x v="5"/>
    <x v="0"/>
    <s v="Oct"/>
    <n v="5"/>
    <n v="10"/>
    <x v="214"/>
    <x v="7"/>
    <x v="0"/>
  </r>
  <r>
    <x v="10"/>
    <s v="card"/>
    <n v="25.96"/>
    <x v="5"/>
    <x v="0"/>
    <s v="Oct"/>
    <n v="5"/>
    <n v="10"/>
    <x v="214"/>
    <x v="7"/>
    <x v="0"/>
  </r>
  <r>
    <x v="9"/>
    <s v="card"/>
    <n v="35.76"/>
    <x v="0"/>
    <x v="2"/>
    <s v="Oct"/>
    <n v="5"/>
    <n v="10"/>
    <x v="214"/>
    <x v="7"/>
    <x v="0"/>
  </r>
  <r>
    <x v="9"/>
    <s v="card"/>
    <n v="35.76"/>
    <x v="1"/>
    <x v="2"/>
    <s v="Oct"/>
    <n v="5"/>
    <n v="10"/>
    <x v="214"/>
    <x v="7"/>
    <x v="0"/>
  </r>
  <r>
    <x v="9"/>
    <s v="card"/>
    <n v="35.76"/>
    <x v="4"/>
    <x v="2"/>
    <s v="Oct"/>
    <n v="5"/>
    <n v="10"/>
    <x v="214"/>
    <x v="7"/>
    <x v="0"/>
  </r>
  <r>
    <x v="10"/>
    <s v="card"/>
    <n v="25.96"/>
    <x v="5"/>
    <x v="0"/>
    <s v="Oct"/>
    <n v="6"/>
    <n v="10"/>
    <x v="215"/>
    <x v="7"/>
    <x v="1"/>
  </r>
  <r>
    <x v="10"/>
    <s v="card"/>
    <n v="25.96"/>
    <x v="5"/>
    <x v="0"/>
    <s v="Oct"/>
    <n v="6"/>
    <n v="10"/>
    <x v="215"/>
    <x v="7"/>
    <x v="1"/>
  </r>
  <r>
    <x v="10"/>
    <s v="card"/>
    <n v="35.76"/>
    <x v="4"/>
    <x v="0"/>
    <s v="Oct"/>
    <n v="6"/>
    <n v="10"/>
    <x v="215"/>
    <x v="7"/>
    <x v="1"/>
  </r>
  <r>
    <x v="2"/>
    <s v="card"/>
    <n v="35.76"/>
    <x v="7"/>
    <x v="1"/>
    <s v="Oct"/>
    <n v="6"/>
    <n v="10"/>
    <x v="215"/>
    <x v="7"/>
    <x v="1"/>
  </r>
  <r>
    <x v="11"/>
    <s v="card"/>
    <n v="25.96"/>
    <x v="2"/>
    <x v="2"/>
    <s v="Oct"/>
    <n v="6"/>
    <n v="10"/>
    <x v="215"/>
    <x v="7"/>
    <x v="1"/>
  </r>
  <r>
    <x v="11"/>
    <s v="card"/>
    <n v="25.96"/>
    <x v="2"/>
    <x v="2"/>
    <s v="Oct"/>
    <n v="6"/>
    <n v="10"/>
    <x v="215"/>
    <x v="7"/>
    <x v="1"/>
  </r>
  <r>
    <x v="12"/>
    <s v="card"/>
    <n v="25.96"/>
    <x v="5"/>
    <x v="0"/>
    <s v="Oct"/>
    <n v="7"/>
    <n v="10"/>
    <x v="216"/>
    <x v="7"/>
    <x v="2"/>
  </r>
  <r>
    <x v="0"/>
    <s v="card"/>
    <n v="35.76"/>
    <x v="7"/>
    <x v="0"/>
    <s v="Oct"/>
    <n v="7"/>
    <n v="10"/>
    <x v="216"/>
    <x v="7"/>
    <x v="2"/>
  </r>
  <r>
    <x v="0"/>
    <s v="card"/>
    <n v="25.96"/>
    <x v="5"/>
    <x v="0"/>
    <s v="Oct"/>
    <n v="7"/>
    <n v="10"/>
    <x v="216"/>
    <x v="7"/>
    <x v="2"/>
  </r>
  <r>
    <x v="7"/>
    <s v="card"/>
    <n v="35.76"/>
    <x v="0"/>
    <x v="0"/>
    <s v="Oct"/>
    <n v="7"/>
    <n v="10"/>
    <x v="216"/>
    <x v="7"/>
    <x v="2"/>
  </r>
  <r>
    <x v="1"/>
    <s v="card"/>
    <n v="35.76"/>
    <x v="0"/>
    <x v="1"/>
    <s v="Oct"/>
    <n v="7"/>
    <n v="10"/>
    <x v="216"/>
    <x v="7"/>
    <x v="2"/>
  </r>
  <r>
    <x v="1"/>
    <s v="card"/>
    <n v="35.76"/>
    <x v="7"/>
    <x v="1"/>
    <s v="Oct"/>
    <n v="7"/>
    <n v="10"/>
    <x v="216"/>
    <x v="7"/>
    <x v="2"/>
  </r>
  <r>
    <x v="1"/>
    <s v="card"/>
    <n v="30.86"/>
    <x v="3"/>
    <x v="1"/>
    <s v="Oct"/>
    <n v="7"/>
    <n v="10"/>
    <x v="216"/>
    <x v="7"/>
    <x v="2"/>
  </r>
  <r>
    <x v="2"/>
    <s v="card"/>
    <n v="25.96"/>
    <x v="2"/>
    <x v="1"/>
    <s v="Oct"/>
    <n v="7"/>
    <n v="10"/>
    <x v="216"/>
    <x v="7"/>
    <x v="2"/>
  </r>
  <r>
    <x v="2"/>
    <s v="card"/>
    <n v="35.76"/>
    <x v="7"/>
    <x v="1"/>
    <s v="Oct"/>
    <n v="7"/>
    <n v="10"/>
    <x v="216"/>
    <x v="7"/>
    <x v="2"/>
  </r>
  <r>
    <x v="2"/>
    <s v="card"/>
    <n v="30.86"/>
    <x v="3"/>
    <x v="1"/>
    <s v="Oct"/>
    <n v="7"/>
    <n v="10"/>
    <x v="216"/>
    <x v="7"/>
    <x v="2"/>
  </r>
  <r>
    <x v="2"/>
    <s v="card"/>
    <n v="35.76"/>
    <x v="0"/>
    <x v="1"/>
    <s v="Oct"/>
    <n v="7"/>
    <n v="10"/>
    <x v="216"/>
    <x v="7"/>
    <x v="2"/>
  </r>
  <r>
    <x v="2"/>
    <s v="card"/>
    <n v="35.76"/>
    <x v="7"/>
    <x v="1"/>
    <s v="Oct"/>
    <n v="7"/>
    <n v="10"/>
    <x v="216"/>
    <x v="7"/>
    <x v="2"/>
  </r>
  <r>
    <x v="4"/>
    <s v="card"/>
    <n v="35.76"/>
    <x v="7"/>
    <x v="1"/>
    <s v="Oct"/>
    <n v="7"/>
    <n v="10"/>
    <x v="216"/>
    <x v="7"/>
    <x v="2"/>
  </r>
  <r>
    <x v="4"/>
    <s v="card"/>
    <n v="21.06"/>
    <x v="6"/>
    <x v="1"/>
    <s v="Oct"/>
    <n v="7"/>
    <n v="10"/>
    <x v="216"/>
    <x v="7"/>
    <x v="2"/>
  </r>
  <r>
    <x v="5"/>
    <s v="card"/>
    <n v="30.86"/>
    <x v="3"/>
    <x v="2"/>
    <s v="Oct"/>
    <n v="7"/>
    <n v="10"/>
    <x v="216"/>
    <x v="7"/>
    <x v="2"/>
  </r>
  <r>
    <x v="5"/>
    <s v="card"/>
    <n v="35.76"/>
    <x v="1"/>
    <x v="2"/>
    <s v="Oct"/>
    <n v="7"/>
    <n v="10"/>
    <x v="216"/>
    <x v="7"/>
    <x v="2"/>
  </r>
  <r>
    <x v="15"/>
    <s v="card"/>
    <n v="35.76"/>
    <x v="1"/>
    <x v="2"/>
    <s v="Oct"/>
    <n v="7"/>
    <n v="10"/>
    <x v="216"/>
    <x v="7"/>
    <x v="2"/>
  </r>
  <r>
    <x v="15"/>
    <s v="card"/>
    <n v="35.76"/>
    <x v="1"/>
    <x v="2"/>
    <s v="Oct"/>
    <n v="7"/>
    <n v="10"/>
    <x v="216"/>
    <x v="7"/>
    <x v="2"/>
  </r>
  <r>
    <x v="15"/>
    <s v="card"/>
    <n v="35.76"/>
    <x v="1"/>
    <x v="2"/>
    <s v="Oct"/>
    <n v="7"/>
    <n v="10"/>
    <x v="216"/>
    <x v="7"/>
    <x v="2"/>
  </r>
  <r>
    <x v="15"/>
    <s v="card"/>
    <n v="35.76"/>
    <x v="0"/>
    <x v="2"/>
    <s v="Oct"/>
    <n v="7"/>
    <n v="10"/>
    <x v="216"/>
    <x v="7"/>
    <x v="2"/>
  </r>
  <r>
    <x v="12"/>
    <s v="card"/>
    <n v="35.76"/>
    <x v="0"/>
    <x v="0"/>
    <s v="Oct"/>
    <n v="1"/>
    <n v="10"/>
    <x v="217"/>
    <x v="7"/>
    <x v="3"/>
  </r>
  <r>
    <x v="12"/>
    <s v="card"/>
    <n v="35.76"/>
    <x v="0"/>
    <x v="0"/>
    <s v="Oct"/>
    <n v="1"/>
    <n v="10"/>
    <x v="217"/>
    <x v="7"/>
    <x v="3"/>
  </r>
  <r>
    <x v="12"/>
    <s v="card"/>
    <n v="30.86"/>
    <x v="3"/>
    <x v="0"/>
    <s v="Oct"/>
    <n v="1"/>
    <n v="10"/>
    <x v="217"/>
    <x v="7"/>
    <x v="3"/>
  </r>
  <r>
    <x v="10"/>
    <s v="card"/>
    <n v="35.76"/>
    <x v="4"/>
    <x v="0"/>
    <s v="Oct"/>
    <n v="1"/>
    <n v="10"/>
    <x v="217"/>
    <x v="7"/>
    <x v="3"/>
  </r>
  <r>
    <x v="10"/>
    <s v="card"/>
    <n v="35.76"/>
    <x v="0"/>
    <x v="0"/>
    <s v="Oct"/>
    <n v="1"/>
    <n v="10"/>
    <x v="217"/>
    <x v="7"/>
    <x v="3"/>
  </r>
  <r>
    <x v="1"/>
    <s v="card"/>
    <n v="30.86"/>
    <x v="3"/>
    <x v="1"/>
    <s v="Oct"/>
    <n v="1"/>
    <n v="10"/>
    <x v="217"/>
    <x v="7"/>
    <x v="3"/>
  </r>
  <r>
    <x v="8"/>
    <s v="card"/>
    <n v="25.96"/>
    <x v="2"/>
    <x v="1"/>
    <s v="Oct"/>
    <n v="1"/>
    <n v="10"/>
    <x v="217"/>
    <x v="7"/>
    <x v="3"/>
  </r>
  <r>
    <x v="8"/>
    <s v="card"/>
    <n v="25.96"/>
    <x v="2"/>
    <x v="1"/>
    <s v="Oct"/>
    <n v="1"/>
    <n v="10"/>
    <x v="217"/>
    <x v="7"/>
    <x v="3"/>
  </r>
  <r>
    <x v="9"/>
    <s v="card"/>
    <n v="35.76"/>
    <x v="0"/>
    <x v="2"/>
    <s v="Oct"/>
    <n v="1"/>
    <n v="10"/>
    <x v="217"/>
    <x v="7"/>
    <x v="3"/>
  </r>
  <r>
    <x v="15"/>
    <s v="card"/>
    <n v="35.76"/>
    <x v="1"/>
    <x v="2"/>
    <s v="Oct"/>
    <n v="1"/>
    <n v="10"/>
    <x v="217"/>
    <x v="7"/>
    <x v="3"/>
  </r>
  <r>
    <x v="15"/>
    <s v="card"/>
    <n v="35.76"/>
    <x v="1"/>
    <x v="2"/>
    <s v="Oct"/>
    <n v="1"/>
    <n v="10"/>
    <x v="217"/>
    <x v="7"/>
    <x v="3"/>
  </r>
  <r>
    <x v="15"/>
    <s v="card"/>
    <n v="35.76"/>
    <x v="0"/>
    <x v="2"/>
    <s v="Oct"/>
    <n v="1"/>
    <n v="10"/>
    <x v="217"/>
    <x v="7"/>
    <x v="3"/>
  </r>
  <r>
    <x v="12"/>
    <s v="card"/>
    <n v="35.76"/>
    <x v="0"/>
    <x v="0"/>
    <s v="Oct"/>
    <n v="2"/>
    <n v="10"/>
    <x v="218"/>
    <x v="7"/>
    <x v="4"/>
  </r>
  <r>
    <x v="10"/>
    <s v="card"/>
    <n v="30.86"/>
    <x v="3"/>
    <x v="0"/>
    <s v="Oct"/>
    <n v="2"/>
    <n v="10"/>
    <x v="218"/>
    <x v="7"/>
    <x v="4"/>
  </r>
  <r>
    <x v="0"/>
    <s v="card"/>
    <n v="25.96"/>
    <x v="2"/>
    <x v="0"/>
    <s v="Oct"/>
    <n v="2"/>
    <n v="10"/>
    <x v="218"/>
    <x v="7"/>
    <x v="4"/>
  </r>
  <r>
    <x v="0"/>
    <s v="card"/>
    <n v="35.76"/>
    <x v="0"/>
    <x v="0"/>
    <s v="Oct"/>
    <n v="2"/>
    <n v="10"/>
    <x v="218"/>
    <x v="7"/>
    <x v="4"/>
  </r>
  <r>
    <x v="7"/>
    <s v="card"/>
    <n v="35.76"/>
    <x v="0"/>
    <x v="0"/>
    <s v="Oct"/>
    <n v="2"/>
    <n v="10"/>
    <x v="218"/>
    <x v="7"/>
    <x v="4"/>
  </r>
  <r>
    <x v="1"/>
    <s v="card"/>
    <n v="25.96"/>
    <x v="2"/>
    <x v="1"/>
    <s v="Oct"/>
    <n v="2"/>
    <n v="10"/>
    <x v="218"/>
    <x v="7"/>
    <x v="4"/>
  </r>
  <r>
    <x v="1"/>
    <s v="card"/>
    <n v="25.96"/>
    <x v="2"/>
    <x v="1"/>
    <s v="Oct"/>
    <n v="2"/>
    <n v="10"/>
    <x v="218"/>
    <x v="7"/>
    <x v="4"/>
  </r>
  <r>
    <x v="2"/>
    <s v="card"/>
    <n v="35.76"/>
    <x v="0"/>
    <x v="1"/>
    <s v="Oct"/>
    <n v="2"/>
    <n v="10"/>
    <x v="218"/>
    <x v="7"/>
    <x v="4"/>
  </r>
  <r>
    <x v="2"/>
    <s v="card"/>
    <n v="35.76"/>
    <x v="0"/>
    <x v="1"/>
    <s v="Oct"/>
    <n v="2"/>
    <n v="10"/>
    <x v="218"/>
    <x v="7"/>
    <x v="4"/>
  </r>
  <r>
    <x v="8"/>
    <s v="card"/>
    <n v="35.76"/>
    <x v="0"/>
    <x v="1"/>
    <s v="Oct"/>
    <n v="2"/>
    <n v="10"/>
    <x v="218"/>
    <x v="7"/>
    <x v="4"/>
  </r>
  <r>
    <x v="3"/>
    <s v="card"/>
    <n v="35.76"/>
    <x v="0"/>
    <x v="1"/>
    <s v="Oct"/>
    <n v="2"/>
    <n v="10"/>
    <x v="218"/>
    <x v="7"/>
    <x v="4"/>
  </r>
  <r>
    <x v="3"/>
    <s v="card"/>
    <n v="25.96"/>
    <x v="2"/>
    <x v="1"/>
    <s v="Oct"/>
    <n v="2"/>
    <n v="10"/>
    <x v="218"/>
    <x v="7"/>
    <x v="4"/>
  </r>
  <r>
    <x v="3"/>
    <s v="card"/>
    <n v="30.86"/>
    <x v="3"/>
    <x v="1"/>
    <s v="Oct"/>
    <n v="2"/>
    <n v="10"/>
    <x v="218"/>
    <x v="7"/>
    <x v="4"/>
  </r>
  <r>
    <x v="11"/>
    <s v="card"/>
    <n v="35.76"/>
    <x v="1"/>
    <x v="2"/>
    <s v="Oct"/>
    <n v="2"/>
    <n v="10"/>
    <x v="218"/>
    <x v="7"/>
    <x v="4"/>
  </r>
  <r>
    <x v="11"/>
    <s v="card"/>
    <n v="35.76"/>
    <x v="7"/>
    <x v="2"/>
    <s v="Oct"/>
    <n v="2"/>
    <n v="10"/>
    <x v="218"/>
    <x v="7"/>
    <x v="4"/>
  </r>
  <r>
    <x v="11"/>
    <s v="card"/>
    <n v="35.76"/>
    <x v="0"/>
    <x v="2"/>
    <s v="Oct"/>
    <n v="2"/>
    <n v="10"/>
    <x v="218"/>
    <x v="7"/>
    <x v="4"/>
  </r>
  <r>
    <x v="15"/>
    <s v="card"/>
    <n v="30.86"/>
    <x v="3"/>
    <x v="2"/>
    <s v="Oct"/>
    <n v="2"/>
    <n v="10"/>
    <x v="218"/>
    <x v="7"/>
    <x v="4"/>
  </r>
  <r>
    <x v="15"/>
    <s v="card"/>
    <n v="30.86"/>
    <x v="3"/>
    <x v="2"/>
    <s v="Oct"/>
    <n v="2"/>
    <n v="10"/>
    <x v="218"/>
    <x v="7"/>
    <x v="4"/>
  </r>
  <r>
    <x v="14"/>
    <s v="card"/>
    <n v="35.76"/>
    <x v="0"/>
    <x v="0"/>
    <s v="Oct"/>
    <n v="3"/>
    <n v="10"/>
    <x v="219"/>
    <x v="7"/>
    <x v="5"/>
  </r>
  <r>
    <x v="12"/>
    <s v="card"/>
    <n v="30.86"/>
    <x v="3"/>
    <x v="0"/>
    <s v="Oct"/>
    <n v="3"/>
    <n v="10"/>
    <x v="219"/>
    <x v="7"/>
    <x v="5"/>
  </r>
  <r>
    <x v="10"/>
    <s v="card"/>
    <n v="30.86"/>
    <x v="3"/>
    <x v="0"/>
    <s v="Oct"/>
    <n v="3"/>
    <n v="10"/>
    <x v="219"/>
    <x v="7"/>
    <x v="5"/>
  </r>
  <r>
    <x v="10"/>
    <s v="card"/>
    <n v="35.76"/>
    <x v="0"/>
    <x v="0"/>
    <s v="Oct"/>
    <n v="3"/>
    <n v="10"/>
    <x v="219"/>
    <x v="7"/>
    <x v="5"/>
  </r>
  <r>
    <x v="0"/>
    <s v="card"/>
    <n v="21.06"/>
    <x v="6"/>
    <x v="0"/>
    <s v="Oct"/>
    <n v="3"/>
    <n v="10"/>
    <x v="219"/>
    <x v="7"/>
    <x v="5"/>
  </r>
  <r>
    <x v="7"/>
    <s v="card"/>
    <n v="25.96"/>
    <x v="2"/>
    <x v="0"/>
    <s v="Oct"/>
    <n v="3"/>
    <n v="10"/>
    <x v="219"/>
    <x v="7"/>
    <x v="5"/>
  </r>
  <r>
    <x v="2"/>
    <s v="card"/>
    <n v="35.76"/>
    <x v="0"/>
    <x v="1"/>
    <s v="Oct"/>
    <n v="3"/>
    <n v="10"/>
    <x v="219"/>
    <x v="7"/>
    <x v="5"/>
  </r>
  <r>
    <x v="2"/>
    <s v="card"/>
    <n v="30.86"/>
    <x v="3"/>
    <x v="1"/>
    <s v="Oct"/>
    <n v="3"/>
    <n v="10"/>
    <x v="219"/>
    <x v="7"/>
    <x v="5"/>
  </r>
  <r>
    <x v="9"/>
    <s v="card"/>
    <n v="35.76"/>
    <x v="7"/>
    <x v="2"/>
    <s v="Oct"/>
    <n v="3"/>
    <n v="10"/>
    <x v="219"/>
    <x v="7"/>
    <x v="5"/>
  </r>
  <r>
    <x v="9"/>
    <s v="card"/>
    <n v="25.96"/>
    <x v="2"/>
    <x v="2"/>
    <s v="Oct"/>
    <n v="3"/>
    <n v="10"/>
    <x v="219"/>
    <x v="7"/>
    <x v="5"/>
  </r>
  <r>
    <x v="9"/>
    <s v="card"/>
    <n v="21.06"/>
    <x v="6"/>
    <x v="2"/>
    <s v="Oct"/>
    <n v="3"/>
    <n v="10"/>
    <x v="219"/>
    <x v="7"/>
    <x v="5"/>
  </r>
  <r>
    <x v="11"/>
    <s v="card"/>
    <n v="35.76"/>
    <x v="7"/>
    <x v="2"/>
    <s v="Oct"/>
    <n v="3"/>
    <n v="10"/>
    <x v="219"/>
    <x v="7"/>
    <x v="5"/>
  </r>
  <r>
    <x v="12"/>
    <s v="card"/>
    <n v="25.96"/>
    <x v="2"/>
    <x v="0"/>
    <s v="Oct"/>
    <n v="4"/>
    <n v="10"/>
    <x v="220"/>
    <x v="7"/>
    <x v="6"/>
  </r>
  <r>
    <x v="10"/>
    <s v="card"/>
    <n v="30.86"/>
    <x v="3"/>
    <x v="0"/>
    <s v="Oct"/>
    <n v="4"/>
    <n v="10"/>
    <x v="220"/>
    <x v="7"/>
    <x v="6"/>
  </r>
  <r>
    <x v="10"/>
    <s v="card"/>
    <n v="35.76"/>
    <x v="1"/>
    <x v="0"/>
    <s v="Oct"/>
    <n v="4"/>
    <n v="10"/>
    <x v="220"/>
    <x v="7"/>
    <x v="6"/>
  </r>
  <r>
    <x v="0"/>
    <s v="card"/>
    <n v="35.76"/>
    <x v="0"/>
    <x v="0"/>
    <s v="Oct"/>
    <n v="4"/>
    <n v="10"/>
    <x v="220"/>
    <x v="7"/>
    <x v="6"/>
  </r>
  <r>
    <x v="0"/>
    <s v="card"/>
    <n v="25.96"/>
    <x v="5"/>
    <x v="0"/>
    <s v="Oct"/>
    <n v="4"/>
    <n v="10"/>
    <x v="220"/>
    <x v="7"/>
    <x v="6"/>
  </r>
  <r>
    <x v="0"/>
    <s v="card"/>
    <n v="25.96"/>
    <x v="5"/>
    <x v="0"/>
    <s v="Oct"/>
    <n v="4"/>
    <n v="10"/>
    <x v="220"/>
    <x v="7"/>
    <x v="6"/>
  </r>
  <r>
    <x v="0"/>
    <s v="card"/>
    <n v="35.76"/>
    <x v="0"/>
    <x v="0"/>
    <s v="Oct"/>
    <n v="4"/>
    <n v="10"/>
    <x v="220"/>
    <x v="7"/>
    <x v="6"/>
  </r>
  <r>
    <x v="7"/>
    <s v="card"/>
    <n v="35.76"/>
    <x v="0"/>
    <x v="0"/>
    <s v="Oct"/>
    <n v="4"/>
    <n v="10"/>
    <x v="220"/>
    <x v="7"/>
    <x v="6"/>
  </r>
  <r>
    <x v="3"/>
    <s v="card"/>
    <n v="35.76"/>
    <x v="7"/>
    <x v="1"/>
    <s v="Oct"/>
    <n v="4"/>
    <n v="10"/>
    <x v="220"/>
    <x v="7"/>
    <x v="6"/>
  </r>
  <r>
    <x v="9"/>
    <s v="card"/>
    <n v="35.76"/>
    <x v="0"/>
    <x v="2"/>
    <s v="Oct"/>
    <n v="4"/>
    <n v="10"/>
    <x v="220"/>
    <x v="7"/>
    <x v="6"/>
  </r>
  <r>
    <x v="5"/>
    <s v="card"/>
    <n v="25.96"/>
    <x v="2"/>
    <x v="2"/>
    <s v="Oct"/>
    <n v="4"/>
    <n v="10"/>
    <x v="220"/>
    <x v="7"/>
    <x v="6"/>
  </r>
  <r>
    <x v="5"/>
    <s v="card"/>
    <n v="30.86"/>
    <x v="3"/>
    <x v="2"/>
    <s v="Oct"/>
    <n v="4"/>
    <n v="10"/>
    <x v="220"/>
    <x v="7"/>
    <x v="6"/>
  </r>
  <r>
    <x v="5"/>
    <s v="card"/>
    <n v="35.76"/>
    <x v="0"/>
    <x v="2"/>
    <s v="Oct"/>
    <n v="4"/>
    <n v="10"/>
    <x v="220"/>
    <x v="7"/>
    <x v="6"/>
  </r>
  <r>
    <x v="13"/>
    <s v="card"/>
    <n v="35.76"/>
    <x v="1"/>
    <x v="2"/>
    <s v="Oct"/>
    <n v="4"/>
    <n v="10"/>
    <x v="220"/>
    <x v="7"/>
    <x v="6"/>
  </r>
  <r>
    <x v="13"/>
    <s v="card"/>
    <n v="35.76"/>
    <x v="1"/>
    <x v="2"/>
    <s v="Oct"/>
    <n v="4"/>
    <n v="10"/>
    <x v="220"/>
    <x v="7"/>
    <x v="6"/>
  </r>
  <r>
    <x v="14"/>
    <s v="card"/>
    <n v="30.86"/>
    <x v="3"/>
    <x v="0"/>
    <s v="Oct"/>
    <n v="5"/>
    <n v="10"/>
    <x v="221"/>
    <x v="7"/>
    <x v="0"/>
  </r>
  <r>
    <x v="12"/>
    <s v="card"/>
    <n v="35.76"/>
    <x v="0"/>
    <x v="0"/>
    <s v="Oct"/>
    <n v="5"/>
    <n v="10"/>
    <x v="221"/>
    <x v="7"/>
    <x v="0"/>
  </r>
  <r>
    <x v="12"/>
    <s v="card"/>
    <n v="25.96"/>
    <x v="5"/>
    <x v="0"/>
    <s v="Oct"/>
    <n v="5"/>
    <n v="10"/>
    <x v="221"/>
    <x v="7"/>
    <x v="0"/>
  </r>
  <r>
    <x v="12"/>
    <s v="card"/>
    <n v="35.76"/>
    <x v="0"/>
    <x v="0"/>
    <s v="Oct"/>
    <n v="5"/>
    <n v="10"/>
    <x v="221"/>
    <x v="7"/>
    <x v="0"/>
  </r>
  <r>
    <x v="12"/>
    <s v="card"/>
    <n v="35.76"/>
    <x v="4"/>
    <x v="0"/>
    <s v="Oct"/>
    <n v="5"/>
    <n v="10"/>
    <x v="221"/>
    <x v="7"/>
    <x v="0"/>
  </r>
  <r>
    <x v="12"/>
    <s v="card"/>
    <n v="35.76"/>
    <x v="4"/>
    <x v="0"/>
    <s v="Oct"/>
    <n v="5"/>
    <n v="10"/>
    <x v="221"/>
    <x v="7"/>
    <x v="0"/>
  </r>
  <r>
    <x v="12"/>
    <s v="card"/>
    <n v="30.86"/>
    <x v="3"/>
    <x v="0"/>
    <s v="Oct"/>
    <n v="5"/>
    <n v="10"/>
    <x v="221"/>
    <x v="7"/>
    <x v="0"/>
  </r>
  <r>
    <x v="12"/>
    <s v="card"/>
    <n v="35.76"/>
    <x v="1"/>
    <x v="0"/>
    <s v="Oct"/>
    <n v="5"/>
    <n v="10"/>
    <x v="221"/>
    <x v="7"/>
    <x v="0"/>
  </r>
  <r>
    <x v="10"/>
    <s v="card"/>
    <n v="30.86"/>
    <x v="3"/>
    <x v="0"/>
    <s v="Oct"/>
    <n v="5"/>
    <n v="10"/>
    <x v="221"/>
    <x v="7"/>
    <x v="0"/>
  </r>
  <r>
    <x v="10"/>
    <s v="card"/>
    <n v="25.96"/>
    <x v="5"/>
    <x v="0"/>
    <s v="Oct"/>
    <n v="5"/>
    <n v="10"/>
    <x v="221"/>
    <x v="7"/>
    <x v="0"/>
  </r>
  <r>
    <x v="0"/>
    <s v="card"/>
    <n v="25.96"/>
    <x v="2"/>
    <x v="0"/>
    <s v="Oct"/>
    <n v="5"/>
    <n v="10"/>
    <x v="221"/>
    <x v="7"/>
    <x v="0"/>
  </r>
  <r>
    <x v="0"/>
    <s v="card"/>
    <n v="25.96"/>
    <x v="2"/>
    <x v="0"/>
    <s v="Oct"/>
    <n v="5"/>
    <n v="10"/>
    <x v="221"/>
    <x v="7"/>
    <x v="0"/>
  </r>
  <r>
    <x v="0"/>
    <s v="card"/>
    <n v="30.86"/>
    <x v="3"/>
    <x v="0"/>
    <s v="Oct"/>
    <n v="5"/>
    <n v="10"/>
    <x v="221"/>
    <x v="7"/>
    <x v="0"/>
  </r>
  <r>
    <x v="2"/>
    <s v="card"/>
    <n v="35.76"/>
    <x v="0"/>
    <x v="1"/>
    <s v="Oct"/>
    <n v="5"/>
    <n v="10"/>
    <x v="221"/>
    <x v="7"/>
    <x v="0"/>
  </r>
  <r>
    <x v="2"/>
    <s v="card"/>
    <n v="25.96"/>
    <x v="2"/>
    <x v="1"/>
    <s v="Oct"/>
    <n v="5"/>
    <n v="10"/>
    <x v="221"/>
    <x v="7"/>
    <x v="0"/>
  </r>
  <r>
    <x v="2"/>
    <s v="card"/>
    <n v="25.96"/>
    <x v="2"/>
    <x v="1"/>
    <s v="Oct"/>
    <n v="5"/>
    <n v="10"/>
    <x v="221"/>
    <x v="7"/>
    <x v="0"/>
  </r>
  <r>
    <x v="8"/>
    <s v="card"/>
    <n v="35.76"/>
    <x v="4"/>
    <x v="1"/>
    <s v="Oct"/>
    <n v="5"/>
    <n v="10"/>
    <x v="221"/>
    <x v="7"/>
    <x v="0"/>
  </r>
  <r>
    <x v="8"/>
    <s v="card"/>
    <n v="25.96"/>
    <x v="2"/>
    <x v="1"/>
    <s v="Oct"/>
    <n v="5"/>
    <n v="10"/>
    <x v="221"/>
    <x v="7"/>
    <x v="0"/>
  </r>
  <r>
    <x v="8"/>
    <s v="card"/>
    <n v="35.76"/>
    <x v="7"/>
    <x v="1"/>
    <s v="Oct"/>
    <n v="5"/>
    <n v="10"/>
    <x v="221"/>
    <x v="7"/>
    <x v="0"/>
  </r>
  <r>
    <x v="9"/>
    <s v="card"/>
    <n v="35.76"/>
    <x v="0"/>
    <x v="2"/>
    <s v="Oct"/>
    <n v="5"/>
    <n v="10"/>
    <x v="221"/>
    <x v="7"/>
    <x v="0"/>
  </r>
  <r>
    <x v="9"/>
    <s v="card"/>
    <n v="35.76"/>
    <x v="1"/>
    <x v="2"/>
    <s v="Oct"/>
    <n v="5"/>
    <n v="10"/>
    <x v="221"/>
    <x v="7"/>
    <x v="0"/>
  </r>
  <r>
    <x v="9"/>
    <s v="card"/>
    <n v="35.76"/>
    <x v="1"/>
    <x v="2"/>
    <s v="Oct"/>
    <n v="5"/>
    <n v="10"/>
    <x v="221"/>
    <x v="7"/>
    <x v="0"/>
  </r>
  <r>
    <x v="15"/>
    <s v="card"/>
    <n v="35.76"/>
    <x v="0"/>
    <x v="2"/>
    <s v="Oct"/>
    <n v="5"/>
    <n v="10"/>
    <x v="221"/>
    <x v="7"/>
    <x v="0"/>
  </r>
  <r>
    <x v="15"/>
    <s v="card"/>
    <n v="30.86"/>
    <x v="3"/>
    <x v="2"/>
    <s v="Oct"/>
    <n v="5"/>
    <n v="10"/>
    <x v="221"/>
    <x v="7"/>
    <x v="0"/>
  </r>
  <r>
    <x v="13"/>
    <s v="card"/>
    <n v="35.76"/>
    <x v="1"/>
    <x v="2"/>
    <s v="Oct"/>
    <n v="5"/>
    <n v="10"/>
    <x v="221"/>
    <x v="7"/>
    <x v="0"/>
  </r>
  <r>
    <x v="13"/>
    <s v="card"/>
    <n v="35.76"/>
    <x v="1"/>
    <x v="2"/>
    <s v="Oct"/>
    <n v="5"/>
    <n v="10"/>
    <x v="221"/>
    <x v="7"/>
    <x v="0"/>
  </r>
  <r>
    <x v="12"/>
    <s v="card"/>
    <n v="25.96"/>
    <x v="5"/>
    <x v="0"/>
    <s v="Oct"/>
    <n v="6"/>
    <n v="10"/>
    <x v="222"/>
    <x v="7"/>
    <x v="1"/>
  </r>
  <r>
    <x v="0"/>
    <s v="card"/>
    <n v="25.96"/>
    <x v="5"/>
    <x v="0"/>
    <s v="Oct"/>
    <n v="6"/>
    <n v="10"/>
    <x v="222"/>
    <x v="7"/>
    <x v="1"/>
  </r>
  <r>
    <x v="0"/>
    <s v="card"/>
    <n v="25.96"/>
    <x v="5"/>
    <x v="0"/>
    <s v="Oct"/>
    <n v="6"/>
    <n v="10"/>
    <x v="222"/>
    <x v="7"/>
    <x v="1"/>
  </r>
  <r>
    <x v="7"/>
    <s v="card"/>
    <n v="35.76"/>
    <x v="0"/>
    <x v="0"/>
    <s v="Oct"/>
    <n v="6"/>
    <n v="10"/>
    <x v="222"/>
    <x v="7"/>
    <x v="1"/>
  </r>
  <r>
    <x v="7"/>
    <s v="card"/>
    <n v="30.86"/>
    <x v="3"/>
    <x v="0"/>
    <s v="Oct"/>
    <n v="6"/>
    <n v="10"/>
    <x v="222"/>
    <x v="7"/>
    <x v="1"/>
  </r>
  <r>
    <x v="2"/>
    <s v="card"/>
    <n v="35.76"/>
    <x v="7"/>
    <x v="1"/>
    <s v="Oct"/>
    <n v="6"/>
    <n v="10"/>
    <x v="222"/>
    <x v="7"/>
    <x v="1"/>
  </r>
  <r>
    <x v="11"/>
    <s v="card"/>
    <n v="35.76"/>
    <x v="0"/>
    <x v="2"/>
    <s v="Oct"/>
    <n v="6"/>
    <n v="10"/>
    <x v="222"/>
    <x v="7"/>
    <x v="1"/>
  </r>
  <r>
    <x v="10"/>
    <s v="card"/>
    <n v="25.96"/>
    <x v="5"/>
    <x v="0"/>
    <s v="Oct"/>
    <n v="7"/>
    <n v="10"/>
    <x v="223"/>
    <x v="7"/>
    <x v="2"/>
  </r>
  <r>
    <x v="1"/>
    <s v="card"/>
    <n v="30.86"/>
    <x v="3"/>
    <x v="1"/>
    <s v="Oct"/>
    <n v="7"/>
    <n v="10"/>
    <x v="223"/>
    <x v="7"/>
    <x v="2"/>
  </r>
  <r>
    <x v="2"/>
    <s v="card"/>
    <n v="25.96"/>
    <x v="5"/>
    <x v="1"/>
    <s v="Oct"/>
    <n v="7"/>
    <n v="10"/>
    <x v="223"/>
    <x v="7"/>
    <x v="2"/>
  </r>
  <r>
    <x v="2"/>
    <s v="card"/>
    <n v="21.06"/>
    <x v="6"/>
    <x v="1"/>
    <s v="Oct"/>
    <n v="7"/>
    <n v="10"/>
    <x v="223"/>
    <x v="7"/>
    <x v="2"/>
  </r>
  <r>
    <x v="2"/>
    <s v="card"/>
    <n v="25.96"/>
    <x v="5"/>
    <x v="1"/>
    <s v="Oct"/>
    <n v="7"/>
    <n v="10"/>
    <x v="223"/>
    <x v="7"/>
    <x v="2"/>
  </r>
  <r>
    <x v="9"/>
    <s v="card"/>
    <n v="35.76"/>
    <x v="0"/>
    <x v="2"/>
    <s v="Oct"/>
    <n v="7"/>
    <n v="10"/>
    <x v="223"/>
    <x v="7"/>
    <x v="2"/>
  </r>
  <r>
    <x v="9"/>
    <s v="card"/>
    <n v="35.76"/>
    <x v="0"/>
    <x v="2"/>
    <s v="Oct"/>
    <n v="7"/>
    <n v="10"/>
    <x v="223"/>
    <x v="7"/>
    <x v="2"/>
  </r>
  <r>
    <x v="5"/>
    <s v="card"/>
    <n v="35.76"/>
    <x v="7"/>
    <x v="2"/>
    <s v="Oct"/>
    <n v="7"/>
    <n v="10"/>
    <x v="223"/>
    <x v="7"/>
    <x v="2"/>
  </r>
  <r>
    <x v="11"/>
    <s v="card"/>
    <n v="35.76"/>
    <x v="7"/>
    <x v="2"/>
    <s v="Oct"/>
    <n v="7"/>
    <n v="10"/>
    <x v="223"/>
    <x v="7"/>
    <x v="2"/>
  </r>
  <r>
    <x v="12"/>
    <s v="card"/>
    <n v="30.86"/>
    <x v="3"/>
    <x v="0"/>
    <s v="Oct"/>
    <n v="1"/>
    <n v="10"/>
    <x v="224"/>
    <x v="7"/>
    <x v="3"/>
  </r>
  <r>
    <x v="10"/>
    <s v="card"/>
    <n v="35.76"/>
    <x v="4"/>
    <x v="0"/>
    <s v="Oct"/>
    <n v="1"/>
    <n v="10"/>
    <x v="224"/>
    <x v="7"/>
    <x v="3"/>
  </r>
  <r>
    <x v="0"/>
    <s v="card"/>
    <n v="25.96"/>
    <x v="5"/>
    <x v="0"/>
    <s v="Oct"/>
    <n v="1"/>
    <n v="10"/>
    <x v="224"/>
    <x v="7"/>
    <x v="3"/>
  </r>
  <r>
    <x v="0"/>
    <s v="card"/>
    <n v="35.76"/>
    <x v="0"/>
    <x v="0"/>
    <s v="Oct"/>
    <n v="1"/>
    <n v="10"/>
    <x v="224"/>
    <x v="7"/>
    <x v="3"/>
  </r>
  <r>
    <x v="0"/>
    <s v="card"/>
    <n v="35.76"/>
    <x v="0"/>
    <x v="0"/>
    <s v="Oct"/>
    <n v="1"/>
    <n v="10"/>
    <x v="224"/>
    <x v="7"/>
    <x v="3"/>
  </r>
  <r>
    <x v="7"/>
    <s v="card"/>
    <n v="35.76"/>
    <x v="7"/>
    <x v="0"/>
    <s v="Oct"/>
    <n v="1"/>
    <n v="10"/>
    <x v="224"/>
    <x v="7"/>
    <x v="3"/>
  </r>
  <r>
    <x v="7"/>
    <s v="card"/>
    <n v="25.96"/>
    <x v="2"/>
    <x v="0"/>
    <s v="Oct"/>
    <n v="1"/>
    <n v="10"/>
    <x v="224"/>
    <x v="7"/>
    <x v="3"/>
  </r>
  <r>
    <x v="7"/>
    <s v="card"/>
    <n v="25.96"/>
    <x v="2"/>
    <x v="0"/>
    <s v="Oct"/>
    <n v="1"/>
    <n v="10"/>
    <x v="224"/>
    <x v="7"/>
    <x v="3"/>
  </r>
  <r>
    <x v="8"/>
    <s v="card"/>
    <n v="35.76"/>
    <x v="0"/>
    <x v="1"/>
    <s v="Oct"/>
    <n v="1"/>
    <n v="10"/>
    <x v="224"/>
    <x v="7"/>
    <x v="3"/>
  </r>
  <r>
    <x v="8"/>
    <s v="card"/>
    <n v="35.76"/>
    <x v="0"/>
    <x v="1"/>
    <s v="Oct"/>
    <n v="1"/>
    <n v="10"/>
    <x v="224"/>
    <x v="7"/>
    <x v="3"/>
  </r>
  <r>
    <x v="4"/>
    <s v="card"/>
    <n v="25.96"/>
    <x v="2"/>
    <x v="1"/>
    <s v="Oct"/>
    <n v="1"/>
    <n v="10"/>
    <x v="224"/>
    <x v="7"/>
    <x v="3"/>
  </r>
  <r>
    <x v="5"/>
    <s v="card"/>
    <n v="35.76"/>
    <x v="0"/>
    <x v="2"/>
    <s v="Oct"/>
    <n v="1"/>
    <n v="10"/>
    <x v="224"/>
    <x v="7"/>
    <x v="3"/>
  </r>
  <r>
    <x v="5"/>
    <s v="card"/>
    <n v="35.76"/>
    <x v="7"/>
    <x v="2"/>
    <s v="Oct"/>
    <n v="1"/>
    <n v="10"/>
    <x v="224"/>
    <x v="7"/>
    <x v="3"/>
  </r>
  <r>
    <x v="13"/>
    <s v="card"/>
    <n v="35.76"/>
    <x v="0"/>
    <x v="2"/>
    <s v="Oct"/>
    <n v="1"/>
    <n v="10"/>
    <x v="224"/>
    <x v="7"/>
    <x v="3"/>
  </r>
  <r>
    <x v="13"/>
    <s v="card"/>
    <n v="35.76"/>
    <x v="0"/>
    <x v="2"/>
    <s v="Oct"/>
    <n v="1"/>
    <n v="10"/>
    <x v="224"/>
    <x v="7"/>
    <x v="3"/>
  </r>
  <r>
    <x v="13"/>
    <s v="card"/>
    <n v="35.76"/>
    <x v="0"/>
    <x v="2"/>
    <s v="Oct"/>
    <n v="1"/>
    <n v="10"/>
    <x v="224"/>
    <x v="7"/>
    <x v="3"/>
  </r>
  <r>
    <x v="12"/>
    <s v="card"/>
    <n v="25.96"/>
    <x v="5"/>
    <x v="0"/>
    <s v="Oct"/>
    <n v="2"/>
    <n v="10"/>
    <x v="225"/>
    <x v="7"/>
    <x v="4"/>
  </r>
  <r>
    <x v="12"/>
    <s v="card"/>
    <n v="21.06"/>
    <x v="6"/>
    <x v="0"/>
    <s v="Oct"/>
    <n v="2"/>
    <n v="10"/>
    <x v="225"/>
    <x v="7"/>
    <x v="4"/>
  </r>
  <r>
    <x v="7"/>
    <s v="card"/>
    <n v="35.76"/>
    <x v="1"/>
    <x v="0"/>
    <s v="Oct"/>
    <n v="2"/>
    <n v="10"/>
    <x v="225"/>
    <x v="7"/>
    <x v="4"/>
  </r>
  <r>
    <x v="7"/>
    <s v="card"/>
    <n v="35.76"/>
    <x v="0"/>
    <x v="0"/>
    <s v="Oct"/>
    <n v="2"/>
    <n v="10"/>
    <x v="225"/>
    <x v="7"/>
    <x v="4"/>
  </r>
  <r>
    <x v="7"/>
    <s v="card"/>
    <n v="35.76"/>
    <x v="1"/>
    <x v="0"/>
    <s v="Oct"/>
    <n v="2"/>
    <n v="10"/>
    <x v="225"/>
    <x v="7"/>
    <x v="4"/>
  </r>
  <r>
    <x v="2"/>
    <s v="card"/>
    <n v="35.76"/>
    <x v="0"/>
    <x v="1"/>
    <s v="Oct"/>
    <n v="2"/>
    <n v="10"/>
    <x v="225"/>
    <x v="7"/>
    <x v="4"/>
  </r>
  <r>
    <x v="2"/>
    <s v="card"/>
    <n v="30.86"/>
    <x v="3"/>
    <x v="1"/>
    <s v="Oct"/>
    <n v="2"/>
    <n v="10"/>
    <x v="225"/>
    <x v="7"/>
    <x v="4"/>
  </r>
  <r>
    <x v="3"/>
    <s v="card"/>
    <n v="35.76"/>
    <x v="0"/>
    <x v="1"/>
    <s v="Oct"/>
    <n v="2"/>
    <n v="10"/>
    <x v="225"/>
    <x v="7"/>
    <x v="4"/>
  </r>
  <r>
    <x v="3"/>
    <s v="card"/>
    <n v="25.96"/>
    <x v="2"/>
    <x v="1"/>
    <s v="Oct"/>
    <n v="2"/>
    <n v="10"/>
    <x v="225"/>
    <x v="7"/>
    <x v="4"/>
  </r>
  <r>
    <x v="3"/>
    <s v="card"/>
    <n v="21.06"/>
    <x v="6"/>
    <x v="1"/>
    <s v="Oct"/>
    <n v="2"/>
    <n v="10"/>
    <x v="225"/>
    <x v="7"/>
    <x v="4"/>
  </r>
  <r>
    <x v="9"/>
    <s v="card"/>
    <n v="35.76"/>
    <x v="1"/>
    <x v="2"/>
    <s v="Oct"/>
    <n v="2"/>
    <n v="10"/>
    <x v="225"/>
    <x v="7"/>
    <x v="4"/>
  </r>
  <r>
    <x v="6"/>
    <s v="card"/>
    <n v="25.96"/>
    <x v="2"/>
    <x v="2"/>
    <s v="Oct"/>
    <n v="2"/>
    <n v="10"/>
    <x v="225"/>
    <x v="7"/>
    <x v="4"/>
  </r>
  <r>
    <x v="6"/>
    <s v="card"/>
    <n v="35.76"/>
    <x v="4"/>
    <x v="2"/>
    <s v="Oct"/>
    <n v="2"/>
    <n v="10"/>
    <x v="225"/>
    <x v="7"/>
    <x v="4"/>
  </r>
  <r>
    <x v="11"/>
    <s v="card"/>
    <n v="35.76"/>
    <x v="0"/>
    <x v="2"/>
    <s v="Oct"/>
    <n v="2"/>
    <n v="10"/>
    <x v="225"/>
    <x v="7"/>
    <x v="4"/>
  </r>
  <r>
    <x v="11"/>
    <s v="card"/>
    <n v="35.76"/>
    <x v="0"/>
    <x v="2"/>
    <s v="Oct"/>
    <n v="2"/>
    <n v="10"/>
    <x v="225"/>
    <x v="7"/>
    <x v="4"/>
  </r>
  <r>
    <x v="15"/>
    <s v="card"/>
    <n v="35.76"/>
    <x v="1"/>
    <x v="2"/>
    <s v="Oct"/>
    <n v="2"/>
    <n v="10"/>
    <x v="225"/>
    <x v="7"/>
    <x v="4"/>
  </r>
  <r>
    <x v="15"/>
    <s v="card"/>
    <n v="35.76"/>
    <x v="1"/>
    <x v="2"/>
    <s v="Oct"/>
    <n v="2"/>
    <n v="10"/>
    <x v="225"/>
    <x v="7"/>
    <x v="4"/>
  </r>
  <r>
    <x v="13"/>
    <s v="card"/>
    <n v="35.76"/>
    <x v="0"/>
    <x v="2"/>
    <s v="Oct"/>
    <n v="2"/>
    <n v="10"/>
    <x v="225"/>
    <x v="7"/>
    <x v="4"/>
  </r>
  <r>
    <x v="12"/>
    <s v="card"/>
    <n v="30.86"/>
    <x v="3"/>
    <x v="0"/>
    <s v="Oct"/>
    <n v="3"/>
    <n v="10"/>
    <x v="226"/>
    <x v="7"/>
    <x v="5"/>
  </r>
  <r>
    <x v="12"/>
    <s v="card"/>
    <n v="35.76"/>
    <x v="1"/>
    <x v="0"/>
    <s v="Oct"/>
    <n v="3"/>
    <n v="10"/>
    <x v="226"/>
    <x v="7"/>
    <x v="5"/>
  </r>
  <r>
    <x v="10"/>
    <s v="card"/>
    <n v="35.76"/>
    <x v="0"/>
    <x v="0"/>
    <s v="Oct"/>
    <n v="3"/>
    <n v="10"/>
    <x v="226"/>
    <x v="7"/>
    <x v="5"/>
  </r>
  <r>
    <x v="0"/>
    <s v="card"/>
    <n v="30.86"/>
    <x v="3"/>
    <x v="0"/>
    <s v="Oct"/>
    <n v="3"/>
    <n v="10"/>
    <x v="226"/>
    <x v="7"/>
    <x v="5"/>
  </r>
  <r>
    <x v="0"/>
    <s v="card"/>
    <n v="30.86"/>
    <x v="3"/>
    <x v="0"/>
    <s v="Oct"/>
    <n v="3"/>
    <n v="10"/>
    <x v="226"/>
    <x v="7"/>
    <x v="5"/>
  </r>
  <r>
    <x v="0"/>
    <s v="card"/>
    <n v="30.86"/>
    <x v="3"/>
    <x v="0"/>
    <s v="Oct"/>
    <n v="3"/>
    <n v="10"/>
    <x v="226"/>
    <x v="7"/>
    <x v="5"/>
  </r>
  <r>
    <x v="7"/>
    <s v="card"/>
    <n v="25.96"/>
    <x v="2"/>
    <x v="0"/>
    <s v="Oct"/>
    <n v="3"/>
    <n v="10"/>
    <x v="226"/>
    <x v="7"/>
    <x v="5"/>
  </r>
  <r>
    <x v="1"/>
    <s v="card"/>
    <n v="30.86"/>
    <x v="3"/>
    <x v="1"/>
    <s v="Oct"/>
    <n v="3"/>
    <n v="10"/>
    <x v="226"/>
    <x v="7"/>
    <x v="5"/>
  </r>
  <r>
    <x v="2"/>
    <s v="card"/>
    <n v="25.96"/>
    <x v="2"/>
    <x v="1"/>
    <s v="Oct"/>
    <n v="3"/>
    <n v="10"/>
    <x v="226"/>
    <x v="7"/>
    <x v="5"/>
  </r>
  <r>
    <x v="4"/>
    <s v="card"/>
    <n v="35.76"/>
    <x v="0"/>
    <x v="1"/>
    <s v="Oct"/>
    <n v="3"/>
    <n v="10"/>
    <x v="226"/>
    <x v="7"/>
    <x v="5"/>
  </r>
  <r>
    <x v="9"/>
    <s v="card"/>
    <n v="30.86"/>
    <x v="3"/>
    <x v="2"/>
    <s v="Oct"/>
    <n v="3"/>
    <n v="10"/>
    <x v="226"/>
    <x v="7"/>
    <x v="5"/>
  </r>
  <r>
    <x v="6"/>
    <s v="card"/>
    <n v="30.86"/>
    <x v="3"/>
    <x v="2"/>
    <s v="Oct"/>
    <n v="3"/>
    <n v="10"/>
    <x v="226"/>
    <x v="7"/>
    <x v="5"/>
  </r>
  <r>
    <x v="6"/>
    <s v="card"/>
    <n v="30.86"/>
    <x v="3"/>
    <x v="2"/>
    <s v="Oct"/>
    <n v="3"/>
    <n v="10"/>
    <x v="226"/>
    <x v="7"/>
    <x v="5"/>
  </r>
  <r>
    <x v="15"/>
    <s v="card"/>
    <n v="35.76"/>
    <x v="1"/>
    <x v="2"/>
    <s v="Oct"/>
    <n v="3"/>
    <n v="10"/>
    <x v="226"/>
    <x v="7"/>
    <x v="5"/>
  </r>
  <r>
    <x v="14"/>
    <s v="card"/>
    <n v="35.76"/>
    <x v="0"/>
    <x v="0"/>
    <s v="Oct"/>
    <n v="4"/>
    <n v="10"/>
    <x v="227"/>
    <x v="7"/>
    <x v="6"/>
  </r>
  <r>
    <x v="14"/>
    <s v="card"/>
    <n v="35.76"/>
    <x v="0"/>
    <x v="0"/>
    <s v="Oct"/>
    <n v="4"/>
    <n v="10"/>
    <x v="227"/>
    <x v="7"/>
    <x v="6"/>
  </r>
  <r>
    <x v="10"/>
    <s v="card"/>
    <n v="30.86"/>
    <x v="3"/>
    <x v="0"/>
    <s v="Oct"/>
    <n v="4"/>
    <n v="10"/>
    <x v="227"/>
    <x v="7"/>
    <x v="6"/>
  </r>
  <r>
    <x v="0"/>
    <s v="card"/>
    <n v="35.76"/>
    <x v="0"/>
    <x v="0"/>
    <s v="Oct"/>
    <n v="4"/>
    <n v="10"/>
    <x v="227"/>
    <x v="7"/>
    <x v="6"/>
  </r>
  <r>
    <x v="0"/>
    <s v="card"/>
    <n v="35.76"/>
    <x v="1"/>
    <x v="0"/>
    <s v="Oct"/>
    <n v="4"/>
    <n v="10"/>
    <x v="227"/>
    <x v="7"/>
    <x v="6"/>
  </r>
  <r>
    <x v="7"/>
    <s v="card"/>
    <n v="30.86"/>
    <x v="3"/>
    <x v="0"/>
    <s v="Oct"/>
    <n v="4"/>
    <n v="10"/>
    <x v="227"/>
    <x v="7"/>
    <x v="6"/>
  </r>
  <r>
    <x v="2"/>
    <s v="card"/>
    <n v="35.76"/>
    <x v="0"/>
    <x v="1"/>
    <s v="Oct"/>
    <n v="4"/>
    <n v="10"/>
    <x v="227"/>
    <x v="7"/>
    <x v="6"/>
  </r>
  <r>
    <x v="8"/>
    <s v="card"/>
    <n v="25.96"/>
    <x v="2"/>
    <x v="1"/>
    <s v="Oct"/>
    <n v="4"/>
    <n v="10"/>
    <x v="227"/>
    <x v="7"/>
    <x v="6"/>
  </r>
  <r>
    <x v="4"/>
    <s v="card"/>
    <n v="35.76"/>
    <x v="1"/>
    <x v="1"/>
    <s v="Oct"/>
    <n v="4"/>
    <n v="10"/>
    <x v="227"/>
    <x v="7"/>
    <x v="6"/>
  </r>
  <r>
    <x v="4"/>
    <s v="card"/>
    <n v="35.76"/>
    <x v="1"/>
    <x v="1"/>
    <s v="Oct"/>
    <n v="4"/>
    <n v="10"/>
    <x v="227"/>
    <x v="7"/>
    <x v="6"/>
  </r>
  <r>
    <x v="4"/>
    <s v="card"/>
    <n v="35.76"/>
    <x v="0"/>
    <x v="1"/>
    <s v="Oct"/>
    <n v="4"/>
    <n v="10"/>
    <x v="227"/>
    <x v="7"/>
    <x v="6"/>
  </r>
  <r>
    <x v="4"/>
    <s v="card"/>
    <n v="35.76"/>
    <x v="1"/>
    <x v="1"/>
    <s v="Oct"/>
    <n v="4"/>
    <n v="10"/>
    <x v="227"/>
    <x v="7"/>
    <x v="6"/>
  </r>
  <r>
    <x v="4"/>
    <s v="card"/>
    <n v="35.76"/>
    <x v="1"/>
    <x v="1"/>
    <s v="Oct"/>
    <n v="4"/>
    <n v="10"/>
    <x v="227"/>
    <x v="7"/>
    <x v="6"/>
  </r>
  <r>
    <x v="9"/>
    <s v="card"/>
    <n v="35.76"/>
    <x v="7"/>
    <x v="2"/>
    <s v="Oct"/>
    <n v="4"/>
    <n v="10"/>
    <x v="227"/>
    <x v="7"/>
    <x v="6"/>
  </r>
  <r>
    <x v="9"/>
    <s v="card"/>
    <n v="35.76"/>
    <x v="1"/>
    <x v="2"/>
    <s v="Oct"/>
    <n v="4"/>
    <n v="10"/>
    <x v="227"/>
    <x v="7"/>
    <x v="6"/>
  </r>
  <r>
    <x v="6"/>
    <s v="card"/>
    <n v="35.76"/>
    <x v="0"/>
    <x v="2"/>
    <s v="Oct"/>
    <n v="4"/>
    <n v="10"/>
    <x v="227"/>
    <x v="7"/>
    <x v="6"/>
  </r>
  <r>
    <x v="11"/>
    <s v="card"/>
    <n v="30.86"/>
    <x v="3"/>
    <x v="2"/>
    <s v="Oct"/>
    <n v="4"/>
    <n v="10"/>
    <x v="227"/>
    <x v="7"/>
    <x v="6"/>
  </r>
  <r>
    <x v="15"/>
    <s v="card"/>
    <n v="35.76"/>
    <x v="0"/>
    <x v="2"/>
    <s v="Oct"/>
    <n v="4"/>
    <n v="10"/>
    <x v="227"/>
    <x v="7"/>
    <x v="6"/>
  </r>
  <r>
    <x v="15"/>
    <s v="card"/>
    <n v="35.76"/>
    <x v="0"/>
    <x v="2"/>
    <s v="Oct"/>
    <n v="4"/>
    <n v="10"/>
    <x v="227"/>
    <x v="7"/>
    <x v="6"/>
  </r>
  <r>
    <x v="15"/>
    <s v="card"/>
    <n v="35.76"/>
    <x v="0"/>
    <x v="2"/>
    <s v="Oct"/>
    <n v="4"/>
    <n v="10"/>
    <x v="227"/>
    <x v="7"/>
    <x v="6"/>
  </r>
  <r>
    <x v="15"/>
    <s v="card"/>
    <n v="35.76"/>
    <x v="1"/>
    <x v="2"/>
    <s v="Oct"/>
    <n v="4"/>
    <n v="10"/>
    <x v="227"/>
    <x v="7"/>
    <x v="6"/>
  </r>
  <r>
    <x v="12"/>
    <s v="card"/>
    <n v="35.76"/>
    <x v="4"/>
    <x v="0"/>
    <s v="Oct"/>
    <n v="5"/>
    <n v="10"/>
    <x v="228"/>
    <x v="7"/>
    <x v="0"/>
  </r>
  <r>
    <x v="12"/>
    <s v="card"/>
    <n v="35.76"/>
    <x v="4"/>
    <x v="0"/>
    <s v="Oct"/>
    <n v="5"/>
    <n v="10"/>
    <x v="228"/>
    <x v="7"/>
    <x v="0"/>
  </r>
  <r>
    <x v="10"/>
    <s v="card"/>
    <n v="35.76"/>
    <x v="4"/>
    <x v="0"/>
    <s v="Oct"/>
    <n v="5"/>
    <n v="10"/>
    <x v="228"/>
    <x v="7"/>
    <x v="0"/>
  </r>
  <r>
    <x v="10"/>
    <s v="card"/>
    <n v="35.76"/>
    <x v="4"/>
    <x v="0"/>
    <s v="Oct"/>
    <n v="5"/>
    <n v="10"/>
    <x v="228"/>
    <x v="7"/>
    <x v="0"/>
  </r>
  <r>
    <x v="10"/>
    <s v="card"/>
    <n v="35.76"/>
    <x v="7"/>
    <x v="0"/>
    <s v="Oct"/>
    <n v="5"/>
    <n v="10"/>
    <x v="228"/>
    <x v="7"/>
    <x v="0"/>
  </r>
  <r>
    <x v="7"/>
    <s v="card"/>
    <n v="35.76"/>
    <x v="7"/>
    <x v="0"/>
    <s v="Oct"/>
    <n v="5"/>
    <n v="10"/>
    <x v="228"/>
    <x v="7"/>
    <x v="0"/>
  </r>
  <r>
    <x v="8"/>
    <s v="card"/>
    <n v="35.76"/>
    <x v="0"/>
    <x v="1"/>
    <s v="Oct"/>
    <n v="5"/>
    <n v="10"/>
    <x v="228"/>
    <x v="7"/>
    <x v="0"/>
  </r>
  <r>
    <x v="8"/>
    <s v="card"/>
    <n v="35.76"/>
    <x v="7"/>
    <x v="1"/>
    <s v="Oct"/>
    <n v="5"/>
    <n v="10"/>
    <x v="228"/>
    <x v="7"/>
    <x v="0"/>
  </r>
  <r>
    <x v="3"/>
    <s v="card"/>
    <n v="25.96"/>
    <x v="2"/>
    <x v="1"/>
    <s v="Oct"/>
    <n v="5"/>
    <n v="10"/>
    <x v="228"/>
    <x v="7"/>
    <x v="0"/>
  </r>
  <r>
    <x v="4"/>
    <s v="card"/>
    <n v="35.76"/>
    <x v="0"/>
    <x v="1"/>
    <s v="Oct"/>
    <n v="5"/>
    <n v="10"/>
    <x v="228"/>
    <x v="7"/>
    <x v="0"/>
  </r>
  <r>
    <x v="9"/>
    <s v="card"/>
    <n v="35.76"/>
    <x v="1"/>
    <x v="2"/>
    <s v="Oct"/>
    <n v="5"/>
    <n v="10"/>
    <x v="228"/>
    <x v="7"/>
    <x v="0"/>
  </r>
  <r>
    <x v="15"/>
    <s v="card"/>
    <n v="35.76"/>
    <x v="4"/>
    <x v="2"/>
    <s v="Oct"/>
    <n v="5"/>
    <n v="10"/>
    <x v="228"/>
    <x v="7"/>
    <x v="0"/>
  </r>
  <r>
    <x v="15"/>
    <s v="card"/>
    <n v="35.76"/>
    <x v="4"/>
    <x v="2"/>
    <s v="Oct"/>
    <n v="5"/>
    <n v="10"/>
    <x v="228"/>
    <x v="7"/>
    <x v="0"/>
  </r>
  <r>
    <x v="15"/>
    <s v="card"/>
    <n v="30.86"/>
    <x v="3"/>
    <x v="2"/>
    <s v="Oct"/>
    <n v="5"/>
    <n v="10"/>
    <x v="228"/>
    <x v="7"/>
    <x v="0"/>
  </r>
  <r>
    <x v="13"/>
    <s v="card"/>
    <n v="35.76"/>
    <x v="0"/>
    <x v="2"/>
    <s v="Oct"/>
    <n v="5"/>
    <n v="10"/>
    <x v="228"/>
    <x v="7"/>
    <x v="0"/>
  </r>
  <r>
    <x v="12"/>
    <s v="card"/>
    <n v="30.86"/>
    <x v="3"/>
    <x v="0"/>
    <s v="Oct"/>
    <n v="6"/>
    <n v="10"/>
    <x v="229"/>
    <x v="7"/>
    <x v="1"/>
  </r>
  <r>
    <x v="2"/>
    <s v="card"/>
    <n v="35.76"/>
    <x v="0"/>
    <x v="1"/>
    <s v="Oct"/>
    <n v="6"/>
    <n v="10"/>
    <x v="229"/>
    <x v="7"/>
    <x v="1"/>
  </r>
  <r>
    <x v="8"/>
    <s v="card"/>
    <n v="35.76"/>
    <x v="7"/>
    <x v="1"/>
    <s v="Oct"/>
    <n v="6"/>
    <n v="10"/>
    <x v="229"/>
    <x v="7"/>
    <x v="1"/>
  </r>
  <r>
    <x v="3"/>
    <s v="card"/>
    <n v="35.76"/>
    <x v="1"/>
    <x v="1"/>
    <s v="Oct"/>
    <n v="6"/>
    <n v="10"/>
    <x v="229"/>
    <x v="7"/>
    <x v="1"/>
  </r>
  <r>
    <x v="3"/>
    <s v="card"/>
    <n v="35.76"/>
    <x v="0"/>
    <x v="1"/>
    <s v="Oct"/>
    <n v="6"/>
    <n v="10"/>
    <x v="229"/>
    <x v="7"/>
    <x v="1"/>
  </r>
  <r>
    <x v="4"/>
    <s v="card"/>
    <n v="35.76"/>
    <x v="0"/>
    <x v="1"/>
    <s v="Oct"/>
    <n v="6"/>
    <n v="10"/>
    <x v="229"/>
    <x v="7"/>
    <x v="1"/>
  </r>
  <r>
    <x v="4"/>
    <s v="card"/>
    <n v="35.76"/>
    <x v="0"/>
    <x v="1"/>
    <s v="Oct"/>
    <n v="6"/>
    <n v="10"/>
    <x v="229"/>
    <x v="7"/>
    <x v="1"/>
  </r>
  <r>
    <x v="15"/>
    <s v="card"/>
    <n v="35.76"/>
    <x v="4"/>
    <x v="2"/>
    <s v="Oct"/>
    <n v="6"/>
    <n v="10"/>
    <x v="229"/>
    <x v="7"/>
    <x v="1"/>
  </r>
  <r>
    <x v="13"/>
    <s v="card"/>
    <n v="35.76"/>
    <x v="7"/>
    <x v="2"/>
    <s v="Oct"/>
    <n v="6"/>
    <n v="10"/>
    <x v="229"/>
    <x v="7"/>
    <x v="1"/>
  </r>
  <r>
    <x v="12"/>
    <s v="card"/>
    <n v="35.76"/>
    <x v="0"/>
    <x v="0"/>
    <s v="Oct"/>
    <n v="7"/>
    <n v="10"/>
    <x v="230"/>
    <x v="7"/>
    <x v="2"/>
  </r>
  <r>
    <x v="12"/>
    <s v="card"/>
    <n v="35.76"/>
    <x v="4"/>
    <x v="0"/>
    <s v="Oct"/>
    <n v="7"/>
    <n v="10"/>
    <x v="230"/>
    <x v="7"/>
    <x v="2"/>
  </r>
  <r>
    <x v="7"/>
    <s v="card"/>
    <n v="35.76"/>
    <x v="0"/>
    <x v="0"/>
    <s v="Oct"/>
    <n v="7"/>
    <n v="10"/>
    <x v="230"/>
    <x v="7"/>
    <x v="2"/>
  </r>
  <r>
    <x v="8"/>
    <s v="card"/>
    <n v="35.76"/>
    <x v="1"/>
    <x v="1"/>
    <s v="Oct"/>
    <n v="7"/>
    <n v="10"/>
    <x v="230"/>
    <x v="7"/>
    <x v="2"/>
  </r>
  <r>
    <x v="8"/>
    <s v="card"/>
    <n v="25.96"/>
    <x v="5"/>
    <x v="1"/>
    <s v="Oct"/>
    <n v="7"/>
    <n v="10"/>
    <x v="230"/>
    <x v="7"/>
    <x v="2"/>
  </r>
  <r>
    <x v="3"/>
    <s v="card"/>
    <n v="30.86"/>
    <x v="3"/>
    <x v="1"/>
    <s v="Oct"/>
    <n v="7"/>
    <n v="10"/>
    <x v="230"/>
    <x v="7"/>
    <x v="2"/>
  </r>
  <r>
    <x v="4"/>
    <s v="card"/>
    <n v="35.76"/>
    <x v="0"/>
    <x v="1"/>
    <s v="Oct"/>
    <n v="7"/>
    <n v="10"/>
    <x v="230"/>
    <x v="7"/>
    <x v="2"/>
  </r>
  <r>
    <x v="4"/>
    <s v="card"/>
    <n v="35.76"/>
    <x v="0"/>
    <x v="1"/>
    <s v="Oct"/>
    <n v="7"/>
    <n v="10"/>
    <x v="230"/>
    <x v="7"/>
    <x v="2"/>
  </r>
  <r>
    <x v="9"/>
    <s v="card"/>
    <n v="35.76"/>
    <x v="0"/>
    <x v="2"/>
    <s v="Oct"/>
    <n v="7"/>
    <n v="10"/>
    <x v="230"/>
    <x v="7"/>
    <x v="2"/>
  </r>
  <r>
    <x v="5"/>
    <s v="card"/>
    <n v="35.76"/>
    <x v="4"/>
    <x v="2"/>
    <s v="Oct"/>
    <n v="7"/>
    <n v="10"/>
    <x v="230"/>
    <x v="7"/>
    <x v="2"/>
  </r>
  <r>
    <x v="5"/>
    <s v="card"/>
    <n v="35.76"/>
    <x v="4"/>
    <x v="2"/>
    <s v="Oct"/>
    <n v="7"/>
    <n v="10"/>
    <x v="230"/>
    <x v="7"/>
    <x v="2"/>
  </r>
  <r>
    <x v="15"/>
    <s v="card"/>
    <n v="35.76"/>
    <x v="1"/>
    <x v="2"/>
    <s v="Oct"/>
    <n v="7"/>
    <n v="10"/>
    <x v="230"/>
    <x v="7"/>
    <x v="2"/>
  </r>
  <r>
    <x v="15"/>
    <s v="card"/>
    <n v="25.96"/>
    <x v="5"/>
    <x v="2"/>
    <s v="Oct"/>
    <n v="7"/>
    <n v="10"/>
    <x v="230"/>
    <x v="7"/>
    <x v="2"/>
  </r>
  <r>
    <x v="15"/>
    <s v="card"/>
    <n v="35.76"/>
    <x v="4"/>
    <x v="2"/>
    <s v="Oct"/>
    <n v="7"/>
    <n v="10"/>
    <x v="230"/>
    <x v="7"/>
    <x v="2"/>
  </r>
  <r>
    <x v="15"/>
    <s v="card"/>
    <n v="35.76"/>
    <x v="0"/>
    <x v="2"/>
    <s v="Oct"/>
    <n v="7"/>
    <n v="10"/>
    <x v="230"/>
    <x v="7"/>
    <x v="2"/>
  </r>
  <r>
    <x v="13"/>
    <s v="card"/>
    <n v="35.76"/>
    <x v="7"/>
    <x v="2"/>
    <s v="Oct"/>
    <n v="7"/>
    <n v="10"/>
    <x v="230"/>
    <x v="7"/>
    <x v="2"/>
  </r>
  <r>
    <x v="14"/>
    <s v="card"/>
    <n v="35.76"/>
    <x v="0"/>
    <x v="0"/>
    <s v="Oct"/>
    <n v="1"/>
    <n v="10"/>
    <x v="231"/>
    <x v="7"/>
    <x v="3"/>
  </r>
  <r>
    <x v="12"/>
    <s v="card"/>
    <n v="35.76"/>
    <x v="0"/>
    <x v="0"/>
    <s v="Oct"/>
    <n v="1"/>
    <n v="10"/>
    <x v="231"/>
    <x v="7"/>
    <x v="3"/>
  </r>
  <r>
    <x v="10"/>
    <s v="card"/>
    <n v="30.86"/>
    <x v="3"/>
    <x v="0"/>
    <s v="Oct"/>
    <n v="1"/>
    <n v="10"/>
    <x v="231"/>
    <x v="7"/>
    <x v="3"/>
  </r>
  <r>
    <x v="10"/>
    <s v="card"/>
    <n v="35.76"/>
    <x v="0"/>
    <x v="0"/>
    <s v="Oct"/>
    <n v="1"/>
    <n v="10"/>
    <x v="231"/>
    <x v="7"/>
    <x v="3"/>
  </r>
  <r>
    <x v="0"/>
    <s v="card"/>
    <n v="25.96"/>
    <x v="2"/>
    <x v="0"/>
    <s v="Oct"/>
    <n v="1"/>
    <n v="10"/>
    <x v="231"/>
    <x v="7"/>
    <x v="3"/>
  </r>
  <r>
    <x v="0"/>
    <s v="card"/>
    <n v="25.96"/>
    <x v="5"/>
    <x v="0"/>
    <s v="Oct"/>
    <n v="1"/>
    <n v="10"/>
    <x v="231"/>
    <x v="7"/>
    <x v="3"/>
  </r>
  <r>
    <x v="0"/>
    <s v="card"/>
    <n v="25.96"/>
    <x v="5"/>
    <x v="0"/>
    <s v="Oct"/>
    <n v="1"/>
    <n v="10"/>
    <x v="231"/>
    <x v="7"/>
    <x v="3"/>
  </r>
  <r>
    <x v="7"/>
    <s v="card"/>
    <n v="21.06"/>
    <x v="6"/>
    <x v="0"/>
    <s v="Oct"/>
    <n v="1"/>
    <n v="10"/>
    <x v="231"/>
    <x v="7"/>
    <x v="3"/>
  </r>
  <r>
    <x v="1"/>
    <s v="card"/>
    <n v="35.76"/>
    <x v="7"/>
    <x v="1"/>
    <s v="Oct"/>
    <n v="1"/>
    <n v="10"/>
    <x v="231"/>
    <x v="7"/>
    <x v="3"/>
  </r>
  <r>
    <x v="8"/>
    <s v="card"/>
    <n v="35.76"/>
    <x v="0"/>
    <x v="1"/>
    <s v="Oct"/>
    <n v="1"/>
    <n v="10"/>
    <x v="231"/>
    <x v="7"/>
    <x v="3"/>
  </r>
  <r>
    <x v="8"/>
    <s v="card"/>
    <n v="35.76"/>
    <x v="0"/>
    <x v="1"/>
    <s v="Oct"/>
    <n v="1"/>
    <n v="10"/>
    <x v="231"/>
    <x v="7"/>
    <x v="3"/>
  </r>
  <r>
    <x v="3"/>
    <s v="card"/>
    <n v="30.86"/>
    <x v="3"/>
    <x v="1"/>
    <s v="Oct"/>
    <n v="1"/>
    <n v="10"/>
    <x v="231"/>
    <x v="7"/>
    <x v="3"/>
  </r>
  <r>
    <x v="3"/>
    <s v="card"/>
    <n v="25.96"/>
    <x v="5"/>
    <x v="1"/>
    <s v="Oct"/>
    <n v="1"/>
    <n v="10"/>
    <x v="231"/>
    <x v="7"/>
    <x v="3"/>
  </r>
  <r>
    <x v="4"/>
    <s v="card"/>
    <n v="35.76"/>
    <x v="4"/>
    <x v="1"/>
    <s v="Oct"/>
    <n v="1"/>
    <n v="10"/>
    <x v="231"/>
    <x v="7"/>
    <x v="3"/>
  </r>
  <r>
    <x v="4"/>
    <s v="card"/>
    <n v="35.76"/>
    <x v="0"/>
    <x v="1"/>
    <s v="Oct"/>
    <n v="1"/>
    <n v="10"/>
    <x v="231"/>
    <x v="7"/>
    <x v="3"/>
  </r>
  <r>
    <x v="6"/>
    <s v="card"/>
    <n v="35.76"/>
    <x v="1"/>
    <x v="2"/>
    <s v="Oct"/>
    <n v="1"/>
    <n v="10"/>
    <x v="231"/>
    <x v="7"/>
    <x v="3"/>
  </r>
  <r>
    <x v="15"/>
    <s v="card"/>
    <n v="35.76"/>
    <x v="0"/>
    <x v="2"/>
    <s v="Oct"/>
    <n v="1"/>
    <n v="10"/>
    <x v="231"/>
    <x v="7"/>
    <x v="3"/>
  </r>
  <r>
    <x v="13"/>
    <s v="card"/>
    <n v="35.76"/>
    <x v="4"/>
    <x v="2"/>
    <s v="Oct"/>
    <n v="1"/>
    <n v="10"/>
    <x v="231"/>
    <x v="7"/>
    <x v="3"/>
  </r>
  <r>
    <x v="13"/>
    <s v="card"/>
    <n v="35.76"/>
    <x v="1"/>
    <x v="2"/>
    <s v="Oct"/>
    <n v="1"/>
    <n v="10"/>
    <x v="231"/>
    <x v="7"/>
    <x v="3"/>
  </r>
  <r>
    <x v="14"/>
    <s v="card"/>
    <n v="35.76"/>
    <x v="0"/>
    <x v="0"/>
    <s v="Oct"/>
    <n v="2"/>
    <n v="10"/>
    <x v="232"/>
    <x v="7"/>
    <x v="4"/>
  </r>
  <r>
    <x v="14"/>
    <s v="card"/>
    <n v="35.76"/>
    <x v="7"/>
    <x v="0"/>
    <s v="Oct"/>
    <n v="2"/>
    <n v="10"/>
    <x v="232"/>
    <x v="7"/>
    <x v="4"/>
  </r>
  <r>
    <x v="12"/>
    <s v="card"/>
    <n v="30.86"/>
    <x v="3"/>
    <x v="0"/>
    <s v="Oct"/>
    <n v="2"/>
    <n v="10"/>
    <x v="232"/>
    <x v="7"/>
    <x v="4"/>
  </r>
  <r>
    <x v="10"/>
    <s v="card"/>
    <n v="25.96"/>
    <x v="5"/>
    <x v="0"/>
    <s v="Oct"/>
    <n v="2"/>
    <n v="10"/>
    <x v="232"/>
    <x v="7"/>
    <x v="4"/>
  </r>
  <r>
    <x v="0"/>
    <s v="card"/>
    <n v="21.06"/>
    <x v="6"/>
    <x v="0"/>
    <s v="Oct"/>
    <n v="2"/>
    <n v="10"/>
    <x v="232"/>
    <x v="7"/>
    <x v="4"/>
  </r>
  <r>
    <x v="0"/>
    <s v="card"/>
    <n v="25.96"/>
    <x v="5"/>
    <x v="0"/>
    <s v="Oct"/>
    <n v="2"/>
    <n v="10"/>
    <x v="232"/>
    <x v="7"/>
    <x v="4"/>
  </r>
  <r>
    <x v="5"/>
    <s v="card"/>
    <n v="25.96"/>
    <x v="2"/>
    <x v="2"/>
    <s v="Oct"/>
    <n v="2"/>
    <n v="10"/>
    <x v="232"/>
    <x v="7"/>
    <x v="4"/>
  </r>
  <r>
    <x v="6"/>
    <s v="card"/>
    <n v="35.76"/>
    <x v="1"/>
    <x v="2"/>
    <s v="Oct"/>
    <n v="2"/>
    <n v="10"/>
    <x v="232"/>
    <x v="7"/>
    <x v="4"/>
  </r>
  <r>
    <x v="6"/>
    <s v="card"/>
    <n v="35.76"/>
    <x v="0"/>
    <x v="2"/>
    <s v="Oct"/>
    <n v="2"/>
    <n v="10"/>
    <x v="232"/>
    <x v="7"/>
    <x v="4"/>
  </r>
  <r>
    <x v="14"/>
    <s v="card"/>
    <n v="35.76"/>
    <x v="0"/>
    <x v="0"/>
    <s v="Oct"/>
    <n v="3"/>
    <n v="10"/>
    <x v="233"/>
    <x v="7"/>
    <x v="5"/>
  </r>
  <r>
    <x v="12"/>
    <s v="card"/>
    <n v="30.86"/>
    <x v="3"/>
    <x v="0"/>
    <s v="Oct"/>
    <n v="3"/>
    <n v="10"/>
    <x v="233"/>
    <x v="7"/>
    <x v="5"/>
  </r>
  <r>
    <x v="0"/>
    <s v="card"/>
    <n v="25.96"/>
    <x v="5"/>
    <x v="0"/>
    <s v="Oct"/>
    <n v="3"/>
    <n v="10"/>
    <x v="233"/>
    <x v="7"/>
    <x v="5"/>
  </r>
  <r>
    <x v="1"/>
    <s v="card"/>
    <n v="30.86"/>
    <x v="3"/>
    <x v="1"/>
    <s v="Oct"/>
    <n v="3"/>
    <n v="10"/>
    <x v="233"/>
    <x v="7"/>
    <x v="5"/>
  </r>
  <r>
    <x v="4"/>
    <s v="card"/>
    <n v="30.86"/>
    <x v="3"/>
    <x v="1"/>
    <s v="Oct"/>
    <n v="3"/>
    <n v="10"/>
    <x v="233"/>
    <x v="7"/>
    <x v="5"/>
  </r>
  <r>
    <x v="4"/>
    <s v="card"/>
    <n v="30.86"/>
    <x v="3"/>
    <x v="1"/>
    <s v="Oct"/>
    <n v="3"/>
    <n v="10"/>
    <x v="233"/>
    <x v="7"/>
    <x v="5"/>
  </r>
  <r>
    <x v="4"/>
    <s v="card"/>
    <n v="35.76"/>
    <x v="7"/>
    <x v="1"/>
    <s v="Oct"/>
    <n v="3"/>
    <n v="10"/>
    <x v="233"/>
    <x v="7"/>
    <x v="5"/>
  </r>
  <r>
    <x v="9"/>
    <s v="card"/>
    <n v="21.06"/>
    <x v="6"/>
    <x v="2"/>
    <s v="Oct"/>
    <n v="3"/>
    <n v="10"/>
    <x v="233"/>
    <x v="7"/>
    <x v="5"/>
  </r>
  <r>
    <x v="5"/>
    <s v="card"/>
    <n v="35.76"/>
    <x v="4"/>
    <x v="2"/>
    <s v="Oct"/>
    <n v="3"/>
    <n v="10"/>
    <x v="233"/>
    <x v="7"/>
    <x v="5"/>
  </r>
  <r>
    <x v="6"/>
    <s v="card"/>
    <n v="35.76"/>
    <x v="7"/>
    <x v="2"/>
    <s v="Oct"/>
    <n v="3"/>
    <n v="10"/>
    <x v="233"/>
    <x v="7"/>
    <x v="5"/>
  </r>
  <r>
    <x v="15"/>
    <s v="card"/>
    <n v="30.86"/>
    <x v="3"/>
    <x v="2"/>
    <s v="Oct"/>
    <n v="3"/>
    <n v="10"/>
    <x v="233"/>
    <x v="7"/>
    <x v="5"/>
  </r>
  <r>
    <x v="15"/>
    <s v="card"/>
    <n v="35.76"/>
    <x v="1"/>
    <x v="2"/>
    <s v="Oct"/>
    <n v="3"/>
    <n v="10"/>
    <x v="233"/>
    <x v="7"/>
    <x v="5"/>
  </r>
  <r>
    <x v="13"/>
    <s v="card"/>
    <n v="35.76"/>
    <x v="0"/>
    <x v="2"/>
    <s v="Oct"/>
    <n v="3"/>
    <n v="10"/>
    <x v="233"/>
    <x v="7"/>
    <x v="5"/>
  </r>
  <r>
    <x v="1"/>
    <s v="card"/>
    <n v="25.96"/>
    <x v="2"/>
    <x v="1"/>
    <s v="Oct"/>
    <n v="4"/>
    <n v="10"/>
    <x v="234"/>
    <x v="7"/>
    <x v="6"/>
  </r>
  <r>
    <x v="2"/>
    <s v="card"/>
    <n v="35.76"/>
    <x v="7"/>
    <x v="1"/>
    <s v="Oct"/>
    <n v="4"/>
    <n v="10"/>
    <x v="234"/>
    <x v="7"/>
    <x v="6"/>
  </r>
  <r>
    <x v="8"/>
    <s v="card"/>
    <n v="35.76"/>
    <x v="7"/>
    <x v="1"/>
    <s v="Oct"/>
    <n v="4"/>
    <n v="10"/>
    <x v="234"/>
    <x v="7"/>
    <x v="6"/>
  </r>
  <r>
    <x v="8"/>
    <s v="card"/>
    <n v="35.76"/>
    <x v="1"/>
    <x v="1"/>
    <s v="Oct"/>
    <n v="4"/>
    <n v="10"/>
    <x v="234"/>
    <x v="7"/>
    <x v="6"/>
  </r>
  <r>
    <x v="8"/>
    <s v="card"/>
    <n v="35.76"/>
    <x v="0"/>
    <x v="1"/>
    <s v="Oct"/>
    <n v="4"/>
    <n v="10"/>
    <x v="234"/>
    <x v="7"/>
    <x v="6"/>
  </r>
  <r>
    <x v="3"/>
    <s v="card"/>
    <n v="35.76"/>
    <x v="0"/>
    <x v="1"/>
    <s v="Oct"/>
    <n v="4"/>
    <n v="10"/>
    <x v="234"/>
    <x v="7"/>
    <x v="6"/>
  </r>
  <r>
    <x v="3"/>
    <s v="card"/>
    <n v="35.76"/>
    <x v="0"/>
    <x v="1"/>
    <s v="Oct"/>
    <n v="4"/>
    <n v="10"/>
    <x v="234"/>
    <x v="7"/>
    <x v="6"/>
  </r>
  <r>
    <x v="5"/>
    <s v="card"/>
    <n v="25.96"/>
    <x v="2"/>
    <x v="2"/>
    <s v="Oct"/>
    <n v="4"/>
    <n v="10"/>
    <x v="234"/>
    <x v="7"/>
    <x v="6"/>
  </r>
  <r>
    <x v="5"/>
    <s v="card"/>
    <n v="25.96"/>
    <x v="2"/>
    <x v="2"/>
    <s v="Oct"/>
    <n v="4"/>
    <n v="10"/>
    <x v="234"/>
    <x v="7"/>
    <x v="6"/>
  </r>
  <r>
    <x v="6"/>
    <s v="card"/>
    <n v="35.76"/>
    <x v="0"/>
    <x v="2"/>
    <s v="Oct"/>
    <n v="4"/>
    <n v="10"/>
    <x v="234"/>
    <x v="7"/>
    <x v="6"/>
  </r>
  <r>
    <x v="11"/>
    <s v="card"/>
    <n v="25.96"/>
    <x v="2"/>
    <x v="2"/>
    <s v="Oct"/>
    <n v="4"/>
    <n v="10"/>
    <x v="234"/>
    <x v="7"/>
    <x v="6"/>
  </r>
  <r>
    <x v="15"/>
    <s v="card"/>
    <n v="35.76"/>
    <x v="1"/>
    <x v="2"/>
    <s v="Oct"/>
    <n v="4"/>
    <n v="10"/>
    <x v="234"/>
    <x v="7"/>
    <x v="6"/>
  </r>
  <r>
    <x v="15"/>
    <s v="card"/>
    <n v="35.76"/>
    <x v="1"/>
    <x v="2"/>
    <s v="Oct"/>
    <n v="4"/>
    <n v="10"/>
    <x v="234"/>
    <x v="7"/>
    <x v="6"/>
  </r>
  <r>
    <x v="15"/>
    <s v="card"/>
    <n v="35.76"/>
    <x v="1"/>
    <x v="2"/>
    <s v="Oct"/>
    <n v="4"/>
    <n v="10"/>
    <x v="234"/>
    <x v="7"/>
    <x v="6"/>
  </r>
  <r>
    <x v="15"/>
    <s v="card"/>
    <n v="35.76"/>
    <x v="7"/>
    <x v="2"/>
    <s v="Oct"/>
    <n v="4"/>
    <n v="10"/>
    <x v="234"/>
    <x v="7"/>
    <x v="6"/>
  </r>
  <r>
    <x v="14"/>
    <s v="card"/>
    <n v="35.76"/>
    <x v="7"/>
    <x v="0"/>
    <s v="Oct"/>
    <n v="5"/>
    <n v="10"/>
    <x v="235"/>
    <x v="7"/>
    <x v="0"/>
  </r>
  <r>
    <x v="14"/>
    <s v="card"/>
    <n v="21.06"/>
    <x v="6"/>
    <x v="0"/>
    <s v="Oct"/>
    <n v="5"/>
    <n v="10"/>
    <x v="235"/>
    <x v="7"/>
    <x v="0"/>
  </r>
  <r>
    <x v="12"/>
    <s v="card"/>
    <n v="35.76"/>
    <x v="4"/>
    <x v="0"/>
    <s v="Oct"/>
    <n v="5"/>
    <n v="10"/>
    <x v="235"/>
    <x v="7"/>
    <x v="0"/>
  </r>
  <r>
    <x v="12"/>
    <s v="card"/>
    <n v="35.76"/>
    <x v="0"/>
    <x v="0"/>
    <s v="Oct"/>
    <n v="5"/>
    <n v="10"/>
    <x v="235"/>
    <x v="7"/>
    <x v="0"/>
  </r>
  <r>
    <x v="12"/>
    <s v="card"/>
    <n v="35.76"/>
    <x v="4"/>
    <x v="0"/>
    <s v="Oct"/>
    <n v="5"/>
    <n v="10"/>
    <x v="235"/>
    <x v="7"/>
    <x v="0"/>
  </r>
  <r>
    <x v="0"/>
    <s v="card"/>
    <n v="25.96"/>
    <x v="2"/>
    <x v="0"/>
    <s v="Oct"/>
    <n v="5"/>
    <n v="10"/>
    <x v="235"/>
    <x v="7"/>
    <x v="0"/>
  </r>
  <r>
    <x v="0"/>
    <s v="card"/>
    <n v="25.96"/>
    <x v="2"/>
    <x v="0"/>
    <s v="Oct"/>
    <n v="5"/>
    <n v="10"/>
    <x v="235"/>
    <x v="7"/>
    <x v="0"/>
  </r>
  <r>
    <x v="0"/>
    <s v="card"/>
    <n v="30.86"/>
    <x v="3"/>
    <x v="0"/>
    <s v="Oct"/>
    <n v="5"/>
    <n v="10"/>
    <x v="235"/>
    <x v="7"/>
    <x v="0"/>
  </r>
  <r>
    <x v="7"/>
    <s v="card"/>
    <n v="35.76"/>
    <x v="4"/>
    <x v="0"/>
    <s v="Oct"/>
    <n v="5"/>
    <n v="10"/>
    <x v="235"/>
    <x v="7"/>
    <x v="0"/>
  </r>
  <r>
    <x v="7"/>
    <s v="card"/>
    <n v="35.76"/>
    <x v="4"/>
    <x v="0"/>
    <s v="Oct"/>
    <n v="5"/>
    <n v="10"/>
    <x v="235"/>
    <x v="7"/>
    <x v="0"/>
  </r>
  <r>
    <x v="1"/>
    <s v="card"/>
    <n v="25.96"/>
    <x v="5"/>
    <x v="1"/>
    <s v="Oct"/>
    <n v="5"/>
    <n v="10"/>
    <x v="235"/>
    <x v="7"/>
    <x v="0"/>
  </r>
  <r>
    <x v="1"/>
    <s v="card"/>
    <n v="35.76"/>
    <x v="0"/>
    <x v="1"/>
    <s v="Oct"/>
    <n v="5"/>
    <n v="10"/>
    <x v="235"/>
    <x v="7"/>
    <x v="0"/>
  </r>
  <r>
    <x v="8"/>
    <s v="card"/>
    <n v="35.76"/>
    <x v="7"/>
    <x v="1"/>
    <s v="Oct"/>
    <n v="5"/>
    <n v="10"/>
    <x v="235"/>
    <x v="7"/>
    <x v="0"/>
  </r>
  <r>
    <x v="13"/>
    <s v="card"/>
    <n v="35.76"/>
    <x v="1"/>
    <x v="2"/>
    <s v="Oct"/>
    <n v="5"/>
    <n v="10"/>
    <x v="235"/>
    <x v="7"/>
    <x v="0"/>
  </r>
  <r>
    <x v="13"/>
    <s v="card"/>
    <n v="21.06"/>
    <x v="6"/>
    <x v="2"/>
    <s v="Oct"/>
    <n v="5"/>
    <n v="10"/>
    <x v="235"/>
    <x v="7"/>
    <x v="0"/>
  </r>
  <r>
    <x v="14"/>
    <s v="card"/>
    <n v="35.76"/>
    <x v="7"/>
    <x v="0"/>
    <s v="Oct"/>
    <n v="6"/>
    <n v="10"/>
    <x v="236"/>
    <x v="7"/>
    <x v="1"/>
  </r>
  <r>
    <x v="12"/>
    <s v="card"/>
    <n v="25.96"/>
    <x v="5"/>
    <x v="0"/>
    <s v="Oct"/>
    <n v="6"/>
    <n v="10"/>
    <x v="236"/>
    <x v="7"/>
    <x v="1"/>
  </r>
  <r>
    <x v="12"/>
    <s v="card"/>
    <n v="35.76"/>
    <x v="7"/>
    <x v="0"/>
    <s v="Oct"/>
    <n v="6"/>
    <n v="10"/>
    <x v="236"/>
    <x v="7"/>
    <x v="1"/>
  </r>
  <r>
    <x v="0"/>
    <s v="card"/>
    <n v="25.96"/>
    <x v="2"/>
    <x v="0"/>
    <s v="Oct"/>
    <n v="6"/>
    <n v="10"/>
    <x v="236"/>
    <x v="7"/>
    <x v="1"/>
  </r>
  <r>
    <x v="1"/>
    <s v="card"/>
    <n v="35.76"/>
    <x v="4"/>
    <x v="1"/>
    <s v="Oct"/>
    <n v="6"/>
    <n v="10"/>
    <x v="236"/>
    <x v="7"/>
    <x v="1"/>
  </r>
  <r>
    <x v="2"/>
    <s v="card"/>
    <n v="35.76"/>
    <x v="0"/>
    <x v="1"/>
    <s v="Oct"/>
    <n v="6"/>
    <n v="10"/>
    <x v="236"/>
    <x v="7"/>
    <x v="1"/>
  </r>
  <r>
    <x v="8"/>
    <s v="card"/>
    <n v="35.76"/>
    <x v="0"/>
    <x v="1"/>
    <s v="Oct"/>
    <n v="6"/>
    <n v="10"/>
    <x v="236"/>
    <x v="7"/>
    <x v="1"/>
  </r>
  <r>
    <x v="8"/>
    <s v="card"/>
    <n v="30.86"/>
    <x v="3"/>
    <x v="1"/>
    <s v="Oct"/>
    <n v="6"/>
    <n v="10"/>
    <x v="236"/>
    <x v="7"/>
    <x v="1"/>
  </r>
  <r>
    <x v="3"/>
    <s v="card"/>
    <n v="25.96"/>
    <x v="5"/>
    <x v="1"/>
    <s v="Oct"/>
    <n v="6"/>
    <n v="10"/>
    <x v="236"/>
    <x v="7"/>
    <x v="1"/>
  </r>
  <r>
    <x v="3"/>
    <s v="card"/>
    <n v="25.96"/>
    <x v="5"/>
    <x v="1"/>
    <s v="Oct"/>
    <n v="6"/>
    <n v="10"/>
    <x v="236"/>
    <x v="7"/>
    <x v="1"/>
  </r>
  <r>
    <x v="3"/>
    <s v="card"/>
    <n v="35.76"/>
    <x v="0"/>
    <x v="1"/>
    <s v="Oct"/>
    <n v="6"/>
    <n v="10"/>
    <x v="236"/>
    <x v="7"/>
    <x v="1"/>
  </r>
  <r>
    <x v="3"/>
    <s v="card"/>
    <n v="35.76"/>
    <x v="0"/>
    <x v="1"/>
    <s v="Oct"/>
    <n v="6"/>
    <n v="10"/>
    <x v="236"/>
    <x v="7"/>
    <x v="1"/>
  </r>
  <r>
    <x v="3"/>
    <s v="card"/>
    <n v="30.86"/>
    <x v="3"/>
    <x v="1"/>
    <s v="Oct"/>
    <n v="6"/>
    <n v="10"/>
    <x v="236"/>
    <x v="7"/>
    <x v="1"/>
  </r>
  <r>
    <x v="3"/>
    <s v="card"/>
    <n v="30.86"/>
    <x v="3"/>
    <x v="1"/>
    <s v="Oct"/>
    <n v="6"/>
    <n v="10"/>
    <x v="236"/>
    <x v="7"/>
    <x v="1"/>
  </r>
  <r>
    <x v="6"/>
    <s v="card"/>
    <n v="35.76"/>
    <x v="7"/>
    <x v="2"/>
    <s v="Oct"/>
    <n v="6"/>
    <n v="10"/>
    <x v="236"/>
    <x v="7"/>
    <x v="1"/>
  </r>
  <r>
    <x v="11"/>
    <s v="card"/>
    <n v="30.86"/>
    <x v="3"/>
    <x v="2"/>
    <s v="Oct"/>
    <n v="6"/>
    <n v="10"/>
    <x v="236"/>
    <x v="7"/>
    <x v="1"/>
  </r>
  <r>
    <x v="7"/>
    <s v="card"/>
    <n v="30.86"/>
    <x v="3"/>
    <x v="0"/>
    <s v="Oct"/>
    <n v="7"/>
    <n v="10"/>
    <x v="237"/>
    <x v="7"/>
    <x v="2"/>
  </r>
  <r>
    <x v="1"/>
    <s v="card"/>
    <n v="35.76"/>
    <x v="0"/>
    <x v="1"/>
    <s v="Oct"/>
    <n v="7"/>
    <n v="10"/>
    <x v="237"/>
    <x v="7"/>
    <x v="2"/>
  </r>
  <r>
    <x v="1"/>
    <s v="card"/>
    <n v="30.86"/>
    <x v="3"/>
    <x v="1"/>
    <s v="Oct"/>
    <n v="7"/>
    <n v="10"/>
    <x v="237"/>
    <x v="7"/>
    <x v="2"/>
  </r>
  <r>
    <x v="2"/>
    <s v="card"/>
    <n v="35.76"/>
    <x v="7"/>
    <x v="1"/>
    <s v="Oct"/>
    <n v="7"/>
    <n v="10"/>
    <x v="237"/>
    <x v="7"/>
    <x v="2"/>
  </r>
  <r>
    <x v="4"/>
    <s v="card"/>
    <n v="35.76"/>
    <x v="0"/>
    <x v="1"/>
    <s v="Oct"/>
    <n v="7"/>
    <n v="10"/>
    <x v="237"/>
    <x v="7"/>
    <x v="2"/>
  </r>
  <r>
    <x v="14"/>
    <s v="card"/>
    <n v="35.76"/>
    <x v="7"/>
    <x v="0"/>
    <s v="Oct"/>
    <n v="1"/>
    <n v="10"/>
    <x v="238"/>
    <x v="7"/>
    <x v="3"/>
  </r>
  <r>
    <x v="12"/>
    <s v="card"/>
    <n v="25.96"/>
    <x v="2"/>
    <x v="0"/>
    <s v="Oct"/>
    <n v="1"/>
    <n v="10"/>
    <x v="238"/>
    <x v="7"/>
    <x v="3"/>
  </r>
  <r>
    <x v="12"/>
    <s v="card"/>
    <n v="35.76"/>
    <x v="0"/>
    <x v="0"/>
    <s v="Oct"/>
    <n v="1"/>
    <n v="10"/>
    <x v="238"/>
    <x v="7"/>
    <x v="3"/>
  </r>
  <r>
    <x v="10"/>
    <s v="card"/>
    <n v="30.86"/>
    <x v="3"/>
    <x v="0"/>
    <s v="Oct"/>
    <n v="1"/>
    <n v="10"/>
    <x v="238"/>
    <x v="7"/>
    <x v="3"/>
  </r>
  <r>
    <x v="7"/>
    <s v="card"/>
    <n v="35.76"/>
    <x v="0"/>
    <x v="0"/>
    <s v="Oct"/>
    <n v="1"/>
    <n v="10"/>
    <x v="238"/>
    <x v="7"/>
    <x v="3"/>
  </r>
  <r>
    <x v="7"/>
    <s v="card"/>
    <n v="35.76"/>
    <x v="0"/>
    <x v="0"/>
    <s v="Oct"/>
    <n v="1"/>
    <n v="10"/>
    <x v="238"/>
    <x v="7"/>
    <x v="3"/>
  </r>
  <r>
    <x v="1"/>
    <s v="card"/>
    <n v="35.76"/>
    <x v="1"/>
    <x v="1"/>
    <s v="Oct"/>
    <n v="1"/>
    <n v="10"/>
    <x v="238"/>
    <x v="7"/>
    <x v="3"/>
  </r>
  <r>
    <x v="1"/>
    <s v="card"/>
    <n v="30.86"/>
    <x v="3"/>
    <x v="1"/>
    <s v="Oct"/>
    <n v="1"/>
    <n v="10"/>
    <x v="238"/>
    <x v="7"/>
    <x v="3"/>
  </r>
  <r>
    <x v="1"/>
    <s v="card"/>
    <n v="35.76"/>
    <x v="7"/>
    <x v="1"/>
    <s v="Oct"/>
    <n v="1"/>
    <n v="10"/>
    <x v="238"/>
    <x v="7"/>
    <x v="3"/>
  </r>
  <r>
    <x v="8"/>
    <s v="card"/>
    <n v="30.86"/>
    <x v="3"/>
    <x v="1"/>
    <s v="Oct"/>
    <n v="1"/>
    <n v="10"/>
    <x v="238"/>
    <x v="7"/>
    <x v="3"/>
  </r>
  <r>
    <x v="8"/>
    <s v="card"/>
    <n v="30.86"/>
    <x v="3"/>
    <x v="1"/>
    <s v="Oct"/>
    <n v="1"/>
    <n v="10"/>
    <x v="238"/>
    <x v="7"/>
    <x v="3"/>
  </r>
  <r>
    <x v="8"/>
    <s v="card"/>
    <n v="30.86"/>
    <x v="3"/>
    <x v="1"/>
    <s v="Oct"/>
    <n v="1"/>
    <n v="10"/>
    <x v="238"/>
    <x v="7"/>
    <x v="3"/>
  </r>
  <r>
    <x v="4"/>
    <s v="card"/>
    <n v="35.76"/>
    <x v="0"/>
    <x v="1"/>
    <s v="Oct"/>
    <n v="1"/>
    <n v="10"/>
    <x v="238"/>
    <x v="7"/>
    <x v="3"/>
  </r>
  <r>
    <x v="9"/>
    <s v="card"/>
    <n v="35.76"/>
    <x v="4"/>
    <x v="2"/>
    <s v="Oct"/>
    <n v="1"/>
    <n v="10"/>
    <x v="238"/>
    <x v="7"/>
    <x v="3"/>
  </r>
  <r>
    <x v="9"/>
    <s v="card"/>
    <n v="35.76"/>
    <x v="4"/>
    <x v="2"/>
    <s v="Oct"/>
    <n v="1"/>
    <n v="10"/>
    <x v="238"/>
    <x v="7"/>
    <x v="3"/>
  </r>
  <r>
    <x v="6"/>
    <s v="card"/>
    <n v="35.76"/>
    <x v="7"/>
    <x v="2"/>
    <s v="Oct"/>
    <n v="1"/>
    <n v="10"/>
    <x v="238"/>
    <x v="7"/>
    <x v="3"/>
  </r>
  <r>
    <x v="15"/>
    <s v="card"/>
    <n v="30.86"/>
    <x v="3"/>
    <x v="2"/>
    <s v="Oct"/>
    <n v="1"/>
    <n v="10"/>
    <x v="238"/>
    <x v="7"/>
    <x v="3"/>
  </r>
  <r>
    <x v="13"/>
    <s v="card"/>
    <n v="30.86"/>
    <x v="3"/>
    <x v="2"/>
    <s v="Oct"/>
    <n v="1"/>
    <n v="10"/>
    <x v="238"/>
    <x v="7"/>
    <x v="3"/>
  </r>
  <r>
    <x v="12"/>
    <s v="card"/>
    <n v="35.76"/>
    <x v="0"/>
    <x v="0"/>
    <s v="Oct"/>
    <n v="2"/>
    <n v="10"/>
    <x v="239"/>
    <x v="7"/>
    <x v="4"/>
  </r>
  <r>
    <x v="12"/>
    <s v="card"/>
    <n v="35.76"/>
    <x v="0"/>
    <x v="0"/>
    <s v="Oct"/>
    <n v="2"/>
    <n v="10"/>
    <x v="239"/>
    <x v="7"/>
    <x v="4"/>
  </r>
  <r>
    <x v="10"/>
    <s v="card"/>
    <n v="35.76"/>
    <x v="0"/>
    <x v="0"/>
    <s v="Oct"/>
    <n v="2"/>
    <n v="10"/>
    <x v="239"/>
    <x v="7"/>
    <x v="4"/>
  </r>
  <r>
    <x v="7"/>
    <s v="card"/>
    <n v="30.86"/>
    <x v="3"/>
    <x v="0"/>
    <s v="Oct"/>
    <n v="2"/>
    <n v="10"/>
    <x v="239"/>
    <x v="7"/>
    <x v="4"/>
  </r>
  <r>
    <x v="1"/>
    <s v="card"/>
    <n v="21.06"/>
    <x v="6"/>
    <x v="1"/>
    <s v="Oct"/>
    <n v="2"/>
    <n v="10"/>
    <x v="239"/>
    <x v="7"/>
    <x v="4"/>
  </r>
  <r>
    <x v="8"/>
    <s v="card"/>
    <n v="25.96"/>
    <x v="5"/>
    <x v="1"/>
    <s v="Oct"/>
    <n v="2"/>
    <n v="10"/>
    <x v="239"/>
    <x v="7"/>
    <x v="4"/>
  </r>
  <r>
    <x v="8"/>
    <s v="card"/>
    <n v="25.96"/>
    <x v="5"/>
    <x v="1"/>
    <s v="Oct"/>
    <n v="2"/>
    <n v="10"/>
    <x v="239"/>
    <x v="7"/>
    <x v="4"/>
  </r>
  <r>
    <x v="8"/>
    <s v="card"/>
    <n v="35.76"/>
    <x v="7"/>
    <x v="1"/>
    <s v="Oct"/>
    <n v="2"/>
    <n v="10"/>
    <x v="239"/>
    <x v="7"/>
    <x v="4"/>
  </r>
  <r>
    <x v="4"/>
    <s v="card"/>
    <n v="35.76"/>
    <x v="1"/>
    <x v="1"/>
    <s v="Oct"/>
    <n v="2"/>
    <n v="10"/>
    <x v="239"/>
    <x v="7"/>
    <x v="4"/>
  </r>
  <r>
    <x v="4"/>
    <s v="card"/>
    <n v="35.76"/>
    <x v="4"/>
    <x v="1"/>
    <s v="Oct"/>
    <n v="2"/>
    <n v="10"/>
    <x v="239"/>
    <x v="7"/>
    <x v="4"/>
  </r>
  <r>
    <x v="4"/>
    <s v="card"/>
    <n v="35.76"/>
    <x v="4"/>
    <x v="1"/>
    <s v="Oct"/>
    <n v="2"/>
    <n v="10"/>
    <x v="239"/>
    <x v="7"/>
    <x v="4"/>
  </r>
  <r>
    <x v="5"/>
    <s v="card"/>
    <n v="30.86"/>
    <x v="3"/>
    <x v="2"/>
    <s v="Oct"/>
    <n v="2"/>
    <n v="10"/>
    <x v="239"/>
    <x v="7"/>
    <x v="4"/>
  </r>
  <r>
    <x v="5"/>
    <s v="card"/>
    <n v="30.86"/>
    <x v="3"/>
    <x v="2"/>
    <s v="Oct"/>
    <n v="2"/>
    <n v="10"/>
    <x v="239"/>
    <x v="7"/>
    <x v="4"/>
  </r>
  <r>
    <x v="6"/>
    <s v="card"/>
    <n v="30.86"/>
    <x v="3"/>
    <x v="2"/>
    <s v="Oct"/>
    <n v="2"/>
    <n v="10"/>
    <x v="239"/>
    <x v="7"/>
    <x v="4"/>
  </r>
  <r>
    <x v="6"/>
    <s v="card"/>
    <n v="35.76"/>
    <x v="7"/>
    <x v="2"/>
    <s v="Oct"/>
    <n v="2"/>
    <n v="10"/>
    <x v="239"/>
    <x v="7"/>
    <x v="4"/>
  </r>
  <r>
    <x v="6"/>
    <s v="card"/>
    <n v="35.76"/>
    <x v="1"/>
    <x v="2"/>
    <s v="Oct"/>
    <n v="2"/>
    <n v="10"/>
    <x v="239"/>
    <x v="7"/>
    <x v="4"/>
  </r>
  <r>
    <x v="6"/>
    <s v="card"/>
    <n v="35.76"/>
    <x v="0"/>
    <x v="2"/>
    <s v="Oct"/>
    <n v="2"/>
    <n v="10"/>
    <x v="239"/>
    <x v="7"/>
    <x v="4"/>
  </r>
  <r>
    <x v="11"/>
    <s v="card"/>
    <n v="35.76"/>
    <x v="0"/>
    <x v="2"/>
    <s v="Oct"/>
    <n v="2"/>
    <n v="10"/>
    <x v="239"/>
    <x v="7"/>
    <x v="4"/>
  </r>
  <r>
    <x v="14"/>
    <s v="card"/>
    <n v="35.76"/>
    <x v="0"/>
    <x v="0"/>
    <s v="Oct"/>
    <n v="3"/>
    <n v="10"/>
    <x v="240"/>
    <x v="7"/>
    <x v="5"/>
  </r>
  <r>
    <x v="12"/>
    <s v="card"/>
    <n v="30.86"/>
    <x v="3"/>
    <x v="0"/>
    <s v="Oct"/>
    <n v="3"/>
    <n v="10"/>
    <x v="240"/>
    <x v="7"/>
    <x v="5"/>
  </r>
  <r>
    <x v="12"/>
    <s v="card"/>
    <n v="30.86"/>
    <x v="3"/>
    <x v="0"/>
    <s v="Oct"/>
    <n v="3"/>
    <n v="10"/>
    <x v="240"/>
    <x v="7"/>
    <x v="5"/>
  </r>
  <r>
    <x v="10"/>
    <s v="card"/>
    <n v="35.76"/>
    <x v="0"/>
    <x v="0"/>
    <s v="Oct"/>
    <n v="3"/>
    <n v="10"/>
    <x v="240"/>
    <x v="7"/>
    <x v="5"/>
  </r>
  <r>
    <x v="0"/>
    <s v="card"/>
    <n v="35.76"/>
    <x v="0"/>
    <x v="0"/>
    <s v="Oct"/>
    <n v="3"/>
    <n v="10"/>
    <x v="240"/>
    <x v="7"/>
    <x v="5"/>
  </r>
  <r>
    <x v="0"/>
    <s v="card"/>
    <n v="35.76"/>
    <x v="0"/>
    <x v="0"/>
    <s v="Oct"/>
    <n v="3"/>
    <n v="10"/>
    <x v="240"/>
    <x v="7"/>
    <x v="5"/>
  </r>
  <r>
    <x v="1"/>
    <s v="card"/>
    <n v="35.76"/>
    <x v="0"/>
    <x v="1"/>
    <s v="Oct"/>
    <n v="3"/>
    <n v="10"/>
    <x v="240"/>
    <x v="7"/>
    <x v="5"/>
  </r>
  <r>
    <x v="1"/>
    <s v="card"/>
    <n v="25.96"/>
    <x v="2"/>
    <x v="1"/>
    <s v="Oct"/>
    <n v="3"/>
    <n v="10"/>
    <x v="240"/>
    <x v="7"/>
    <x v="5"/>
  </r>
  <r>
    <x v="1"/>
    <s v="card"/>
    <n v="30.86"/>
    <x v="3"/>
    <x v="1"/>
    <s v="Oct"/>
    <n v="3"/>
    <n v="10"/>
    <x v="240"/>
    <x v="7"/>
    <x v="5"/>
  </r>
  <r>
    <x v="1"/>
    <s v="card"/>
    <n v="25.96"/>
    <x v="2"/>
    <x v="1"/>
    <s v="Oct"/>
    <n v="3"/>
    <n v="10"/>
    <x v="240"/>
    <x v="7"/>
    <x v="5"/>
  </r>
  <r>
    <x v="3"/>
    <s v="card"/>
    <n v="35.76"/>
    <x v="0"/>
    <x v="1"/>
    <s v="Oct"/>
    <n v="3"/>
    <n v="10"/>
    <x v="240"/>
    <x v="7"/>
    <x v="5"/>
  </r>
  <r>
    <x v="3"/>
    <s v="card"/>
    <n v="35.76"/>
    <x v="0"/>
    <x v="1"/>
    <s v="Oct"/>
    <n v="3"/>
    <n v="10"/>
    <x v="240"/>
    <x v="7"/>
    <x v="5"/>
  </r>
  <r>
    <x v="4"/>
    <s v="card"/>
    <n v="30.86"/>
    <x v="3"/>
    <x v="1"/>
    <s v="Oct"/>
    <n v="3"/>
    <n v="10"/>
    <x v="240"/>
    <x v="7"/>
    <x v="5"/>
  </r>
  <r>
    <x v="5"/>
    <s v="card"/>
    <n v="35.76"/>
    <x v="1"/>
    <x v="2"/>
    <s v="Oct"/>
    <n v="3"/>
    <n v="10"/>
    <x v="240"/>
    <x v="7"/>
    <x v="5"/>
  </r>
  <r>
    <x v="6"/>
    <s v="card"/>
    <n v="30.86"/>
    <x v="3"/>
    <x v="2"/>
    <s v="Oct"/>
    <n v="3"/>
    <n v="10"/>
    <x v="240"/>
    <x v="7"/>
    <x v="5"/>
  </r>
  <r>
    <x v="6"/>
    <s v="card"/>
    <n v="30.86"/>
    <x v="3"/>
    <x v="2"/>
    <s v="Oct"/>
    <n v="3"/>
    <n v="10"/>
    <x v="240"/>
    <x v="7"/>
    <x v="5"/>
  </r>
  <r>
    <x v="14"/>
    <s v="card"/>
    <n v="35.76"/>
    <x v="0"/>
    <x v="0"/>
    <s v="Oct"/>
    <n v="4"/>
    <n v="10"/>
    <x v="241"/>
    <x v="7"/>
    <x v="6"/>
  </r>
  <r>
    <x v="12"/>
    <s v="card"/>
    <n v="35.76"/>
    <x v="0"/>
    <x v="0"/>
    <s v="Oct"/>
    <n v="4"/>
    <n v="10"/>
    <x v="241"/>
    <x v="7"/>
    <x v="6"/>
  </r>
  <r>
    <x v="10"/>
    <s v="card"/>
    <n v="30.86"/>
    <x v="3"/>
    <x v="0"/>
    <s v="Oct"/>
    <n v="4"/>
    <n v="10"/>
    <x v="241"/>
    <x v="7"/>
    <x v="6"/>
  </r>
  <r>
    <x v="3"/>
    <s v="card"/>
    <n v="35.76"/>
    <x v="0"/>
    <x v="1"/>
    <s v="Oct"/>
    <n v="4"/>
    <n v="10"/>
    <x v="241"/>
    <x v="7"/>
    <x v="6"/>
  </r>
  <r>
    <x v="4"/>
    <s v="card"/>
    <n v="30.86"/>
    <x v="3"/>
    <x v="1"/>
    <s v="Oct"/>
    <n v="4"/>
    <n v="10"/>
    <x v="241"/>
    <x v="7"/>
    <x v="6"/>
  </r>
  <r>
    <x v="12"/>
    <s v="card"/>
    <n v="35.76"/>
    <x v="4"/>
    <x v="0"/>
    <s v="Nov"/>
    <n v="5"/>
    <n v="11"/>
    <x v="242"/>
    <x v="8"/>
    <x v="0"/>
  </r>
  <r>
    <x v="12"/>
    <s v="card"/>
    <n v="25.96"/>
    <x v="2"/>
    <x v="0"/>
    <s v="Nov"/>
    <n v="5"/>
    <n v="11"/>
    <x v="242"/>
    <x v="8"/>
    <x v="0"/>
  </r>
  <r>
    <x v="0"/>
    <s v="card"/>
    <n v="35.76"/>
    <x v="0"/>
    <x v="0"/>
    <s v="Nov"/>
    <n v="5"/>
    <n v="11"/>
    <x v="242"/>
    <x v="8"/>
    <x v="0"/>
  </r>
  <r>
    <x v="1"/>
    <s v="card"/>
    <n v="35.76"/>
    <x v="4"/>
    <x v="1"/>
    <s v="Nov"/>
    <n v="5"/>
    <n v="11"/>
    <x v="242"/>
    <x v="8"/>
    <x v="0"/>
  </r>
  <r>
    <x v="1"/>
    <s v="card"/>
    <n v="35.76"/>
    <x v="4"/>
    <x v="1"/>
    <s v="Nov"/>
    <n v="5"/>
    <n v="11"/>
    <x v="242"/>
    <x v="8"/>
    <x v="0"/>
  </r>
  <r>
    <x v="3"/>
    <s v="card"/>
    <n v="25.96"/>
    <x v="5"/>
    <x v="1"/>
    <s v="Nov"/>
    <n v="5"/>
    <n v="11"/>
    <x v="242"/>
    <x v="8"/>
    <x v="0"/>
  </r>
  <r>
    <x v="13"/>
    <s v="card"/>
    <n v="30.86"/>
    <x v="3"/>
    <x v="2"/>
    <s v="Nov"/>
    <n v="5"/>
    <n v="11"/>
    <x v="242"/>
    <x v="8"/>
    <x v="0"/>
  </r>
  <r>
    <x v="12"/>
    <s v="card"/>
    <n v="25.96"/>
    <x v="5"/>
    <x v="0"/>
    <s v="Nov"/>
    <n v="6"/>
    <n v="11"/>
    <x v="243"/>
    <x v="8"/>
    <x v="1"/>
  </r>
  <r>
    <x v="0"/>
    <s v="card"/>
    <n v="35.76"/>
    <x v="4"/>
    <x v="0"/>
    <s v="Nov"/>
    <n v="6"/>
    <n v="11"/>
    <x v="243"/>
    <x v="8"/>
    <x v="1"/>
  </r>
  <r>
    <x v="0"/>
    <s v="card"/>
    <n v="30.86"/>
    <x v="3"/>
    <x v="0"/>
    <s v="Nov"/>
    <n v="6"/>
    <n v="11"/>
    <x v="243"/>
    <x v="8"/>
    <x v="1"/>
  </r>
  <r>
    <x v="8"/>
    <s v="card"/>
    <n v="30.86"/>
    <x v="3"/>
    <x v="1"/>
    <s v="Nov"/>
    <n v="6"/>
    <n v="11"/>
    <x v="243"/>
    <x v="8"/>
    <x v="1"/>
  </r>
  <r>
    <x v="4"/>
    <s v="card"/>
    <n v="35.76"/>
    <x v="1"/>
    <x v="1"/>
    <s v="Nov"/>
    <n v="6"/>
    <n v="11"/>
    <x v="243"/>
    <x v="8"/>
    <x v="1"/>
  </r>
  <r>
    <x v="4"/>
    <s v="card"/>
    <n v="35.76"/>
    <x v="0"/>
    <x v="1"/>
    <s v="Nov"/>
    <n v="6"/>
    <n v="11"/>
    <x v="243"/>
    <x v="8"/>
    <x v="1"/>
  </r>
  <r>
    <x v="4"/>
    <s v="card"/>
    <n v="35.76"/>
    <x v="0"/>
    <x v="1"/>
    <s v="Nov"/>
    <n v="6"/>
    <n v="11"/>
    <x v="243"/>
    <x v="8"/>
    <x v="1"/>
  </r>
  <r>
    <x v="5"/>
    <s v="card"/>
    <n v="30.86"/>
    <x v="3"/>
    <x v="2"/>
    <s v="Nov"/>
    <n v="6"/>
    <n v="11"/>
    <x v="243"/>
    <x v="8"/>
    <x v="1"/>
  </r>
  <r>
    <x v="5"/>
    <s v="card"/>
    <n v="25.96"/>
    <x v="2"/>
    <x v="2"/>
    <s v="Nov"/>
    <n v="6"/>
    <n v="11"/>
    <x v="243"/>
    <x v="8"/>
    <x v="1"/>
  </r>
  <r>
    <x v="12"/>
    <s v="card"/>
    <n v="25.96"/>
    <x v="5"/>
    <x v="0"/>
    <s v="Nov"/>
    <n v="7"/>
    <n v="11"/>
    <x v="244"/>
    <x v="8"/>
    <x v="2"/>
  </r>
  <r>
    <x v="10"/>
    <s v="card"/>
    <n v="30.86"/>
    <x v="3"/>
    <x v="0"/>
    <s v="Nov"/>
    <n v="7"/>
    <n v="11"/>
    <x v="244"/>
    <x v="8"/>
    <x v="2"/>
  </r>
  <r>
    <x v="10"/>
    <s v="card"/>
    <n v="30.86"/>
    <x v="3"/>
    <x v="0"/>
    <s v="Nov"/>
    <n v="7"/>
    <n v="11"/>
    <x v="244"/>
    <x v="8"/>
    <x v="2"/>
  </r>
  <r>
    <x v="2"/>
    <s v="card"/>
    <n v="35.76"/>
    <x v="0"/>
    <x v="1"/>
    <s v="Nov"/>
    <n v="7"/>
    <n v="11"/>
    <x v="244"/>
    <x v="8"/>
    <x v="2"/>
  </r>
  <r>
    <x v="2"/>
    <s v="card"/>
    <n v="30.86"/>
    <x v="3"/>
    <x v="1"/>
    <s v="Nov"/>
    <n v="7"/>
    <n v="11"/>
    <x v="244"/>
    <x v="8"/>
    <x v="2"/>
  </r>
  <r>
    <x v="2"/>
    <s v="card"/>
    <n v="35.76"/>
    <x v="4"/>
    <x v="1"/>
    <s v="Nov"/>
    <n v="7"/>
    <n v="11"/>
    <x v="244"/>
    <x v="8"/>
    <x v="2"/>
  </r>
  <r>
    <x v="2"/>
    <s v="card"/>
    <n v="25.96"/>
    <x v="2"/>
    <x v="1"/>
    <s v="Nov"/>
    <n v="7"/>
    <n v="11"/>
    <x v="244"/>
    <x v="8"/>
    <x v="2"/>
  </r>
  <r>
    <x v="2"/>
    <s v="card"/>
    <n v="30.86"/>
    <x v="3"/>
    <x v="1"/>
    <s v="Nov"/>
    <n v="7"/>
    <n v="11"/>
    <x v="244"/>
    <x v="8"/>
    <x v="2"/>
  </r>
  <r>
    <x v="4"/>
    <s v="card"/>
    <n v="35.76"/>
    <x v="1"/>
    <x v="1"/>
    <s v="Nov"/>
    <n v="7"/>
    <n v="11"/>
    <x v="244"/>
    <x v="8"/>
    <x v="2"/>
  </r>
  <r>
    <x v="4"/>
    <s v="card"/>
    <n v="35.76"/>
    <x v="1"/>
    <x v="1"/>
    <s v="Nov"/>
    <n v="7"/>
    <n v="11"/>
    <x v="244"/>
    <x v="8"/>
    <x v="2"/>
  </r>
  <r>
    <x v="4"/>
    <s v="card"/>
    <n v="25.96"/>
    <x v="2"/>
    <x v="1"/>
    <s v="Nov"/>
    <n v="7"/>
    <n v="11"/>
    <x v="244"/>
    <x v="8"/>
    <x v="2"/>
  </r>
  <r>
    <x v="4"/>
    <s v="card"/>
    <n v="25.96"/>
    <x v="2"/>
    <x v="1"/>
    <s v="Nov"/>
    <n v="7"/>
    <n v="11"/>
    <x v="244"/>
    <x v="8"/>
    <x v="2"/>
  </r>
  <r>
    <x v="11"/>
    <s v="card"/>
    <n v="35.76"/>
    <x v="4"/>
    <x v="2"/>
    <s v="Nov"/>
    <n v="7"/>
    <n v="11"/>
    <x v="244"/>
    <x v="8"/>
    <x v="2"/>
  </r>
  <r>
    <x v="14"/>
    <s v="card"/>
    <n v="35.76"/>
    <x v="0"/>
    <x v="0"/>
    <s v="Nov"/>
    <n v="1"/>
    <n v="11"/>
    <x v="245"/>
    <x v="8"/>
    <x v="3"/>
  </r>
  <r>
    <x v="12"/>
    <s v="card"/>
    <n v="35.76"/>
    <x v="0"/>
    <x v="0"/>
    <s v="Nov"/>
    <n v="1"/>
    <n v="11"/>
    <x v="245"/>
    <x v="8"/>
    <x v="3"/>
  </r>
  <r>
    <x v="12"/>
    <s v="card"/>
    <n v="30.86"/>
    <x v="3"/>
    <x v="0"/>
    <s v="Nov"/>
    <n v="1"/>
    <n v="11"/>
    <x v="245"/>
    <x v="8"/>
    <x v="3"/>
  </r>
  <r>
    <x v="1"/>
    <s v="card"/>
    <n v="25.96"/>
    <x v="2"/>
    <x v="1"/>
    <s v="Nov"/>
    <n v="1"/>
    <n v="11"/>
    <x v="245"/>
    <x v="8"/>
    <x v="3"/>
  </r>
  <r>
    <x v="1"/>
    <s v="card"/>
    <n v="30.86"/>
    <x v="3"/>
    <x v="1"/>
    <s v="Nov"/>
    <n v="1"/>
    <n v="11"/>
    <x v="245"/>
    <x v="8"/>
    <x v="3"/>
  </r>
  <r>
    <x v="8"/>
    <s v="card"/>
    <n v="35.76"/>
    <x v="4"/>
    <x v="1"/>
    <s v="Nov"/>
    <n v="1"/>
    <n v="11"/>
    <x v="245"/>
    <x v="8"/>
    <x v="3"/>
  </r>
  <r>
    <x v="8"/>
    <s v="card"/>
    <n v="35.76"/>
    <x v="4"/>
    <x v="1"/>
    <s v="Nov"/>
    <n v="1"/>
    <n v="11"/>
    <x v="245"/>
    <x v="8"/>
    <x v="3"/>
  </r>
  <r>
    <x v="14"/>
    <s v="card"/>
    <n v="35.76"/>
    <x v="4"/>
    <x v="0"/>
    <s v="Nov"/>
    <n v="2"/>
    <n v="11"/>
    <x v="246"/>
    <x v="8"/>
    <x v="4"/>
  </r>
  <r>
    <x v="10"/>
    <s v="card"/>
    <n v="30.86"/>
    <x v="3"/>
    <x v="0"/>
    <s v="Nov"/>
    <n v="2"/>
    <n v="11"/>
    <x v="246"/>
    <x v="8"/>
    <x v="4"/>
  </r>
  <r>
    <x v="10"/>
    <s v="card"/>
    <n v="35.76"/>
    <x v="7"/>
    <x v="0"/>
    <s v="Nov"/>
    <n v="2"/>
    <n v="11"/>
    <x v="246"/>
    <x v="8"/>
    <x v="4"/>
  </r>
  <r>
    <x v="10"/>
    <s v="card"/>
    <n v="30.86"/>
    <x v="3"/>
    <x v="0"/>
    <s v="Nov"/>
    <n v="2"/>
    <n v="11"/>
    <x v="246"/>
    <x v="8"/>
    <x v="4"/>
  </r>
  <r>
    <x v="0"/>
    <s v="card"/>
    <n v="30.86"/>
    <x v="3"/>
    <x v="0"/>
    <s v="Nov"/>
    <n v="2"/>
    <n v="11"/>
    <x v="246"/>
    <x v="8"/>
    <x v="4"/>
  </r>
  <r>
    <x v="7"/>
    <s v="card"/>
    <n v="35.76"/>
    <x v="4"/>
    <x v="0"/>
    <s v="Nov"/>
    <n v="2"/>
    <n v="11"/>
    <x v="246"/>
    <x v="8"/>
    <x v="4"/>
  </r>
  <r>
    <x v="7"/>
    <s v="card"/>
    <n v="35.76"/>
    <x v="0"/>
    <x v="0"/>
    <s v="Nov"/>
    <n v="2"/>
    <n v="11"/>
    <x v="246"/>
    <x v="8"/>
    <x v="4"/>
  </r>
  <r>
    <x v="8"/>
    <s v="card"/>
    <n v="35.76"/>
    <x v="0"/>
    <x v="1"/>
    <s v="Nov"/>
    <n v="2"/>
    <n v="11"/>
    <x v="246"/>
    <x v="8"/>
    <x v="4"/>
  </r>
  <r>
    <x v="8"/>
    <s v="card"/>
    <n v="35.76"/>
    <x v="0"/>
    <x v="1"/>
    <s v="Nov"/>
    <n v="2"/>
    <n v="11"/>
    <x v="246"/>
    <x v="8"/>
    <x v="4"/>
  </r>
  <r>
    <x v="5"/>
    <s v="card"/>
    <n v="35.76"/>
    <x v="7"/>
    <x v="2"/>
    <s v="Nov"/>
    <n v="2"/>
    <n v="11"/>
    <x v="246"/>
    <x v="8"/>
    <x v="4"/>
  </r>
  <r>
    <x v="5"/>
    <s v="card"/>
    <n v="35.76"/>
    <x v="7"/>
    <x v="2"/>
    <s v="Nov"/>
    <n v="2"/>
    <n v="11"/>
    <x v="246"/>
    <x v="8"/>
    <x v="4"/>
  </r>
  <r>
    <x v="5"/>
    <s v="card"/>
    <n v="35.76"/>
    <x v="7"/>
    <x v="2"/>
    <s v="Nov"/>
    <n v="2"/>
    <n v="11"/>
    <x v="246"/>
    <x v="8"/>
    <x v="4"/>
  </r>
  <r>
    <x v="15"/>
    <s v="card"/>
    <n v="35.76"/>
    <x v="4"/>
    <x v="2"/>
    <s v="Nov"/>
    <n v="2"/>
    <n v="11"/>
    <x v="246"/>
    <x v="8"/>
    <x v="4"/>
  </r>
  <r>
    <x v="15"/>
    <s v="card"/>
    <n v="35.76"/>
    <x v="4"/>
    <x v="2"/>
    <s v="Nov"/>
    <n v="2"/>
    <n v="11"/>
    <x v="246"/>
    <x v="8"/>
    <x v="4"/>
  </r>
  <r>
    <x v="15"/>
    <s v="card"/>
    <n v="35.76"/>
    <x v="1"/>
    <x v="2"/>
    <s v="Nov"/>
    <n v="2"/>
    <n v="11"/>
    <x v="246"/>
    <x v="8"/>
    <x v="4"/>
  </r>
  <r>
    <x v="13"/>
    <s v="card"/>
    <n v="35.76"/>
    <x v="1"/>
    <x v="2"/>
    <s v="Nov"/>
    <n v="2"/>
    <n v="11"/>
    <x v="246"/>
    <x v="8"/>
    <x v="4"/>
  </r>
  <r>
    <x v="13"/>
    <s v="card"/>
    <n v="30.86"/>
    <x v="3"/>
    <x v="2"/>
    <s v="Nov"/>
    <n v="2"/>
    <n v="11"/>
    <x v="246"/>
    <x v="8"/>
    <x v="4"/>
  </r>
  <r>
    <x v="12"/>
    <s v="card"/>
    <n v="35.76"/>
    <x v="0"/>
    <x v="0"/>
    <s v="Nov"/>
    <n v="3"/>
    <n v="11"/>
    <x v="247"/>
    <x v="8"/>
    <x v="5"/>
  </r>
  <r>
    <x v="7"/>
    <s v="card"/>
    <n v="21.06"/>
    <x v="6"/>
    <x v="0"/>
    <s v="Nov"/>
    <n v="3"/>
    <n v="11"/>
    <x v="247"/>
    <x v="8"/>
    <x v="5"/>
  </r>
  <r>
    <x v="2"/>
    <s v="card"/>
    <n v="25.96"/>
    <x v="2"/>
    <x v="1"/>
    <s v="Nov"/>
    <n v="3"/>
    <n v="11"/>
    <x v="247"/>
    <x v="8"/>
    <x v="5"/>
  </r>
  <r>
    <x v="3"/>
    <s v="card"/>
    <n v="35.76"/>
    <x v="7"/>
    <x v="1"/>
    <s v="Nov"/>
    <n v="3"/>
    <n v="11"/>
    <x v="247"/>
    <x v="8"/>
    <x v="5"/>
  </r>
  <r>
    <x v="4"/>
    <s v="card"/>
    <n v="35.76"/>
    <x v="0"/>
    <x v="1"/>
    <s v="Nov"/>
    <n v="3"/>
    <n v="11"/>
    <x v="247"/>
    <x v="8"/>
    <x v="5"/>
  </r>
  <r>
    <x v="4"/>
    <s v="card"/>
    <n v="35.76"/>
    <x v="7"/>
    <x v="1"/>
    <s v="Nov"/>
    <n v="3"/>
    <n v="11"/>
    <x v="247"/>
    <x v="8"/>
    <x v="5"/>
  </r>
  <r>
    <x v="5"/>
    <s v="card"/>
    <n v="35.76"/>
    <x v="1"/>
    <x v="2"/>
    <s v="Nov"/>
    <n v="3"/>
    <n v="11"/>
    <x v="247"/>
    <x v="8"/>
    <x v="5"/>
  </r>
  <r>
    <x v="5"/>
    <s v="card"/>
    <n v="35.76"/>
    <x v="1"/>
    <x v="2"/>
    <s v="Nov"/>
    <n v="3"/>
    <n v="11"/>
    <x v="247"/>
    <x v="8"/>
    <x v="5"/>
  </r>
  <r>
    <x v="1"/>
    <s v="card"/>
    <n v="35.76"/>
    <x v="0"/>
    <x v="1"/>
    <s v="Nov"/>
    <n v="4"/>
    <n v="11"/>
    <x v="248"/>
    <x v="8"/>
    <x v="6"/>
  </r>
  <r>
    <x v="3"/>
    <s v="card"/>
    <n v="25.96"/>
    <x v="2"/>
    <x v="1"/>
    <s v="Nov"/>
    <n v="4"/>
    <n v="11"/>
    <x v="248"/>
    <x v="8"/>
    <x v="6"/>
  </r>
  <r>
    <x v="4"/>
    <s v="card"/>
    <n v="25.96"/>
    <x v="2"/>
    <x v="1"/>
    <s v="Nov"/>
    <n v="4"/>
    <n v="11"/>
    <x v="248"/>
    <x v="8"/>
    <x v="6"/>
  </r>
  <r>
    <x v="5"/>
    <s v="card"/>
    <n v="35.76"/>
    <x v="4"/>
    <x v="2"/>
    <s v="Nov"/>
    <n v="4"/>
    <n v="11"/>
    <x v="248"/>
    <x v="8"/>
    <x v="6"/>
  </r>
  <r>
    <x v="6"/>
    <s v="card"/>
    <n v="35.76"/>
    <x v="1"/>
    <x v="2"/>
    <s v="Nov"/>
    <n v="4"/>
    <n v="11"/>
    <x v="248"/>
    <x v="8"/>
    <x v="6"/>
  </r>
  <r>
    <x v="6"/>
    <s v="card"/>
    <n v="35.76"/>
    <x v="0"/>
    <x v="2"/>
    <s v="Nov"/>
    <n v="4"/>
    <n v="11"/>
    <x v="248"/>
    <x v="8"/>
    <x v="6"/>
  </r>
  <r>
    <x v="11"/>
    <s v="card"/>
    <n v="35.76"/>
    <x v="0"/>
    <x v="2"/>
    <s v="Nov"/>
    <n v="4"/>
    <n v="11"/>
    <x v="248"/>
    <x v="8"/>
    <x v="6"/>
  </r>
  <r>
    <x v="10"/>
    <s v="card"/>
    <n v="30.86"/>
    <x v="3"/>
    <x v="0"/>
    <s v="Nov"/>
    <n v="5"/>
    <n v="11"/>
    <x v="249"/>
    <x v="8"/>
    <x v="0"/>
  </r>
  <r>
    <x v="10"/>
    <s v="card"/>
    <n v="25.96"/>
    <x v="2"/>
    <x v="0"/>
    <s v="Nov"/>
    <n v="5"/>
    <n v="11"/>
    <x v="249"/>
    <x v="8"/>
    <x v="0"/>
  </r>
  <r>
    <x v="10"/>
    <s v="card"/>
    <n v="25.96"/>
    <x v="2"/>
    <x v="0"/>
    <s v="Nov"/>
    <n v="5"/>
    <n v="11"/>
    <x v="249"/>
    <x v="8"/>
    <x v="0"/>
  </r>
  <r>
    <x v="7"/>
    <s v="card"/>
    <n v="35.76"/>
    <x v="7"/>
    <x v="0"/>
    <s v="Nov"/>
    <n v="5"/>
    <n v="11"/>
    <x v="249"/>
    <x v="8"/>
    <x v="0"/>
  </r>
  <r>
    <x v="2"/>
    <s v="card"/>
    <n v="35.76"/>
    <x v="0"/>
    <x v="1"/>
    <s v="Nov"/>
    <n v="5"/>
    <n v="11"/>
    <x v="249"/>
    <x v="8"/>
    <x v="0"/>
  </r>
  <r>
    <x v="2"/>
    <s v="card"/>
    <n v="35.76"/>
    <x v="0"/>
    <x v="1"/>
    <s v="Nov"/>
    <n v="5"/>
    <n v="11"/>
    <x v="249"/>
    <x v="8"/>
    <x v="0"/>
  </r>
  <r>
    <x v="4"/>
    <s v="card"/>
    <n v="30.86"/>
    <x v="3"/>
    <x v="1"/>
    <s v="Nov"/>
    <n v="5"/>
    <n v="11"/>
    <x v="249"/>
    <x v="8"/>
    <x v="0"/>
  </r>
  <r>
    <x v="4"/>
    <s v="card"/>
    <n v="30.86"/>
    <x v="3"/>
    <x v="1"/>
    <s v="Nov"/>
    <n v="5"/>
    <n v="11"/>
    <x v="249"/>
    <x v="8"/>
    <x v="0"/>
  </r>
  <r>
    <x v="11"/>
    <s v="card"/>
    <n v="35.76"/>
    <x v="1"/>
    <x v="2"/>
    <s v="Nov"/>
    <n v="5"/>
    <n v="11"/>
    <x v="249"/>
    <x v="8"/>
    <x v="0"/>
  </r>
  <r>
    <x v="11"/>
    <s v="card"/>
    <n v="35.76"/>
    <x v="1"/>
    <x v="2"/>
    <s v="Nov"/>
    <n v="5"/>
    <n v="11"/>
    <x v="249"/>
    <x v="8"/>
    <x v="0"/>
  </r>
  <r>
    <x v="11"/>
    <s v="card"/>
    <n v="35.76"/>
    <x v="1"/>
    <x v="2"/>
    <s v="Nov"/>
    <n v="5"/>
    <n v="11"/>
    <x v="249"/>
    <x v="8"/>
    <x v="0"/>
  </r>
  <r>
    <x v="13"/>
    <s v="card"/>
    <n v="35.76"/>
    <x v="0"/>
    <x v="2"/>
    <s v="Nov"/>
    <n v="5"/>
    <n v="11"/>
    <x v="249"/>
    <x v="8"/>
    <x v="0"/>
  </r>
  <r>
    <x v="0"/>
    <s v="card"/>
    <n v="30.86"/>
    <x v="3"/>
    <x v="0"/>
    <s v="Nov"/>
    <n v="6"/>
    <n v="11"/>
    <x v="250"/>
    <x v="8"/>
    <x v="1"/>
  </r>
  <r>
    <x v="7"/>
    <s v="card"/>
    <n v="25.96"/>
    <x v="5"/>
    <x v="0"/>
    <s v="Nov"/>
    <n v="6"/>
    <n v="11"/>
    <x v="250"/>
    <x v="8"/>
    <x v="1"/>
  </r>
  <r>
    <x v="7"/>
    <s v="card"/>
    <n v="25.96"/>
    <x v="5"/>
    <x v="0"/>
    <s v="Nov"/>
    <n v="6"/>
    <n v="11"/>
    <x v="250"/>
    <x v="8"/>
    <x v="1"/>
  </r>
  <r>
    <x v="7"/>
    <s v="card"/>
    <n v="35.76"/>
    <x v="0"/>
    <x v="0"/>
    <s v="Nov"/>
    <n v="6"/>
    <n v="11"/>
    <x v="250"/>
    <x v="8"/>
    <x v="1"/>
  </r>
  <r>
    <x v="2"/>
    <s v="card"/>
    <n v="35.76"/>
    <x v="1"/>
    <x v="1"/>
    <s v="Nov"/>
    <n v="6"/>
    <n v="11"/>
    <x v="250"/>
    <x v="8"/>
    <x v="1"/>
  </r>
  <r>
    <x v="2"/>
    <s v="card"/>
    <n v="35.76"/>
    <x v="1"/>
    <x v="1"/>
    <s v="Nov"/>
    <n v="6"/>
    <n v="11"/>
    <x v="250"/>
    <x v="8"/>
    <x v="1"/>
  </r>
  <r>
    <x v="8"/>
    <s v="card"/>
    <n v="35.76"/>
    <x v="1"/>
    <x v="1"/>
    <s v="Nov"/>
    <n v="6"/>
    <n v="11"/>
    <x v="250"/>
    <x v="8"/>
    <x v="1"/>
  </r>
  <r>
    <x v="8"/>
    <s v="card"/>
    <n v="35.76"/>
    <x v="1"/>
    <x v="1"/>
    <s v="Nov"/>
    <n v="6"/>
    <n v="11"/>
    <x v="250"/>
    <x v="8"/>
    <x v="1"/>
  </r>
  <r>
    <x v="8"/>
    <s v="card"/>
    <n v="25.96"/>
    <x v="2"/>
    <x v="1"/>
    <s v="Nov"/>
    <n v="6"/>
    <n v="11"/>
    <x v="250"/>
    <x v="8"/>
    <x v="1"/>
  </r>
  <r>
    <x v="3"/>
    <s v="card"/>
    <n v="30.86"/>
    <x v="3"/>
    <x v="1"/>
    <s v="Nov"/>
    <n v="6"/>
    <n v="11"/>
    <x v="250"/>
    <x v="8"/>
    <x v="1"/>
  </r>
  <r>
    <x v="4"/>
    <s v="card"/>
    <n v="35.76"/>
    <x v="0"/>
    <x v="1"/>
    <s v="Nov"/>
    <n v="6"/>
    <n v="11"/>
    <x v="250"/>
    <x v="8"/>
    <x v="1"/>
  </r>
  <r>
    <x v="4"/>
    <s v="card"/>
    <n v="35.76"/>
    <x v="4"/>
    <x v="1"/>
    <s v="Nov"/>
    <n v="6"/>
    <n v="11"/>
    <x v="250"/>
    <x v="8"/>
    <x v="1"/>
  </r>
  <r>
    <x v="11"/>
    <s v="card"/>
    <n v="25.96"/>
    <x v="2"/>
    <x v="2"/>
    <s v="Nov"/>
    <n v="6"/>
    <n v="11"/>
    <x v="250"/>
    <x v="8"/>
    <x v="1"/>
  </r>
  <r>
    <x v="11"/>
    <s v="card"/>
    <n v="35.76"/>
    <x v="0"/>
    <x v="2"/>
    <s v="Nov"/>
    <n v="6"/>
    <n v="11"/>
    <x v="250"/>
    <x v="8"/>
    <x v="1"/>
  </r>
  <r>
    <x v="13"/>
    <s v="card"/>
    <n v="35.76"/>
    <x v="4"/>
    <x v="2"/>
    <s v="Nov"/>
    <n v="6"/>
    <n v="11"/>
    <x v="250"/>
    <x v="8"/>
    <x v="1"/>
  </r>
  <r>
    <x v="13"/>
    <s v="card"/>
    <n v="25.96"/>
    <x v="2"/>
    <x v="2"/>
    <s v="Nov"/>
    <n v="6"/>
    <n v="11"/>
    <x v="250"/>
    <x v="8"/>
    <x v="1"/>
  </r>
  <r>
    <x v="13"/>
    <s v="card"/>
    <n v="25.96"/>
    <x v="2"/>
    <x v="2"/>
    <s v="Nov"/>
    <n v="6"/>
    <n v="11"/>
    <x v="250"/>
    <x v="8"/>
    <x v="1"/>
  </r>
  <r>
    <x v="10"/>
    <s v="card"/>
    <n v="25.96"/>
    <x v="2"/>
    <x v="0"/>
    <s v="Nov"/>
    <n v="7"/>
    <n v="11"/>
    <x v="251"/>
    <x v="8"/>
    <x v="2"/>
  </r>
  <r>
    <x v="9"/>
    <s v="card"/>
    <n v="35.76"/>
    <x v="4"/>
    <x v="2"/>
    <s v="Nov"/>
    <n v="7"/>
    <n v="11"/>
    <x v="251"/>
    <x v="8"/>
    <x v="2"/>
  </r>
  <r>
    <x v="5"/>
    <s v="card"/>
    <n v="35.76"/>
    <x v="1"/>
    <x v="2"/>
    <s v="Nov"/>
    <n v="7"/>
    <n v="11"/>
    <x v="251"/>
    <x v="8"/>
    <x v="2"/>
  </r>
  <r>
    <x v="5"/>
    <s v="card"/>
    <n v="35.76"/>
    <x v="1"/>
    <x v="2"/>
    <s v="Nov"/>
    <n v="7"/>
    <n v="11"/>
    <x v="251"/>
    <x v="8"/>
    <x v="2"/>
  </r>
  <r>
    <x v="11"/>
    <s v="card"/>
    <n v="35.76"/>
    <x v="7"/>
    <x v="2"/>
    <s v="Nov"/>
    <n v="7"/>
    <n v="11"/>
    <x v="251"/>
    <x v="8"/>
    <x v="2"/>
  </r>
  <r>
    <x v="11"/>
    <s v="card"/>
    <n v="35.76"/>
    <x v="7"/>
    <x v="2"/>
    <s v="Nov"/>
    <n v="7"/>
    <n v="11"/>
    <x v="251"/>
    <x v="8"/>
    <x v="2"/>
  </r>
  <r>
    <x v="14"/>
    <s v="card"/>
    <n v="35.76"/>
    <x v="7"/>
    <x v="0"/>
    <s v="Nov"/>
    <n v="1"/>
    <n v="11"/>
    <x v="252"/>
    <x v="8"/>
    <x v="3"/>
  </r>
  <r>
    <x v="10"/>
    <s v="card"/>
    <n v="30.86"/>
    <x v="3"/>
    <x v="0"/>
    <s v="Nov"/>
    <n v="1"/>
    <n v="11"/>
    <x v="252"/>
    <x v="8"/>
    <x v="3"/>
  </r>
  <r>
    <x v="0"/>
    <s v="card"/>
    <n v="25.96"/>
    <x v="5"/>
    <x v="0"/>
    <s v="Nov"/>
    <n v="1"/>
    <n v="11"/>
    <x v="252"/>
    <x v="8"/>
    <x v="3"/>
  </r>
  <r>
    <x v="4"/>
    <s v="card"/>
    <n v="35.76"/>
    <x v="7"/>
    <x v="1"/>
    <s v="Nov"/>
    <n v="1"/>
    <n v="11"/>
    <x v="252"/>
    <x v="8"/>
    <x v="3"/>
  </r>
  <r>
    <x v="4"/>
    <s v="card"/>
    <n v="35.76"/>
    <x v="1"/>
    <x v="1"/>
    <s v="Nov"/>
    <n v="1"/>
    <n v="11"/>
    <x v="252"/>
    <x v="8"/>
    <x v="3"/>
  </r>
  <r>
    <x v="9"/>
    <s v="card"/>
    <n v="35.76"/>
    <x v="7"/>
    <x v="2"/>
    <s v="Nov"/>
    <n v="1"/>
    <n v="11"/>
    <x v="252"/>
    <x v="8"/>
    <x v="3"/>
  </r>
  <r>
    <x v="6"/>
    <s v="card"/>
    <n v="35.76"/>
    <x v="0"/>
    <x v="2"/>
    <s v="Nov"/>
    <n v="1"/>
    <n v="11"/>
    <x v="252"/>
    <x v="8"/>
    <x v="3"/>
  </r>
  <r>
    <x v="6"/>
    <s v="card"/>
    <n v="35.76"/>
    <x v="1"/>
    <x v="2"/>
    <s v="Nov"/>
    <n v="1"/>
    <n v="11"/>
    <x v="252"/>
    <x v="8"/>
    <x v="3"/>
  </r>
  <r>
    <x v="15"/>
    <s v="card"/>
    <n v="35.76"/>
    <x v="0"/>
    <x v="2"/>
    <s v="Nov"/>
    <n v="1"/>
    <n v="11"/>
    <x v="252"/>
    <x v="8"/>
    <x v="3"/>
  </r>
  <r>
    <x v="15"/>
    <s v="card"/>
    <n v="35.76"/>
    <x v="0"/>
    <x v="2"/>
    <s v="Nov"/>
    <n v="1"/>
    <n v="11"/>
    <x v="252"/>
    <x v="8"/>
    <x v="3"/>
  </r>
  <r>
    <x v="0"/>
    <s v="card"/>
    <n v="35.76"/>
    <x v="0"/>
    <x v="0"/>
    <s v="Nov"/>
    <n v="2"/>
    <n v="11"/>
    <x v="253"/>
    <x v="8"/>
    <x v="4"/>
  </r>
  <r>
    <x v="2"/>
    <s v="card"/>
    <n v="35.76"/>
    <x v="0"/>
    <x v="1"/>
    <s v="Nov"/>
    <n v="2"/>
    <n v="11"/>
    <x v="253"/>
    <x v="8"/>
    <x v="4"/>
  </r>
  <r>
    <x v="8"/>
    <s v="card"/>
    <n v="35.76"/>
    <x v="0"/>
    <x v="1"/>
    <s v="Nov"/>
    <n v="2"/>
    <n v="11"/>
    <x v="253"/>
    <x v="8"/>
    <x v="4"/>
  </r>
  <r>
    <x v="4"/>
    <s v="card"/>
    <n v="35.76"/>
    <x v="1"/>
    <x v="1"/>
    <s v="Nov"/>
    <n v="2"/>
    <n v="11"/>
    <x v="253"/>
    <x v="8"/>
    <x v="4"/>
  </r>
  <r>
    <x v="4"/>
    <s v="card"/>
    <n v="35.76"/>
    <x v="1"/>
    <x v="1"/>
    <s v="Nov"/>
    <n v="2"/>
    <n v="11"/>
    <x v="253"/>
    <x v="8"/>
    <x v="4"/>
  </r>
  <r>
    <x v="4"/>
    <s v="card"/>
    <n v="35.76"/>
    <x v="4"/>
    <x v="1"/>
    <s v="Nov"/>
    <n v="2"/>
    <n v="11"/>
    <x v="253"/>
    <x v="8"/>
    <x v="4"/>
  </r>
  <r>
    <x v="5"/>
    <s v="card"/>
    <n v="35.76"/>
    <x v="7"/>
    <x v="2"/>
    <s v="Nov"/>
    <n v="2"/>
    <n v="11"/>
    <x v="253"/>
    <x v="8"/>
    <x v="4"/>
  </r>
  <r>
    <x v="11"/>
    <s v="card"/>
    <n v="35.76"/>
    <x v="0"/>
    <x v="2"/>
    <s v="Nov"/>
    <n v="2"/>
    <n v="11"/>
    <x v="253"/>
    <x v="8"/>
    <x v="4"/>
  </r>
  <r>
    <x v="11"/>
    <s v="card"/>
    <n v="35.76"/>
    <x v="4"/>
    <x v="2"/>
    <s v="Nov"/>
    <n v="2"/>
    <n v="11"/>
    <x v="253"/>
    <x v="8"/>
    <x v="4"/>
  </r>
  <r>
    <x v="12"/>
    <s v="card"/>
    <n v="30.86"/>
    <x v="3"/>
    <x v="0"/>
    <s v="Nov"/>
    <n v="3"/>
    <n v="11"/>
    <x v="254"/>
    <x v="8"/>
    <x v="5"/>
  </r>
  <r>
    <x v="0"/>
    <s v="card"/>
    <n v="35.76"/>
    <x v="0"/>
    <x v="0"/>
    <s v="Nov"/>
    <n v="3"/>
    <n v="11"/>
    <x v="254"/>
    <x v="8"/>
    <x v="5"/>
  </r>
  <r>
    <x v="2"/>
    <s v="card"/>
    <n v="30.86"/>
    <x v="3"/>
    <x v="1"/>
    <s v="Nov"/>
    <n v="3"/>
    <n v="11"/>
    <x v="254"/>
    <x v="8"/>
    <x v="5"/>
  </r>
  <r>
    <x v="2"/>
    <s v="card"/>
    <n v="30.86"/>
    <x v="3"/>
    <x v="1"/>
    <s v="Nov"/>
    <n v="3"/>
    <n v="11"/>
    <x v="254"/>
    <x v="8"/>
    <x v="5"/>
  </r>
  <r>
    <x v="8"/>
    <s v="card"/>
    <n v="30.86"/>
    <x v="3"/>
    <x v="1"/>
    <s v="Nov"/>
    <n v="3"/>
    <n v="11"/>
    <x v="254"/>
    <x v="8"/>
    <x v="5"/>
  </r>
  <r>
    <x v="8"/>
    <s v="card"/>
    <n v="35.76"/>
    <x v="0"/>
    <x v="1"/>
    <s v="Nov"/>
    <n v="3"/>
    <n v="11"/>
    <x v="254"/>
    <x v="8"/>
    <x v="5"/>
  </r>
  <r>
    <x v="10"/>
    <s v="card"/>
    <n v="35.76"/>
    <x v="0"/>
    <x v="0"/>
    <s v="Nov"/>
    <n v="4"/>
    <n v="11"/>
    <x v="255"/>
    <x v="8"/>
    <x v="6"/>
  </r>
  <r>
    <x v="0"/>
    <s v="card"/>
    <n v="25.96"/>
    <x v="2"/>
    <x v="0"/>
    <s v="Nov"/>
    <n v="4"/>
    <n v="11"/>
    <x v="255"/>
    <x v="8"/>
    <x v="6"/>
  </r>
  <r>
    <x v="1"/>
    <s v="card"/>
    <n v="21.06"/>
    <x v="6"/>
    <x v="1"/>
    <s v="Nov"/>
    <n v="4"/>
    <n v="11"/>
    <x v="255"/>
    <x v="8"/>
    <x v="6"/>
  </r>
  <r>
    <x v="3"/>
    <s v="card"/>
    <n v="35.76"/>
    <x v="7"/>
    <x v="1"/>
    <s v="Nov"/>
    <n v="4"/>
    <n v="11"/>
    <x v="255"/>
    <x v="8"/>
    <x v="6"/>
  </r>
  <r>
    <x v="3"/>
    <s v="card"/>
    <n v="35.76"/>
    <x v="0"/>
    <x v="1"/>
    <s v="Nov"/>
    <n v="4"/>
    <n v="11"/>
    <x v="255"/>
    <x v="8"/>
    <x v="6"/>
  </r>
  <r>
    <x v="3"/>
    <s v="card"/>
    <n v="35.76"/>
    <x v="7"/>
    <x v="1"/>
    <s v="Nov"/>
    <n v="4"/>
    <n v="11"/>
    <x v="255"/>
    <x v="8"/>
    <x v="6"/>
  </r>
  <r>
    <x v="4"/>
    <s v="card"/>
    <n v="30.86"/>
    <x v="3"/>
    <x v="1"/>
    <s v="Nov"/>
    <n v="4"/>
    <n v="11"/>
    <x v="255"/>
    <x v="8"/>
    <x v="6"/>
  </r>
  <r>
    <x v="4"/>
    <s v="card"/>
    <n v="35.76"/>
    <x v="7"/>
    <x v="1"/>
    <s v="Nov"/>
    <n v="4"/>
    <n v="11"/>
    <x v="255"/>
    <x v="8"/>
    <x v="6"/>
  </r>
  <r>
    <x v="6"/>
    <s v="card"/>
    <n v="35.76"/>
    <x v="1"/>
    <x v="2"/>
    <s v="Nov"/>
    <n v="4"/>
    <n v="11"/>
    <x v="255"/>
    <x v="8"/>
    <x v="6"/>
  </r>
  <r>
    <x v="6"/>
    <s v="card"/>
    <n v="35.76"/>
    <x v="1"/>
    <x v="2"/>
    <s v="Nov"/>
    <n v="4"/>
    <n v="11"/>
    <x v="255"/>
    <x v="8"/>
    <x v="6"/>
  </r>
  <r>
    <x v="11"/>
    <s v="card"/>
    <n v="35.76"/>
    <x v="4"/>
    <x v="2"/>
    <s v="Nov"/>
    <n v="4"/>
    <n v="11"/>
    <x v="255"/>
    <x v="8"/>
    <x v="6"/>
  </r>
  <r>
    <x v="11"/>
    <s v="card"/>
    <n v="35.76"/>
    <x v="1"/>
    <x v="2"/>
    <s v="Nov"/>
    <n v="4"/>
    <n v="11"/>
    <x v="255"/>
    <x v="8"/>
    <x v="6"/>
  </r>
  <r>
    <x v="15"/>
    <s v="card"/>
    <n v="35.76"/>
    <x v="0"/>
    <x v="2"/>
    <s v="Nov"/>
    <n v="4"/>
    <n v="11"/>
    <x v="255"/>
    <x v="8"/>
    <x v="6"/>
  </r>
  <r>
    <x v="13"/>
    <s v="card"/>
    <n v="35.76"/>
    <x v="0"/>
    <x v="2"/>
    <s v="Nov"/>
    <n v="4"/>
    <n v="11"/>
    <x v="255"/>
    <x v="8"/>
    <x v="6"/>
  </r>
  <r>
    <x v="12"/>
    <s v="card"/>
    <n v="30.86"/>
    <x v="3"/>
    <x v="0"/>
    <s v="Nov"/>
    <n v="5"/>
    <n v="11"/>
    <x v="256"/>
    <x v="8"/>
    <x v="0"/>
  </r>
  <r>
    <x v="7"/>
    <s v="card"/>
    <n v="30.86"/>
    <x v="3"/>
    <x v="0"/>
    <s v="Nov"/>
    <n v="5"/>
    <n v="11"/>
    <x v="256"/>
    <x v="8"/>
    <x v="0"/>
  </r>
  <r>
    <x v="1"/>
    <s v="card"/>
    <n v="35.76"/>
    <x v="4"/>
    <x v="1"/>
    <s v="Nov"/>
    <n v="5"/>
    <n v="11"/>
    <x v="256"/>
    <x v="8"/>
    <x v="0"/>
  </r>
  <r>
    <x v="1"/>
    <s v="card"/>
    <n v="35.76"/>
    <x v="4"/>
    <x v="1"/>
    <s v="Nov"/>
    <n v="5"/>
    <n v="11"/>
    <x v="256"/>
    <x v="8"/>
    <x v="0"/>
  </r>
  <r>
    <x v="2"/>
    <s v="card"/>
    <n v="35.76"/>
    <x v="0"/>
    <x v="1"/>
    <s v="Nov"/>
    <n v="5"/>
    <n v="11"/>
    <x v="256"/>
    <x v="8"/>
    <x v="0"/>
  </r>
  <r>
    <x v="3"/>
    <s v="card"/>
    <n v="25.96"/>
    <x v="2"/>
    <x v="1"/>
    <s v="Nov"/>
    <n v="5"/>
    <n v="11"/>
    <x v="256"/>
    <x v="8"/>
    <x v="0"/>
  </r>
  <r>
    <x v="9"/>
    <s v="card"/>
    <n v="30.86"/>
    <x v="3"/>
    <x v="2"/>
    <s v="Nov"/>
    <n v="5"/>
    <n v="11"/>
    <x v="256"/>
    <x v="8"/>
    <x v="0"/>
  </r>
  <r>
    <x v="9"/>
    <s v="card"/>
    <n v="35.76"/>
    <x v="0"/>
    <x v="2"/>
    <s v="Nov"/>
    <n v="5"/>
    <n v="11"/>
    <x v="256"/>
    <x v="8"/>
    <x v="0"/>
  </r>
  <r>
    <x v="5"/>
    <s v="card"/>
    <n v="35.76"/>
    <x v="1"/>
    <x v="2"/>
    <s v="Nov"/>
    <n v="5"/>
    <n v="11"/>
    <x v="256"/>
    <x v="8"/>
    <x v="0"/>
  </r>
  <r>
    <x v="5"/>
    <s v="card"/>
    <n v="30.86"/>
    <x v="3"/>
    <x v="2"/>
    <s v="Nov"/>
    <n v="5"/>
    <n v="11"/>
    <x v="256"/>
    <x v="8"/>
    <x v="0"/>
  </r>
  <r>
    <x v="5"/>
    <s v="card"/>
    <n v="30.86"/>
    <x v="3"/>
    <x v="2"/>
    <s v="Nov"/>
    <n v="5"/>
    <n v="11"/>
    <x v="256"/>
    <x v="8"/>
    <x v="0"/>
  </r>
  <r>
    <x v="0"/>
    <s v="card"/>
    <n v="25.96"/>
    <x v="5"/>
    <x v="0"/>
    <s v="Nov"/>
    <n v="6"/>
    <n v="11"/>
    <x v="257"/>
    <x v="8"/>
    <x v="1"/>
  </r>
  <r>
    <x v="0"/>
    <s v="card"/>
    <n v="25.96"/>
    <x v="5"/>
    <x v="0"/>
    <s v="Nov"/>
    <n v="6"/>
    <n v="11"/>
    <x v="257"/>
    <x v="8"/>
    <x v="1"/>
  </r>
  <r>
    <x v="7"/>
    <s v="card"/>
    <n v="35.76"/>
    <x v="1"/>
    <x v="0"/>
    <s v="Nov"/>
    <n v="6"/>
    <n v="11"/>
    <x v="257"/>
    <x v="8"/>
    <x v="1"/>
  </r>
  <r>
    <x v="7"/>
    <s v="card"/>
    <n v="35.76"/>
    <x v="0"/>
    <x v="0"/>
    <s v="Nov"/>
    <n v="6"/>
    <n v="11"/>
    <x v="257"/>
    <x v="8"/>
    <x v="1"/>
  </r>
  <r>
    <x v="7"/>
    <s v="card"/>
    <n v="25.96"/>
    <x v="2"/>
    <x v="0"/>
    <s v="Nov"/>
    <n v="6"/>
    <n v="11"/>
    <x v="257"/>
    <x v="8"/>
    <x v="1"/>
  </r>
  <r>
    <x v="1"/>
    <s v="card"/>
    <n v="35.76"/>
    <x v="7"/>
    <x v="1"/>
    <s v="Nov"/>
    <n v="6"/>
    <n v="11"/>
    <x v="257"/>
    <x v="8"/>
    <x v="1"/>
  </r>
  <r>
    <x v="1"/>
    <s v="card"/>
    <n v="30.86"/>
    <x v="3"/>
    <x v="1"/>
    <s v="Nov"/>
    <n v="6"/>
    <n v="11"/>
    <x v="257"/>
    <x v="8"/>
    <x v="1"/>
  </r>
  <r>
    <x v="1"/>
    <s v="card"/>
    <n v="35.76"/>
    <x v="0"/>
    <x v="1"/>
    <s v="Nov"/>
    <n v="6"/>
    <n v="11"/>
    <x v="257"/>
    <x v="8"/>
    <x v="1"/>
  </r>
  <r>
    <x v="1"/>
    <s v="card"/>
    <n v="35.76"/>
    <x v="0"/>
    <x v="1"/>
    <s v="Nov"/>
    <n v="6"/>
    <n v="11"/>
    <x v="257"/>
    <x v="8"/>
    <x v="1"/>
  </r>
  <r>
    <x v="2"/>
    <s v="card"/>
    <n v="30.86"/>
    <x v="3"/>
    <x v="1"/>
    <s v="Nov"/>
    <n v="6"/>
    <n v="11"/>
    <x v="257"/>
    <x v="8"/>
    <x v="1"/>
  </r>
  <r>
    <x v="2"/>
    <s v="card"/>
    <n v="35.76"/>
    <x v="0"/>
    <x v="1"/>
    <s v="Nov"/>
    <n v="6"/>
    <n v="11"/>
    <x v="257"/>
    <x v="8"/>
    <x v="1"/>
  </r>
  <r>
    <x v="2"/>
    <s v="card"/>
    <n v="35.76"/>
    <x v="0"/>
    <x v="1"/>
    <s v="Nov"/>
    <n v="6"/>
    <n v="11"/>
    <x v="257"/>
    <x v="8"/>
    <x v="1"/>
  </r>
  <r>
    <x v="8"/>
    <s v="card"/>
    <n v="30.86"/>
    <x v="3"/>
    <x v="1"/>
    <s v="Nov"/>
    <n v="6"/>
    <n v="11"/>
    <x v="257"/>
    <x v="8"/>
    <x v="1"/>
  </r>
  <r>
    <x v="0"/>
    <s v="card"/>
    <n v="30.86"/>
    <x v="3"/>
    <x v="0"/>
    <s v="Nov"/>
    <n v="7"/>
    <n v="11"/>
    <x v="258"/>
    <x v="8"/>
    <x v="2"/>
  </r>
  <r>
    <x v="2"/>
    <s v="card"/>
    <n v="30.86"/>
    <x v="3"/>
    <x v="1"/>
    <s v="Nov"/>
    <n v="7"/>
    <n v="11"/>
    <x v="258"/>
    <x v="8"/>
    <x v="2"/>
  </r>
  <r>
    <x v="8"/>
    <s v="card"/>
    <n v="25.96"/>
    <x v="2"/>
    <x v="1"/>
    <s v="Nov"/>
    <n v="7"/>
    <n v="11"/>
    <x v="258"/>
    <x v="8"/>
    <x v="2"/>
  </r>
  <r>
    <x v="8"/>
    <s v="card"/>
    <n v="30.86"/>
    <x v="3"/>
    <x v="1"/>
    <s v="Nov"/>
    <n v="7"/>
    <n v="11"/>
    <x v="258"/>
    <x v="8"/>
    <x v="2"/>
  </r>
  <r>
    <x v="4"/>
    <s v="card"/>
    <n v="35.76"/>
    <x v="0"/>
    <x v="1"/>
    <s v="Nov"/>
    <n v="7"/>
    <n v="11"/>
    <x v="258"/>
    <x v="8"/>
    <x v="2"/>
  </r>
  <r>
    <x v="4"/>
    <s v="card"/>
    <n v="35.76"/>
    <x v="0"/>
    <x v="1"/>
    <s v="Nov"/>
    <n v="7"/>
    <n v="11"/>
    <x v="258"/>
    <x v="8"/>
    <x v="2"/>
  </r>
  <r>
    <x v="5"/>
    <s v="card"/>
    <n v="35.76"/>
    <x v="1"/>
    <x v="2"/>
    <s v="Nov"/>
    <n v="7"/>
    <n v="11"/>
    <x v="258"/>
    <x v="8"/>
    <x v="2"/>
  </r>
  <r>
    <x v="6"/>
    <s v="card"/>
    <n v="35.76"/>
    <x v="1"/>
    <x v="2"/>
    <s v="Nov"/>
    <n v="7"/>
    <n v="11"/>
    <x v="258"/>
    <x v="8"/>
    <x v="2"/>
  </r>
  <r>
    <x v="6"/>
    <s v="card"/>
    <n v="35.76"/>
    <x v="1"/>
    <x v="2"/>
    <s v="Nov"/>
    <n v="7"/>
    <n v="11"/>
    <x v="258"/>
    <x v="8"/>
    <x v="2"/>
  </r>
  <r>
    <x v="14"/>
    <s v="card"/>
    <n v="30.86"/>
    <x v="3"/>
    <x v="0"/>
    <s v="Nov"/>
    <n v="1"/>
    <n v="11"/>
    <x v="259"/>
    <x v="8"/>
    <x v="3"/>
  </r>
  <r>
    <x v="14"/>
    <s v="card"/>
    <n v="30.86"/>
    <x v="3"/>
    <x v="0"/>
    <s v="Nov"/>
    <n v="1"/>
    <n v="11"/>
    <x v="259"/>
    <x v="8"/>
    <x v="3"/>
  </r>
  <r>
    <x v="14"/>
    <s v="card"/>
    <n v="35.76"/>
    <x v="0"/>
    <x v="0"/>
    <s v="Nov"/>
    <n v="1"/>
    <n v="11"/>
    <x v="259"/>
    <x v="8"/>
    <x v="3"/>
  </r>
  <r>
    <x v="4"/>
    <s v="card"/>
    <n v="35.76"/>
    <x v="0"/>
    <x v="1"/>
    <s v="Nov"/>
    <n v="1"/>
    <n v="11"/>
    <x v="259"/>
    <x v="8"/>
    <x v="3"/>
  </r>
  <r>
    <x v="4"/>
    <s v="card"/>
    <n v="35.76"/>
    <x v="0"/>
    <x v="1"/>
    <s v="Nov"/>
    <n v="1"/>
    <n v="11"/>
    <x v="259"/>
    <x v="8"/>
    <x v="3"/>
  </r>
  <r>
    <x v="5"/>
    <s v="card"/>
    <n v="35.76"/>
    <x v="0"/>
    <x v="2"/>
    <s v="Nov"/>
    <n v="1"/>
    <n v="11"/>
    <x v="259"/>
    <x v="8"/>
    <x v="3"/>
  </r>
  <r>
    <x v="14"/>
    <s v="card"/>
    <n v="35.76"/>
    <x v="4"/>
    <x v="0"/>
    <s v="Nov"/>
    <n v="2"/>
    <n v="11"/>
    <x v="260"/>
    <x v="8"/>
    <x v="4"/>
  </r>
  <r>
    <x v="14"/>
    <s v="card"/>
    <n v="30.86"/>
    <x v="3"/>
    <x v="0"/>
    <s v="Nov"/>
    <n v="2"/>
    <n v="11"/>
    <x v="260"/>
    <x v="8"/>
    <x v="4"/>
  </r>
  <r>
    <x v="14"/>
    <s v="card"/>
    <n v="35.76"/>
    <x v="0"/>
    <x v="0"/>
    <s v="Nov"/>
    <n v="2"/>
    <n v="11"/>
    <x v="260"/>
    <x v="8"/>
    <x v="4"/>
  </r>
  <r>
    <x v="14"/>
    <s v="card"/>
    <n v="21.06"/>
    <x v="6"/>
    <x v="0"/>
    <s v="Nov"/>
    <n v="2"/>
    <n v="11"/>
    <x v="260"/>
    <x v="8"/>
    <x v="4"/>
  </r>
  <r>
    <x v="14"/>
    <s v="card"/>
    <n v="35.76"/>
    <x v="0"/>
    <x v="0"/>
    <s v="Nov"/>
    <n v="2"/>
    <n v="11"/>
    <x v="260"/>
    <x v="8"/>
    <x v="4"/>
  </r>
  <r>
    <x v="0"/>
    <s v="card"/>
    <n v="30.86"/>
    <x v="3"/>
    <x v="0"/>
    <s v="Nov"/>
    <n v="2"/>
    <n v="11"/>
    <x v="260"/>
    <x v="8"/>
    <x v="4"/>
  </r>
  <r>
    <x v="7"/>
    <s v="card"/>
    <n v="35.76"/>
    <x v="0"/>
    <x v="0"/>
    <s v="Nov"/>
    <n v="2"/>
    <n v="11"/>
    <x v="260"/>
    <x v="8"/>
    <x v="4"/>
  </r>
  <r>
    <x v="4"/>
    <s v="card"/>
    <n v="35.76"/>
    <x v="4"/>
    <x v="1"/>
    <s v="Nov"/>
    <n v="2"/>
    <n v="11"/>
    <x v="260"/>
    <x v="8"/>
    <x v="4"/>
  </r>
  <r>
    <x v="4"/>
    <s v="card"/>
    <n v="35.76"/>
    <x v="4"/>
    <x v="1"/>
    <s v="Nov"/>
    <n v="2"/>
    <n v="11"/>
    <x v="260"/>
    <x v="8"/>
    <x v="4"/>
  </r>
  <r>
    <x v="4"/>
    <s v="card"/>
    <n v="35.76"/>
    <x v="7"/>
    <x v="1"/>
    <s v="Nov"/>
    <n v="2"/>
    <n v="11"/>
    <x v="260"/>
    <x v="8"/>
    <x v="4"/>
  </r>
  <r>
    <x v="4"/>
    <s v="card"/>
    <n v="35.76"/>
    <x v="7"/>
    <x v="1"/>
    <s v="Nov"/>
    <n v="2"/>
    <n v="11"/>
    <x v="260"/>
    <x v="8"/>
    <x v="4"/>
  </r>
  <r>
    <x v="2"/>
    <s v="card"/>
    <n v="30.86"/>
    <x v="3"/>
    <x v="1"/>
    <s v="Nov"/>
    <n v="3"/>
    <n v="11"/>
    <x v="261"/>
    <x v="8"/>
    <x v="5"/>
  </r>
  <r>
    <x v="4"/>
    <s v="card"/>
    <n v="35.76"/>
    <x v="0"/>
    <x v="1"/>
    <s v="Nov"/>
    <n v="3"/>
    <n v="11"/>
    <x v="261"/>
    <x v="8"/>
    <x v="5"/>
  </r>
  <r>
    <x v="9"/>
    <s v="card"/>
    <n v="35.76"/>
    <x v="7"/>
    <x v="2"/>
    <s v="Nov"/>
    <n v="3"/>
    <n v="11"/>
    <x v="261"/>
    <x v="8"/>
    <x v="5"/>
  </r>
  <r>
    <x v="9"/>
    <s v="card"/>
    <n v="35.76"/>
    <x v="1"/>
    <x v="2"/>
    <s v="Nov"/>
    <n v="3"/>
    <n v="11"/>
    <x v="261"/>
    <x v="8"/>
    <x v="5"/>
  </r>
  <r>
    <x v="7"/>
    <s v="card"/>
    <n v="25.96"/>
    <x v="5"/>
    <x v="0"/>
    <s v="Nov"/>
    <n v="4"/>
    <n v="11"/>
    <x v="262"/>
    <x v="8"/>
    <x v="6"/>
  </r>
  <r>
    <x v="1"/>
    <s v="card"/>
    <n v="35.76"/>
    <x v="0"/>
    <x v="1"/>
    <s v="Nov"/>
    <n v="4"/>
    <n v="11"/>
    <x v="262"/>
    <x v="8"/>
    <x v="6"/>
  </r>
  <r>
    <x v="1"/>
    <s v="card"/>
    <n v="35.76"/>
    <x v="4"/>
    <x v="1"/>
    <s v="Nov"/>
    <n v="4"/>
    <n v="11"/>
    <x v="262"/>
    <x v="8"/>
    <x v="6"/>
  </r>
  <r>
    <x v="2"/>
    <s v="card"/>
    <n v="35.76"/>
    <x v="4"/>
    <x v="1"/>
    <s v="Nov"/>
    <n v="4"/>
    <n v="11"/>
    <x v="262"/>
    <x v="8"/>
    <x v="6"/>
  </r>
  <r>
    <x v="4"/>
    <s v="card"/>
    <n v="35.76"/>
    <x v="0"/>
    <x v="1"/>
    <s v="Nov"/>
    <n v="4"/>
    <n v="11"/>
    <x v="262"/>
    <x v="8"/>
    <x v="6"/>
  </r>
  <r>
    <x v="9"/>
    <s v="card"/>
    <n v="30.86"/>
    <x v="3"/>
    <x v="2"/>
    <s v="Nov"/>
    <n v="4"/>
    <n v="11"/>
    <x v="262"/>
    <x v="8"/>
    <x v="6"/>
  </r>
  <r>
    <x v="9"/>
    <s v="card"/>
    <n v="25.96"/>
    <x v="5"/>
    <x v="2"/>
    <s v="Nov"/>
    <n v="4"/>
    <n v="11"/>
    <x v="262"/>
    <x v="8"/>
    <x v="6"/>
  </r>
  <r>
    <x v="6"/>
    <s v="card"/>
    <n v="35.76"/>
    <x v="1"/>
    <x v="2"/>
    <s v="Nov"/>
    <n v="4"/>
    <n v="11"/>
    <x v="262"/>
    <x v="8"/>
    <x v="6"/>
  </r>
  <r>
    <x v="14"/>
    <s v="card"/>
    <n v="35.76"/>
    <x v="0"/>
    <x v="0"/>
    <s v="Nov"/>
    <n v="5"/>
    <n v="11"/>
    <x v="263"/>
    <x v="8"/>
    <x v="0"/>
  </r>
  <r>
    <x v="0"/>
    <s v="card"/>
    <n v="35.76"/>
    <x v="7"/>
    <x v="0"/>
    <s v="Nov"/>
    <n v="5"/>
    <n v="11"/>
    <x v="263"/>
    <x v="8"/>
    <x v="0"/>
  </r>
  <r>
    <x v="7"/>
    <s v="card"/>
    <n v="35.76"/>
    <x v="0"/>
    <x v="0"/>
    <s v="Nov"/>
    <n v="5"/>
    <n v="11"/>
    <x v="263"/>
    <x v="8"/>
    <x v="0"/>
  </r>
  <r>
    <x v="7"/>
    <s v="card"/>
    <n v="35.76"/>
    <x v="4"/>
    <x v="0"/>
    <s v="Nov"/>
    <n v="5"/>
    <n v="11"/>
    <x v="263"/>
    <x v="8"/>
    <x v="0"/>
  </r>
  <r>
    <x v="4"/>
    <s v="card"/>
    <n v="35.76"/>
    <x v="1"/>
    <x v="1"/>
    <s v="Nov"/>
    <n v="5"/>
    <n v="11"/>
    <x v="263"/>
    <x v="8"/>
    <x v="0"/>
  </r>
  <r>
    <x v="4"/>
    <s v="card"/>
    <n v="35.76"/>
    <x v="0"/>
    <x v="1"/>
    <s v="Nov"/>
    <n v="5"/>
    <n v="11"/>
    <x v="263"/>
    <x v="8"/>
    <x v="0"/>
  </r>
  <r>
    <x v="10"/>
    <s v="card"/>
    <n v="25.96"/>
    <x v="5"/>
    <x v="0"/>
    <s v="Nov"/>
    <n v="6"/>
    <n v="11"/>
    <x v="264"/>
    <x v="8"/>
    <x v="1"/>
  </r>
  <r>
    <x v="10"/>
    <s v="card"/>
    <n v="25.96"/>
    <x v="5"/>
    <x v="0"/>
    <s v="Nov"/>
    <n v="6"/>
    <n v="11"/>
    <x v="264"/>
    <x v="8"/>
    <x v="1"/>
  </r>
  <r>
    <x v="0"/>
    <s v="card"/>
    <n v="35.76"/>
    <x v="0"/>
    <x v="0"/>
    <s v="Nov"/>
    <n v="6"/>
    <n v="11"/>
    <x v="264"/>
    <x v="8"/>
    <x v="1"/>
  </r>
  <r>
    <x v="7"/>
    <s v="card"/>
    <n v="35.76"/>
    <x v="7"/>
    <x v="0"/>
    <s v="Nov"/>
    <n v="6"/>
    <n v="11"/>
    <x v="264"/>
    <x v="8"/>
    <x v="1"/>
  </r>
  <r>
    <x v="7"/>
    <s v="card"/>
    <n v="25.96"/>
    <x v="2"/>
    <x v="0"/>
    <s v="Nov"/>
    <n v="6"/>
    <n v="11"/>
    <x v="264"/>
    <x v="8"/>
    <x v="1"/>
  </r>
  <r>
    <x v="7"/>
    <s v="card"/>
    <n v="25.96"/>
    <x v="2"/>
    <x v="0"/>
    <s v="Nov"/>
    <n v="6"/>
    <n v="11"/>
    <x v="264"/>
    <x v="8"/>
    <x v="1"/>
  </r>
  <r>
    <x v="7"/>
    <s v="card"/>
    <n v="35.76"/>
    <x v="1"/>
    <x v="0"/>
    <s v="Nov"/>
    <n v="6"/>
    <n v="11"/>
    <x v="264"/>
    <x v="8"/>
    <x v="1"/>
  </r>
  <r>
    <x v="13"/>
    <s v="card"/>
    <n v="35.76"/>
    <x v="0"/>
    <x v="2"/>
    <s v="Nov"/>
    <n v="6"/>
    <n v="11"/>
    <x v="264"/>
    <x v="8"/>
    <x v="1"/>
  </r>
  <r>
    <x v="12"/>
    <s v="card"/>
    <n v="35.76"/>
    <x v="0"/>
    <x v="0"/>
    <s v="Nov"/>
    <n v="7"/>
    <n v="11"/>
    <x v="265"/>
    <x v="8"/>
    <x v="2"/>
  </r>
  <r>
    <x v="14"/>
    <s v="card"/>
    <n v="35.76"/>
    <x v="7"/>
    <x v="0"/>
    <s v="Nov"/>
    <n v="1"/>
    <n v="11"/>
    <x v="266"/>
    <x v="8"/>
    <x v="3"/>
  </r>
  <r>
    <x v="14"/>
    <s v="card"/>
    <n v="35.76"/>
    <x v="0"/>
    <x v="0"/>
    <s v="Nov"/>
    <n v="1"/>
    <n v="11"/>
    <x v="266"/>
    <x v="8"/>
    <x v="3"/>
  </r>
  <r>
    <x v="10"/>
    <s v="card"/>
    <n v="30.86"/>
    <x v="3"/>
    <x v="0"/>
    <s v="Nov"/>
    <n v="1"/>
    <n v="11"/>
    <x v="266"/>
    <x v="8"/>
    <x v="3"/>
  </r>
  <r>
    <x v="0"/>
    <s v="card"/>
    <n v="25.96"/>
    <x v="5"/>
    <x v="0"/>
    <s v="Nov"/>
    <n v="1"/>
    <n v="11"/>
    <x v="266"/>
    <x v="8"/>
    <x v="3"/>
  </r>
  <r>
    <x v="1"/>
    <s v="card"/>
    <n v="35.76"/>
    <x v="0"/>
    <x v="1"/>
    <s v="Nov"/>
    <n v="1"/>
    <n v="11"/>
    <x v="266"/>
    <x v="8"/>
    <x v="3"/>
  </r>
  <r>
    <x v="1"/>
    <s v="card"/>
    <n v="35.76"/>
    <x v="0"/>
    <x v="1"/>
    <s v="Nov"/>
    <n v="1"/>
    <n v="11"/>
    <x v="266"/>
    <x v="8"/>
    <x v="3"/>
  </r>
  <r>
    <x v="4"/>
    <s v="card"/>
    <n v="35.76"/>
    <x v="1"/>
    <x v="1"/>
    <s v="Nov"/>
    <n v="1"/>
    <n v="11"/>
    <x v="266"/>
    <x v="8"/>
    <x v="3"/>
  </r>
  <r>
    <x v="6"/>
    <s v="card"/>
    <n v="30.86"/>
    <x v="3"/>
    <x v="2"/>
    <s v="Nov"/>
    <n v="1"/>
    <n v="11"/>
    <x v="266"/>
    <x v="8"/>
    <x v="3"/>
  </r>
  <r>
    <x v="6"/>
    <s v="card"/>
    <n v="35.76"/>
    <x v="1"/>
    <x v="2"/>
    <s v="Nov"/>
    <n v="1"/>
    <n v="11"/>
    <x v="266"/>
    <x v="8"/>
    <x v="3"/>
  </r>
  <r>
    <x v="15"/>
    <s v="card"/>
    <n v="35.76"/>
    <x v="1"/>
    <x v="2"/>
    <s v="Nov"/>
    <n v="1"/>
    <n v="11"/>
    <x v="266"/>
    <x v="8"/>
    <x v="3"/>
  </r>
  <r>
    <x v="15"/>
    <s v="card"/>
    <n v="35.76"/>
    <x v="7"/>
    <x v="2"/>
    <s v="Nov"/>
    <n v="1"/>
    <n v="11"/>
    <x v="266"/>
    <x v="8"/>
    <x v="3"/>
  </r>
  <r>
    <x v="14"/>
    <s v="card"/>
    <n v="35.76"/>
    <x v="0"/>
    <x v="0"/>
    <s v="Nov"/>
    <n v="2"/>
    <n v="11"/>
    <x v="267"/>
    <x v="8"/>
    <x v="4"/>
  </r>
  <r>
    <x v="7"/>
    <s v="card"/>
    <n v="35.76"/>
    <x v="4"/>
    <x v="0"/>
    <s v="Nov"/>
    <n v="2"/>
    <n v="11"/>
    <x v="267"/>
    <x v="8"/>
    <x v="4"/>
  </r>
  <r>
    <x v="7"/>
    <s v="card"/>
    <n v="25.96"/>
    <x v="2"/>
    <x v="0"/>
    <s v="Nov"/>
    <n v="2"/>
    <n v="11"/>
    <x v="267"/>
    <x v="8"/>
    <x v="4"/>
  </r>
  <r>
    <x v="7"/>
    <s v="card"/>
    <n v="35.76"/>
    <x v="4"/>
    <x v="0"/>
    <s v="Nov"/>
    <n v="2"/>
    <n v="11"/>
    <x v="267"/>
    <x v="8"/>
    <x v="4"/>
  </r>
  <r>
    <x v="7"/>
    <s v="card"/>
    <n v="35.76"/>
    <x v="4"/>
    <x v="0"/>
    <s v="Nov"/>
    <n v="2"/>
    <n v="11"/>
    <x v="267"/>
    <x v="8"/>
    <x v="4"/>
  </r>
  <r>
    <x v="4"/>
    <s v="card"/>
    <n v="35.76"/>
    <x v="0"/>
    <x v="1"/>
    <s v="Nov"/>
    <n v="2"/>
    <n v="11"/>
    <x v="267"/>
    <x v="8"/>
    <x v="4"/>
  </r>
  <r>
    <x v="4"/>
    <s v="card"/>
    <n v="35.76"/>
    <x v="0"/>
    <x v="1"/>
    <s v="Nov"/>
    <n v="2"/>
    <n v="11"/>
    <x v="267"/>
    <x v="8"/>
    <x v="4"/>
  </r>
  <r>
    <x v="9"/>
    <s v="card"/>
    <n v="25.96"/>
    <x v="2"/>
    <x v="2"/>
    <s v="Nov"/>
    <n v="2"/>
    <n v="11"/>
    <x v="267"/>
    <x v="8"/>
    <x v="4"/>
  </r>
  <r>
    <x v="9"/>
    <s v="card"/>
    <n v="30.86"/>
    <x v="3"/>
    <x v="2"/>
    <s v="Nov"/>
    <n v="2"/>
    <n v="11"/>
    <x v="267"/>
    <x v="8"/>
    <x v="4"/>
  </r>
  <r>
    <x v="6"/>
    <s v="card"/>
    <n v="35.76"/>
    <x v="4"/>
    <x v="2"/>
    <s v="Nov"/>
    <n v="2"/>
    <n v="11"/>
    <x v="267"/>
    <x v="8"/>
    <x v="4"/>
  </r>
  <r>
    <x v="12"/>
    <s v="card"/>
    <n v="35.76"/>
    <x v="7"/>
    <x v="0"/>
    <s v="Nov"/>
    <n v="4"/>
    <n v="11"/>
    <x v="268"/>
    <x v="8"/>
    <x v="6"/>
  </r>
  <r>
    <x v="10"/>
    <s v="card"/>
    <n v="30.86"/>
    <x v="3"/>
    <x v="0"/>
    <s v="Nov"/>
    <n v="4"/>
    <n v="11"/>
    <x v="268"/>
    <x v="8"/>
    <x v="6"/>
  </r>
  <r>
    <x v="11"/>
    <s v="card"/>
    <n v="30.86"/>
    <x v="3"/>
    <x v="2"/>
    <s v="Nov"/>
    <n v="4"/>
    <n v="11"/>
    <x v="268"/>
    <x v="8"/>
    <x v="6"/>
  </r>
  <r>
    <x v="11"/>
    <s v="card"/>
    <n v="35.76"/>
    <x v="0"/>
    <x v="2"/>
    <s v="Nov"/>
    <n v="4"/>
    <n v="11"/>
    <x v="268"/>
    <x v="8"/>
    <x v="6"/>
  </r>
  <r>
    <x v="11"/>
    <s v="card"/>
    <n v="35.76"/>
    <x v="0"/>
    <x v="2"/>
    <s v="Nov"/>
    <n v="4"/>
    <n v="11"/>
    <x v="268"/>
    <x v="8"/>
    <x v="6"/>
  </r>
  <r>
    <x v="13"/>
    <s v="card"/>
    <n v="35.76"/>
    <x v="7"/>
    <x v="2"/>
    <s v="Nov"/>
    <n v="4"/>
    <n v="11"/>
    <x v="268"/>
    <x v="8"/>
    <x v="6"/>
  </r>
  <r>
    <x v="14"/>
    <s v="card"/>
    <n v="35.76"/>
    <x v="4"/>
    <x v="0"/>
    <s v="Nov"/>
    <n v="5"/>
    <n v="11"/>
    <x v="269"/>
    <x v="8"/>
    <x v="0"/>
  </r>
  <r>
    <x v="14"/>
    <s v="card"/>
    <n v="35.76"/>
    <x v="0"/>
    <x v="0"/>
    <s v="Nov"/>
    <n v="5"/>
    <n v="11"/>
    <x v="269"/>
    <x v="8"/>
    <x v="0"/>
  </r>
  <r>
    <x v="10"/>
    <s v="card"/>
    <n v="30.86"/>
    <x v="3"/>
    <x v="0"/>
    <s v="Nov"/>
    <n v="5"/>
    <n v="11"/>
    <x v="269"/>
    <x v="8"/>
    <x v="0"/>
  </r>
  <r>
    <x v="10"/>
    <s v="card"/>
    <n v="30.86"/>
    <x v="3"/>
    <x v="0"/>
    <s v="Nov"/>
    <n v="5"/>
    <n v="11"/>
    <x v="269"/>
    <x v="8"/>
    <x v="0"/>
  </r>
  <r>
    <x v="3"/>
    <s v="card"/>
    <n v="30.86"/>
    <x v="3"/>
    <x v="1"/>
    <s v="Nov"/>
    <n v="5"/>
    <n v="11"/>
    <x v="269"/>
    <x v="8"/>
    <x v="0"/>
  </r>
  <r>
    <x v="3"/>
    <s v="card"/>
    <n v="35.76"/>
    <x v="0"/>
    <x v="1"/>
    <s v="Nov"/>
    <n v="5"/>
    <n v="11"/>
    <x v="269"/>
    <x v="8"/>
    <x v="0"/>
  </r>
  <r>
    <x v="11"/>
    <s v="card"/>
    <n v="35.76"/>
    <x v="4"/>
    <x v="2"/>
    <s v="Nov"/>
    <n v="5"/>
    <n v="11"/>
    <x v="269"/>
    <x v="8"/>
    <x v="0"/>
  </r>
  <r>
    <x v="1"/>
    <s v="card"/>
    <n v="35.76"/>
    <x v="4"/>
    <x v="1"/>
    <s v="Nov"/>
    <n v="6"/>
    <n v="11"/>
    <x v="270"/>
    <x v="8"/>
    <x v="1"/>
  </r>
  <r>
    <x v="8"/>
    <s v="card"/>
    <n v="25.96"/>
    <x v="2"/>
    <x v="1"/>
    <s v="Nov"/>
    <n v="6"/>
    <n v="11"/>
    <x v="270"/>
    <x v="8"/>
    <x v="1"/>
  </r>
  <r>
    <x v="8"/>
    <s v="card"/>
    <n v="35.76"/>
    <x v="1"/>
    <x v="1"/>
    <s v="Nov"/>
    <n v="6"/>
    <n v="11"/>
    <x v="270"/>
    <x v="8"/>
    <x v="1"/>
  </r>
  <r>
    <x v="8"/>
    <s v="card"/>
    <n v="35.76"/>
    <x v="4"/>
    <x v="1"/>
    <s v="Nov"/>
    <n v="6"/>
    <n v="11"/>
    <x v="270"/>
    <x v="8"/>
    <x v="1"/>
  </r>
  <r>
    <x v="3"/>
    <s v="card"/>
    <n v="30.86"/>
    <x v="3"/>
    <x v="1"/>
    <s v="Nov"/>
    <n v="6"/>
    <n v="11"/>
    <x v="270"/>
    <x v="8"/>
    <x v="1"/>
  </r>
  <r>
    <x v="13"/>
    <s v="card"/>
    <n v="30.86"/>
    <x v="3"/>
    <x v="2"/>
    <s v="Nov"/>
    <n v="6"/>
    <n v="11"/>
    <x v="270"/>
    <x v="8"/>
    <x v="1"/>
  </r>
  <r>
    <x v="0"/>
    <s v="card"/>
    <n v="30.86"/>
    <x v="3"/>
    <x v="0"/>
    <s v="Dec"/>
    <n v="7"/>
    <n v="12"/>
    <x v="271"/>
    <x v="9"/>
    <x v="2"/>
  </r>
  <r>
    <x v="0"/>
    <s v="card"/>
    <n v="30.86"/>
    <x v="3"/>
    <x v="0"/>
    <s v="Dec"/>
    <n v="7"/>
    <n v="12"/>
    <x v="271"/>
    <x v="9"/>
    <x v="2"/>
  </r>
  <r>
    <x v="0"/>
    <s v="card"/>
    <n v="30.86"/>
    <x v="3"/>
    <x v="0"/>
    <s v="Dec"/>
    <n v="7"/>
    <n v="12"/>
    <x v="271"/>
    <x v="9"/>
    <x v="2"/>
  </r>
  <r>
    <x v="8"/>
    <s v="card"/>
    <n v="30.86"/>
    <x v="3"/>
    <x v="1"/>
    <s v="Dec"/>
    <n v="7"/>
    <n v="12"/>
    <x v="271"/>
    <x v="9"/>
    <x v="2"/>
  </r>
  <r>
    <x v="3"/>
    <s v="card"/>
    <n v="35.76"/>
    <x v="4"/>
    <x v="1"/>
    <s v="Dec"/>
    <n v="7"/>
    <n v="12"/>
    <x v="271"/>
    <x v="9"/>
    <x v="2"/>
  </r>
  <r>
    <x v="3"/>
    <s v="card"/>
    <n v="35.76"/>
    <x v="4"/>
    <x v="1"/>
    <s v="Dec"/>
    <n v="7"/>
    <n v="12"/>
    <x v="271"/>
    <x v="9"/>
    <x v="2"/>
  </r>
  <r>
    <x v="3"/>
    <s v="card"/>
    <n v="35.76"/>
    <x v="7"/>
    <x v="1"/>
    <s v="Dec"/>
    <n v="7"/>
    <n v="12"/>
    <x v="271"/>
    <x v="9"/>
    <x v="2"/>
  </r>
  <r>
    <x v="3"/>
    <s v="card"/>
    <n v="35.76"/>
    <x v="0"/>
    <x v="1"/>
    <s v="Dec"/>
    <n v="7"/>
    <n v="12"/>
    <x v="271"/>
    <x v="9"/>
    <x v="2"/>
  </r>
  <r>
    <x v="3"/>
    <s v="card"/>
    <n v="35.76"/>
    <x v="0"/>
    <x v="1"/>
    <s v="Dec"/>
    <n v="7"/>
    <n v="12"/>
    <x v="271"/>
    <x v="9"/>
    <x v="2"/>
  </r>
  <r>
    <x v="4"/>
    <s v="card"/>
    <n v="35.76"/>
    <x v="0"/>
    <x v="1"/>
    <s v="Dec"/>
    <n v="7"/>
    <n v="12"/>
    <x v="271"/>
    <x v="9"/>
    <x v="2"/>
  </r>
  <r>
    <x v="4"/>
    <s v="card"/>
    <n v="35.76"/>
    <x v="0"/>
    <x v="1"/>
    <s v="Dec"/>
    <n v="7"/>
    <n v="12"/>
    <x v="271"/>
    <x v="9"/>
    <x v="2"/>
  </r>
  <r>
    <x v="9"/>
    <s v="card"/>
    <n v="30.86"/>
    <x v="3"/>
    <x v="2"/>
    <s v="Dec"/>
    <n v="7"/>
    <n v="12"/>
    <x v="271"/>
    <x v="9"/>
    <x v="2"/>
  </r>
  <r>
    <x v="9"/>
    <s v="card"/>
    <n v="30.86"/>
    <x v="3"/>
    <x v="2"/>
    <s v="Dec"/>
    <n v="7"/>
    <n v="12"/>
    <x v="271"/>
    <x v="9"/>
    <x v="2"/>
  </r>
  <r>
    <x v="5"/>
    <s v="card"/>
    <n v="30.86"/>
    <x v="3"/>
    <x v="2"/>
    <s v="Dec"/>
    <n v="7"/>
    <n v="12"/>
    <x v="271"/>
    <x v="9"/>
    <x v="2"/>
  </r>
  <r>
    <x v="14"/>
    <s v="card"/>
    <n v="35.76"/>
    <x v="0"/>
    <x v="0"/>
    <s v="Dec"/>
    <n v="1"/>
    <n v="12"/>
    <x v="272"/>
    <x v="9"/>
    <x v="3"/>
  </r>
  <r>
    <x v="14"/>
    <s v="card"/>
    <n v="25.96"/>
    <x v="2"/>
    <x v="0"/>
    <s v="Dec"/>
    <n v="1"/>
    <n v="12"/>
    <x v="272"/>
    <x v="9"/>
    <x v="3"/>
  </r>
  <r>
    <x v="12"/>
    <s v="card"/>
    <n v="30.86"/>
    <x v="3"/>
    <x v="0"/>
    <s v="Dec"/>
    <n v="1"/>
    <n v="12"/>
    <x v="272"/>
    <x v="9"/>
    <x v="3"/>
  </r>
  <r>
    <x v="12"/>
    <s v="card"/>
    <n v="35.76"/>
    <x v="4"/>
    <x v="0"/>
    <s v="Dec"/>
    <n v="1"/>
    <n v="12"/>
    <x v="272"/>
    <x v="9"/>
    <x v="3"/>
  </r>
  <r>
    <x v="7"/>
    <s v="card"/>
    <n v="25.96"/>
    <x v="5"/>
    <x v="0"/>
    <s v="Dec"/>
    <n v="1"/>
    <n v="12"/>
    <x v="272"/>
    <x v="9"/>
    <x v="3"/>
  </r>
  <r>
    <x v="3"/>
    <s v="card"/>
    <n v="21.06"/>
    <x v="6"/>
    <x v="1"/>
    <s v="Dec"/>
    <n v="1"/>
    <n v="12"/>
    <x v="272"/>
    <x v="9"/>
    <x v="3"/>
  </r>
  <r>
    <x v="4"/>
    <s v="card"/>
    <n v="35.76"/>
    <x v="7"/>
    <x v="1"/>
    <s v="Dec"/>
    <n v="1"/>
    <n v="12"/>
    <x v="272"/>
    <x v="9"/>
    <x v="3"/>
  </r>
  <r>
    <x v="9"/>
    <s v="card"/>
    <n v="25.96"/>
    <x v="2"/>
    <x v="2"/>
    <s v="Dec"/>
    <n v="1"/>
    <n v="12"/>
    <x v="272"/>
    <x v="9"/>
    <x v="3"/>
  </r>
  <r>
    <x v="5"/>
    <s v="card"/>
    <n v="35.76"/>
    <x v="7"/>
    <x v="2"/>
    <s v="Dec"/>
    <n v="1"/>
    <n v="12"/>
    <x v="272"/>
    <x v="9"/>
    <x v="3"/>
  </r>
  <r>
    <x v="12"/>
    <s v="card"/>
    <n v="35.76"/>
    <x v="0"/>
    <x v="0"/>
    <s v="Dec"/>
    <n v="2"/>
    <n v="12"/>
    <x v="273"/>
    <x v="9"/>
    <x v="4"/>
  </r>
  <r>
    <x v="10"/>
    <s v="card"/>
    <n v="30.86"/>
    <x v="3"/>
    <x v="0"/>
    <s v="Dec"/>
    <n v="2"/>
    <n v="12"/>
    <x v="273"/>
    <x v="9"/>
    <x v="4"/>
  </r>
  <r>
    <x v="10"/>
    <s v="card"/>
    <n v="30.86"/>
    <x v="3"/>
    <x v="0"/>
    <s v="Dec"/>
    <n v="2"/>
    <n v="12"/>
    <x v="273"/>
    <x v="9"/>
    <x v="4"/>
  </r>
  <r>
    <x v="7"/>
    <s v="card"/>
    <n v="25.96"/>
    <x v="2"/>
    <x v="0"/>
    <s v="Dec"/>
    <n v="2"/>
    <n v="12"/>
    <x v="273"/>
    <x v="9"/>
    <x v="4"/>
  </r>
  <r>
    <x v="7"/>
    <s v="card"/>
    <n v="30.86"/>
    <x v="3"/>
    <x v="0"/>
    <s v="Dec"/>
    <n v="2"/>
    <n v="12"/>
    <x v="273"/>
    <x v="9"/>
    <x v="4"/>
  </r>
  <r>
    <x v="7"/>
    <s v="card"/>
    <n v="30.86"/>
    <x v="3"/>
    <x v="0"/>
    <s v="Dec"/>
    <n v="2"/>
    <n v="12"/>
    <x v="273"/>
    <x v="9"/>
    <x v="4"/>
  </r>
  <r>
    <x v="7"/>
    <s v="card"/>
    <n v="30.86"/>
    <x v="3"/>
    <x v="0"/>
    <s v="Dec"/>
    <n v="2"/>
    <n v="12"/>
    <x v="273"/>
    <x v="9"/>
    <x v="4"/>
  </r>
  <r>
    <x v="11"/>
    <s v="card"/>
    <n v="35.76"/>
    <x v="4"/>
    <x v="2"/>
    <s v="Dec"/>
    <n v="2"/>
    <n v="12"/>
    <x v="273"/>
    <x v="9"/>
    <x v="4"/>
  </r>
  <r>
    <x v="15"/>
    <s v="card"/>
    <n v="35.76"/>
    <x v="0"/>
    <x v="2"/>
    <s v="Dec"/>
    <n v="2"/>
    <n v="12"/>
    <x v="273"/>
    <x v="9"/>
    <x v="4"/>
  </r>
  <r>
    <x v="15"/>
    <s v="card"/>
    <n v="35.76"/>
    <x v="7"/>
    <x v="2"/>
    <s v="Dec"/>
    <n v="2"/>
    <n v="12"/>
    <x v="273"/>
    <x v="9"/>
    <x v="4"/>
  </r>
  <r>
    <x v="15"/>
    <s v="card"/>
    <n v="35.76"/>
    <x v="1"/>
    <x v="2"/>
    <s v="Dec"/>
    <n v="2"/>
    <n v="12"/>
    <x v="273"/>
    <x v="9"/>
    <x v="4"/>
  </r>
  <r>
    <x v="13"/>
    <s v="card"/>
    <n v="30.86"/>
    <x v="3"/>
    <x v="2"/>
    <s v="Dec"/>
    <n v="2"/>
    <n v="12"/>
    <x v="273"/>
    <x v="9"/>
    <x v="4"/>
  </r>
  <r>
    <x v="13"/>
    <s v="card"/>
    <n v="35.76"/>
    <x v="7"/>
    <x v="2"/>
    <s v="Dec"/>
    <n v="2"/>
    <n v="12"/>
    <x v="273"/>
    <x v="9"/>
    <x v="4"/>
  </r>
  <r>
    <x v="12"/>
    <s v="card"/>
    <n v="25.96"/>
    <x v="5"/>
    <x v="0"/>
    <s v="Dec"/>
    <n v="3"/>
    <n v="12"/>
    <x v="274"/>
    <x v="9"/>
    <x v="5"/>
  </r>
  <r>
    <x v="12"/>
    <s v="card"/>
    <n v="35.76"/>
    <x v="0"/>
    <x v="0"/>
    <s v="Dec"/>
    <n v="3"/>
    <n v="12"/>
    <x v="274"/>
    <x v="9"/>
    <x v="5"/>
  </r>
  <r>
    <x v="12"/>
    <s v="card"/>
    <n v="35.76"/>
    <x v="0"/>
    <x v="0"/>
    <s v="Dec"/>
    <n v="3"/>
    <n v="12"/>
    <x v="274"/>
    <x v="9"/>
    <x v="5"/>
  </r>
  <r>
    <x v="10"/>
    <s v="card"/>
    <n v="25.96"/>
    <x v="2"/>
    <x v="0"/>
    <s v="Dec"/>
    <n v="3"/>
    <n v="12"/>
    <x v="274"/>
    <x v="9"/>
    <x v="5"/>
  </r>
  <r>
    <x v="0"/>
    <s v="card"/>
    <n v="30.86"/>
    <x v="3"/>
    <x v="0"/>
    <s v="Dec"/>
    <n v="3"/>
    <n v="12"/>
    <x v="274"/>
    <x v="9"/>
    <x v="5"/>
  </r>
  <r>
    <x v="0"/>
    <s v="card"/>
    <n v="30.86"/>
    <x v="3"/>
    <x v="0"/>
    <s v="Dec"/>
    <n v="3"/>
    <n v="12"/>
    <x v="274"/>
    <x v="9"/>
    <x v="5"/>
  </r>
  <r>
    <x v="0"/>
    <s v="card"/>
    <n v="30.86"/>
    <x v="3"/>
    <x v="0"/>
    <s v="Dec"/>
    <n v="3"/>
    <n v="12"/>
    <x v="274"/>
    <x v="9"/>
    <x v="5"/>
  </r>
  <r>
    <x v="0"/>
    <s v="card"/>
    <n v="35.76"/>
    <x v="1"/>
    <x v="0"/>
    <s v="Dec"/>
    <n v="3"/>
    <n v="12"/>
    <x v="274"/>
    <x v="9"/>
    <x v="5"/>
  </r>
  <r>
    <x v="7"/>
    <s v="card"/>
    <n v="30.86"/>
    <x v="3"/>
    <x v="0"/>
    <s v="Dec"/>
    <n v="3"/>
    <n v="12"/>
    <x v="274"/>
    <x v="9"/>
    <x v="5"/>
  </r>
  <r>
    <x v="8"/>
    <s v="card"/>
    <n v="35.76"/>
    <x v="1"/>
    <x v="1"/>
    <s v="Dec"/>
    <n v="3"/>
    <n v="12"/>
    <x v="274"/>
    <x v="9"/>
    <x v="5"/>
  </r>
  <r>
    <x v="12"/>
    <s v="card"/>
    <n v="25.96"/>
    <x v="2"/>
    <x v="0"/>
    <s v="Dec"/>
    <n v="4"/>
    <n v="12"/>
    <x v="275"/>
    <x v="9"/>
    <x v="6"/>
  </r>
  <r>
    <x v="10"/>
    <s v="card"/>
    <n v="25.96"/>
    <x v="5"/>
    <x v="0"/>
    <s v="Dec"/>
    <n v="4"/>
    <n v="12"/>
    <x v="275"/>
    <x v="9"/>
    <x v="6"/>
  </r>
  <r>
    <x v="0"/>
    <s v="card"/>
    <n v="30.86"/>
    <x v="3"/>
    <x v="0"/>
    <s v="Dec"/>
    <n v="4"/>
    <n v="12"/>
    <x v="275"/>
    <x v="9"/>
    <x v="6"/>
  </r>
  <r>
    <x v="0"/>
    <s v="card"/>
    <n v="30.86"/>
    <x v="3"/>
    <x v="0"/>
    <s v="Dec"/>
    <n v="4"/>
    <n v="12"/>
    <x v="275"/>
    <x v="9"/>
    <x v="6"/>
  </r>
  <r>
    <x v="7"/>
    <s v="card"/>
    <n v="35.76"/>
    <x v="0"/>
    <x v="0"/>
    <s v="Dec"/>
    <n v="4"/>
    <n v="12"/>
    <x v="275"/>
    <x v="9"/>
    <x v="6"/>
  </r>
  <r>
    <x v="7"/>
    <s v="card"/>
    <n v="25.96"/>
    <x v="2"/>
    <x v="0"/>
    <s v="Dec"/>
    <n v="4"/>
    <n v="12"/>
    <x v="275"/>
    <x v="9"/>
    <x v="6"/>
  </r>
  <r>
    <x v="8"/>
    <s v="card"/>
    <n v="35.76"/>
    <x v="7"/>
    <x v="1"/>
    <s v="Dec"/>
    <n v="4"/>
    <n v="12"/>
    <x v="275"/>
    <x v="9"/>
    <x v="6"/>
  </r>
  <r>
    <x v="3"/>
    <s v="card"/>
    <n v="35.76"/>
    <x v="0"/>
    <x v="1"/>
    <s v="Dec"/>
    <n v="4"/>
    <n v="12"/>
    <x v="275"/>
    <x v="9"/>
    <x v="6"/>
  </r>
  <r>
    <x v="4"/>
    <s v="card"/>
    <n v="35.76"/>
    <x v="0"/>
    <x v="1"/>
    <s v="Dec"/>
    <n v="4"/>
    <n v="12"/>
    <x v="275"/>
    <x v="9"/>
    <x v="6"/>
  </r>
  <r>
    <x v="7"/>
    <s v="card"/>
    <n v="35.76"/>
    <x v="0"/>
    <x v="0"/>
    <s v="Dec"/>
    <n v="5"/>
    <n v="12"/>
    <x v="276"/>
    <x v="9"/>
    <x v="0"/>
  </r>
  <r>
    <x v="4"/>
    <s v="card"/>
    <n v="35.76"/>
    <x v="1"/>
    <x v="1"/>
    <s v="Dec"/>
    <n v="5"/>
    <n v="12"/>
    <x v="276"/>
    <x v="9"/>
    <x v="0"/>
  </r>
  <r>
    <x v="13"/>
    <s v="card"/>
    <n v="35.76"/>
    <x v="0"/>
    <x v="2"/>
    <s v="Dec"/>
    <n v="5"/>
    <n v="12"/>
    <x v="276"/>
    <x v="9"/>
    <x v="0"/>
  </r>
  <r>
    <x v="13"/>
    <s v="card"/>
    <n v="35.76"/>
    <x v="1"/>
    <x v="2"/>
    <s v="Dec"/>
    <n v="5"/>
    <n v="12"/>
    <x v="276"/>
    <x v="9"/>
    <x v="0"/>
  </r>
  <r>
    <x v="7"/>
    <s v="card"/>
    <n v="30.86"/>
    <x v="3"/>
    <x v="0"/>
    <s v="Dec"/>
    <n v="6"/>
    <n v="12"/>
    <x v="277"/>
    <x v="9"/>
    <x v="1"/>
  </r>
  <r>
    <x v="8"/>
    <s v="card"/>
    <n v="25.96"/>
    <x v="2"/>
    <x v="1"/>
    <s v="Dec"/>
    <n v="6"/>
    <n v="12"/>
    <x v="277"/>
    <x v="9"/>
    <x v="1"/>
  </r>
  <r>
    <x v="3"/>
    <s v="card"/>
    <n v="35.76"/>
    <x v="0"/>
    <x v="1"/>
    <s v="Dec"/>
    <n v="6"/>
    <n v="12"/>
    <x v="277"/>
    <x v="9"/>
    <x v="1"/>
  </r>
  <r>
    <x v="6"/>
    <s v="card"/>
    <n v="35.76"/>
    <x v="7"/>
    <x v="2"/>
    <s v="Dec"/>
    <n v="6"/>
    <n v="12"/>
    <x v="277"/>
    <x v="9"/>
    <x v="1"/>
  </r>
  <r>
    <x v="13"/>
    <s v="card"/>
    <n v="30.86"/>
    <x v="3"/>
    <x v="2"/>
    <s v="Dec"/>
    <n v="6"/>
    <n v="12"/>
    <x v="277"/>
    <x v="9"/>
    <x v="1"/>
  </r>
  <r>
    <x v="13"/>
    <s v="card"/>
    <n v="25.96"/>
    <x v="2"/>
    <x v="2"/>
    <s v="Dec"/>
    <n v="6"/>
    <n v="12"/>
    <x v="277"/>
    <x v="9"/>
    <x v="1"/>
  </r>
  <r>
    <x v="12"/>
    <s v="card"/>
    <n v="25.96"/>
    <x v="5"/>
    <x v="0"/>
    <s v="Dec"/>
    <n v="7"/>
    <n v="12"/>
    <x v="278"/>
    <x v="9"/>
    <x v="2"/>
  </r>
  <r>
    <x v="0"/>
    <s v="card"/>
    <n v="35.76"/>
    <x v="0"/>
    <x v="0"/>
    <s v="Dec"/>
    <n v="7"/>
    <n v="12"/>
    <x v="278"/>
    <x v="9"/>
    <x v="2"/>
  </r>
  <r>
    <x v="0"/>
    <s v="card"/>
    <n v="35.76"/>
    <x v="7"/>
    <x v="0"/>
    <s v="Dec"/>
    <n v="7"/>
    <n v="12"/>
    <x v="278"/>
    <x v="9"/>
    <x v="2"/>
  </r>
  <r>
    <x v="1"/>
    <s v="card"/>
    <n v="25.96"/>
    <x v="5"/>
    <x v="1"/>
    <s v="Dec"/>
    <n v="7"/>
    <n v="12"/>
    <x v="278"/>
    <x v="9"/>
    <x v="2"/>
  </r>
  <r>
    <x v="2"/>
    <s v="card"/>
    <n v="30.86"/>
    <x v="3"/>
    <x v="1"/>
    <s v="Dec"/>
    <n v="7"/>
    <n v="12"/>
    <x v="278"/>
    <x v="9"/>
    <x v="2"/>
  </r>
  <r>
    <x v="2"/>
    <s v="card"/>
    <n v="30.86"/>
    <x v="3"/>
    <x v="1"/>
    <s v="Dec"/>
    <n v="7"/>
    <n v="12"/>
    <x v="278"/>
    <x v="9"/>
    <x v="2"/>
  </r>
  <r>
    <x v="9"/>
    <s v="card"/>
    <n v="35.76"/>
    <x v="7"/>
    <x v="2"/>
    <s v="Dec"/>
    <n v="7"/>
    <n v="12"/>
    <x v="278"/>
    <x v="9"/>
    <x v="2"/>
  </r>
  <r>
    <x v="5"/>
    <s v="card"/>
    <n v="21.06"/>
    <x v="6"/>
    <x v="2"/>
    <s v="Dec"/>
    <n v="7"/>
    <n v="12"/>
    <x v="278"/>
    <x v="9"/>
    <x v="2"/>
  </r>
  <r>
    <x v="11"/>
    <s v="card"/>
    <n v="35.76"/>
    <x v="7"/>
    <x v="2"/>
    <s v="Dec"/>
    <n v="7"/>
    <n v="12"/>
    <x v="278"/>
    <x v="9"/>
    <x v="2"/>
  </r>
  <r>
    <x v="15"/>
    <s v="card"/>
    <n v="30.86"/>
    <x v="3"/>
    <x v="2"/>
    <s v="Dec"/>
    <n v="7"/>
    <n v="12"/>
    <x v="278"/>
    <x v="9"/>
    <x v="2"/>
  </r>
  <r>
    <x v="15"/>
    <s v="card"/>
    <n v="30.86"/>
    <x v="3"/>
    <x v="2"/>
    <s v="Dec"/>
    <n v="7"/>
    <n v="12"/>
    <x v="278"/>
    <x v="9"/>
    <x v="2"/>
  </r>
  <r>
    <x v="12"/>
    <s v="card"/>
    <n v="35.76"/>
    <x v="7"/>
    <x v="0"/>
    <s v="Dec"/>
    <n v="1"/>
    <n v="12"/>
    <x v="279"/>
    <x v="9"/>
    <x v="3"/>
  </r>
  <r>
    <x v="10"/>
    <s v="card"/>
    <n v="25.96"/>
    <x v="2"/>
    <x v="0"/>
    <s v="Dec"/>
    <n v="1"/>
    <n v="12"/>
    <x v="279"/>
    <x v="9"/>
    <x v="3"/>
  </r>
  <r>
    <x v="10"/>
    <s v="card"/>
    <n v="30.86"/>
    <x v="3"/>
    <x v="0"/>
    <s v="Dec"/>
    <n v="1"/>
    <n v="12"/>
    <x v="279"/>
    <x v="9"/>
    <x v="3"/>
  </r>
  <r>
    <x v="2"/>
    <s v="card"/>
    <n v="25.96"/>
    <x v="5"/>
    <x v="1"/>
    <s v="Dec"/>
    <n v="1"/>
    <n v="12"/>
    <x v="279"/>
    <x v="9"/>
    <x v="3"/>
  </r>
  <r>
    <x v="15"/>
    <s v="card"/>
    <n v="35.76"/>
    <x v="4"/>
    <x v="2"/>
    <s v="Dec"/>
    <n v="1"/>
    <n v="12"/>
    <x v="279"/>
    <x v="9"/>
    <x v="3"/>
  </r>
  <r>
    <x v="1"/>
    <s v="card"/>
    <n v="25.96"/>
    <x v="5"/>
    <x v="1"/>
    <s v="Dec"/>
    <n v="2"/>
    <n v="12"/>
    <x v="280"/>
    <x v="9"/>
    <x v="4"/>
  </r>
  <r>
    <x v="5"/>
    <s v="card"/>
    <n v="35.76"/>
    <x v="1"/>
    <x v="2"/>
    <s v="Dec"/>
    <n v="2"/>
    <n v="12"/>
    <x v="280"/>
    <x v="9"/>
    <x v="4"/>
  </r>
  <r>
    <x v="14"/>
    <s v="card"/>
    <n v="35.76"/>
    <x v="0"/>
    <x v="0"/>
    <s v="Dec"/>
    <n v="3"/>
    <n v="12"/>
    <x v="281"/>
    <x v="9"/>
    <x v="5"/>
  </r>
  <r>
    <x v="0"/>
    <s v="card"/>
    <n v="25.96"/>
    <x v="5"/>
    <x v="0"/>
    <s v="Dec"/>
    <n v="3"/>
    <n v="12"/>
    <x v="281"/>
    <x v="9"/>
    <x v="5"/>
  </r>
  <r>
    <x v="1"/>
    <s v="card"/>
    <n v="35.76"/>
    <x v="1"/>
    <x v="1"/>
    <s v="Dec"/>
    <n v="3"/>
    <n v="12"/>
    <x v="281"/>
    <x v="9"/>
    <x v="5"/>
  </r>
  <r>
    <x v="1"/>
    <s v="card"/>
    <n v="21.06"/>
    <x v="6"/>
    <x v="1"/>
    <s v="Dec"/>
    <n v="3"/>
    <n v="12"/>
    <x v="281"/>
    <x v="9"/>
    <x v="5"/>
  </r>
  <r>
    <x v="9"/>
    <s v="card"/>
    <n v="35.76"/>
    <x v="4"/>
    <x v="2"/>
    <s v="Dec"/>
    <n v="3"/>
    <n v="12"/>
    <x v="281"/>
    <x v="9"/>
    <x v="5"/>
  </r>
  <r>
    <x v="15"/>
    <s v="card"/>
    <n v="35.76"/>
    <x v="0"/>
    <x v="2"/>
    <s v="Dec"/>
    <n v="3"/>
    <n v="12"/>
    <x v="281"/>
    <x v="9"/>
    <x v="5"/>
  </r>
  <r>
    <x v="15"/>
    <s v="card"/>
    <n v="35.76"/>
    <x v="0"/>
    <x v="2"/>
    <s v="Dec"/>
    <n v="3"/>
    <n v="12"/>
    <x v="281"/>
    <x v="9"/>
    <x v="5"/>
  </r>
  <r>
    <x v="14"/>
    <s v="card"/>
    <n v="30.86"/>
    <x v="3"/>
    <x v="0"/>
    <s v="Dec"/>
    <n v="4"/>
    <n v="12"/>
    <x v="282"/>
    <x v="9"/>
    <x v="6"/>
  </r>
  <r>
    <x v="1"/>
    <s v="card"/>
    <n v="25.96"/>
    <x v="2"/>
    <x v="1"/>
    <s v="Dec"/>
    <n v="4"/>
    <n v="12"/>
    <x v="282"/>
    <x v="9"/>
    <x v="6"/>
  </r>
  <r>
    <x v="4"/>
    <s v="card"/>
    <n v="21.06"/>
    <x v="6"/>
    <x v="1"/>
    <s v="Dec"/>
    <n v="4"/>
    <n v="12"/>
    <x v="282"/>
    <x v="9"/>
    <x v="6"/>
  </r>
  <r>
    <x v="4"/>
    <s v="card"/>
    <n v="21.06"/>
    <x v="6"/>
    <x v="1"/>
    <s v="Dec"/>
    <n v="4"/>
    <n v="12"/>
    <x v="282"/>
    <x v="9"/>
    <x v="6"/>
  </r>
  <r>
    <x v="4"/>
    <s v="card"/>
    <n v="25.96"/>
    <x v="2"/>
    <x v="1"/>
    <s v="Dec"/>
    <n v="4"/>
    <n v="12"/>
    <x v="282"/>
    <x v="9"/>
    <x v="6"/>
  </r>
  <r>
    <x v="6"/>
    <s v="card"/>
    <n v="35.76"/>
    <x v="4"/>
    <x v="2"/>
    <s v="Dec"/>
    <n v="4"/>
    <n v="12"/>
    <x v="282"/>
    <x v="9"/>
    <x v="6"/>
  </r>
  <r>
    <x v="6"/>
    <s v="card"/>
    <n v="35.76"/>
    <x v="4"/>
    <x v="2"/>
    <s v="Dec"/>
    <n v="4"/>
    <n v="12"/>
    <x v="282"/>
    <x v="9"/>
    <x v="6"/>
  </r>
  <r>
    <x v="1"/>
    <s v="card"/>
    <n v="25.96"/>
    <x v="2"/>
    <x v="1"/>
    <s v="Dec"/>
    <n v="5"/>
    <n v="12"/>
    <x v="283"/>
    <x v="9"/>
    <x v="0"/>
  </r>
  <r>
    <x v="1"/>
    <s v="card"/>
    <n v="25.96"/>
    <x v="2"/>
    <x v="1"/>
    <s v="Dec"/>
    <n v="5"/>
    <n v="12"/>
    <x v="283"/>
    <x v="9"/>
    <x v="0"/>
  </r>
  <r>
    <x v="1"/>
    <s v="card"/>
    <n v="35.76"/>
    <x v="1"/>
    <x v="1"/>
    <s v="Dec"/>
    <n v="5"/>
    <n v="12"/>
    <x v="283"/>
    <x v="9"/>
    <x v="0"/>
  </r>
  <r>
    <x v="8"/>
    <s v="card"/>
    <n v="35.76"/>
    <x v="1"/>
    <x v="1"/>
    <s v="Dec"/>
    <n v="5"/>
    <n v="12"/>
    <x v="283"/>
    <x v="9"/>
    <x v="0"/>
  </r>
  <r>
    <x v="4"/>
    <s v="card"/>
    <n v="35.76"/>
    <x v="4"/>
    <x v="1"/>
    <s v="Dec"/>
    <n v="5"/>
    <n v="12"/>
    <x v="283"/>
    <x v="9"/>
    <x v="0"/>
  </r>
  <r>
    <x v="6"/>
    <s v="card"/>
    <n v="35.76"/>
    <x v="7"/>
    <x v="2"/>
    <s v="Dec"/>
    <n v="5"/>
    <n v="12"/>
    <x v="283"/>
    <x v="9"/>
    <x v="0"/>
  </r>
  <r>
    <x v="6"/>
    <s v="card"/>
    <n v="35.76"/>
    <x v="7"/>
    <x v="2"/>
    <s v="Dec"/>
    <n v="5"/>
    <n v="12"/>
    <x v="283"/>
    <x v="9"/>
    <x v="0"/>
  </r>
  <r>
    <x v="15"/>
    <s v="card"/>
    <n v="35.76"/>
    <x v="0"/>
    <x v="2"/>
    <s v="Dec"/>
    <n v="5"/>
    <n v="12"/>
    <x v="283"/>
    <x v="9"/>
    <x v="0"/>
  </r>
  <r>
    <x v="12"/>
    <s v="card"/>
    <n v="30.86"/>
    <x v="3"/>
    <x v="0"/>
    <s v="Dec"/>
    <n v="6"/>
    <n v="12"/>
    <x v="284"/>
    <x v="9"/>
    <x v="1"/>
  </r>
  <r>
    <x v="10"/>
    <s v="card"/>
    <n v="35.76"/>
    <x v="4"/>
    <x v="0"/>
    <s v="Dec"/>
    <n v="6"/>
    <n v="12"/>
    <x v="284"/>
    <x v="9"/>
    <x v="1"/>
  </r>
  <r>
    <x v="7"/>
    <s v="card"/>
    <n v="35.76"/>
    <x v="7"/>
    <x v="0"/>
    <s v="Dec"/>
    <n v="6"/>
    <n v="12"/>
    <x v="284"/>
    <x v="9"/>
    <x v="1"/>
  </r>
  <r>
    <x v="2"/>
    <s v="card"/>
    <n v="25.96"/>
    <x v="2"/>
    <x v="1"/>
    <s v="Dec"/>
    <n v="6"/>
    <n v="12"/>
    <x v="284"/>
    <x v="9"/>
    <x v="1"/>
  </r>
  <r>
    <x v="2"/>
    <s v="card"/>
    <n v="35.76"/>
    <x v="0"/>
    <x v="1"/>
    <s v="Dec"/>
    <n v="6"/>
    <n v="12"/>
    <x v="284"/>
    <x v="9"/>
    <x v="1"/>
  </r>
  <r>
    <x v="4"/>
    <s v="card"/>
    <n v="35.76"/>
    <x v="4"/>
    <x v="1"/>
    <s v="Dec"/>
    <n v="6"/>
    <n v="12"/>
    <x v="284"/>
    <x v="9"/>
    <x v="1"/>
  </r>
  <r>
    <x v="4"/>
    <s v="card"/>
    <n v="25.96"/>
    <x v="2"/>
    <x v="1"/>
    <s v="Dec"/>
    <n v="6"/>
    <n v="12"/>
    <x v="284"/>
    <x v="9"/>
    <x v="1"/>
  </r>
  <r>
    <x v="4"/>
    <s v="card"/>
    <n v="25.96"/>
    <x v="2"/>
    <x v="1"/>
    <s v="Dec"/>
    <n v="6"/>
    <n v="12"/>
    <x v="284"/>
    <x v="9"/>
    <x v="1"/>
  </r>
  <r>
    <x v="9"/>
    <s v="card"/>
    <n v="25.96"/>
    <x v="2"/>
    <x v="2"/>
    <s v="Dec"/>
    <n v="6"/>
    <n v="12"/>
    <x v="284"/>
    <x v="9"/>
    <x v="1"/>
  </r>
  <r>
    <x v="9"/>
    <s v="card"/>
    <n v="25.96"/>
    <x v="2"/>
    <x v="2"/>
    <s v="Dec"/>
    <n v="6"/>
    <n v="12"/>
    <x v="284"/>
    <x v="9"/>
    <x v="1"/>
  </r>
  <r>
    <x v="5"/>
    <s v="card"/>
    <n v="30.86"/>
    <x v="3"/>
    <x v="2"/>
    <s v="Dec"/>
    <n v="6"/>
    <n v="12"/>
    <x v="284"/>
    <x v="9"/>
    <x v="1"/>
  </r>
  <r>
    <x v="7"/>
    <s v="card"/>
    <n v="35.76"/>
    <x v="0"/>
    <x v="0"/>
    <s v="Dec"/>
    <n v="7"/>
    <n v="12"/>
    <x v="285"/>
    <x v="9"/>
    <x v="2"/>
  </r>
  <r>
    <x v="7"/>
    <s v="card"/>
    <n v="35.76"/>
    <x v="4"/>
    <x v="0"/>
    <s v="Dec"/>
    <n v="7"/>
    <n v="12"/>
    <x v="285"/>
    <x v="9"/>
    <x v="2"/>
  </r>
  <r>
    <x v="9"/>
    <s v="card"/>
    <n v="35.76"/>
    <x v="1"/>
    <x v="2"/>
    <s v="Dec"/>
    <n v="7"/>
    <n v="12"/>
    <x v="285"/>
    <x v="9"/>
    <x v="2"/>
  </r>
  <r>
    <x v="14"/>
    <s v="card"/>
    <n v="35.76"/>
    <x v="0"/>
    <x v="0"/>
    <s v="Dec"/>
    <n v="1"/>
    <n v="12"/>
    <x v="286"/>
    <x v="9"/>
    <x v="3"/>
  </r>
  <r>
    <x v="12"/>
    <s v="card"/>
    <n v="35.76"/>
    <x v="1"/>
    <x v="0"/>
    <s v="Dec"/>
    <n v="1"/>
    <n v="12"/>
    <x v="286"/>
    <x v="9"/>
    <x v="3"/>
  </r>
  <r>
    <x v="12"/>
    <s v="card"/>
    <n v="35.76"/>
    <x v="4"/>
    <x v="0"/>
    <s v="Dec"/>
    <n v="1"/>
    <n v="12"/>
    <x v="286"/>
    <x v="9"/>
    <x v="3"/>
  </r>
  <r>
    <x v="1"/>
    <s v="card"/>
    <n v="30.86"/>
    <x v="3"/>
    <x v="1"/>
    <s v="Dec"/>
    <n v="1"/>
    <n v="12"/>
    <x v="286"/>
    <x v="9"/>
    <x v="3"/>
  </r>
  <r>
    <x v="2"/>
    <s v="card"/>
    <n v="35.76"/>
    <x v="0"/>
    <x v="1"/>
    <s v="Dec"/>
    <n v="1"/>
    <n v="12"/>
    <x v="286"/>
    <x v="9"/>
    <x v="3"/>
  </r>
  <r>
    <x v="8"/>
    <s v="card"/>
    <n v="35.76"/>
    <x v="1"/>
    <x v="1"/>
    <s v="Dec"/>
    <n v="1"/>
    <n v="12"/>
    <x v="286"/>
    <x v="9"/>
    <x v="3"/>
  </r>
  <r>
    <x v="5"/>
    <s v="card"/>
    <n v="35.76"/>
    <x v="0"/>
    <x v="2"/>
    <s v="Dec"/>
    <n v="1"/>
    <n v="12"/>
    <x v="286"/>
    <x v="9"/>
    <x v="3"/>
  </r>
  <r>
    <x v="5"/>
    <s v="card"/>
    <n v="30.86"/>
    <x v="3"/>
    <x v="2"/>
    <s v="Dec"/>
    <n v="1"/>
    <n v="12"/>
    <x v="286"/>
    <x v="9"/>
    <x v="3"/>
  </r>
  <r>
    <x v="12"/>
    <s v="card"/>
    <n v="25.96"/>
    <x v="5"/>
    <x v="0"/>
    <s v="Dec"/>
    <n v="2"/>
    <n v="12"/>
    <x v="287"/>
    <x v="9"/>
    <x v="4"/>
  </r>
  <r>
    <x v="12"/>
    <s v="card"/>
    <n v="35.76"/>
    <x v="7"/>
    <x v="0"/>
    <s v="Dec"/>
    <n v="2"/>
    <n v="12"/>
    <x v="287"/>
    <x v="9"/>
    <x v="4"/>
  </r>
  <r>
    <x v="0"/>
    <s v="card"/>
    <n v="30.86"/>
    <x v="3"/>
    <x v="0"/>
    <s v="Dec"/>
    <n v="2"/>
    <n v="12"/>
    <x v="287"/>
    <x v="9"/>
    <x v="4"/>
  </r>
  <r>
    <x v="4"/>
    <s v="card"/>
    <n v="25.96"/>
    <x v="2"/>
    <x v="1"/>
    <s v="Dec"/>
    <n v="2"/>
    <n v="12"/>
    <x v="287"/>
    <x v="9"/>
    <x v="4"/>
  </r>
  <r>
    <x v="4"/>
    <s v="card"/>
    <n v="35.76"/>
    <x v="4"/>
    <x v="1"/>
    <s v="Dec"/>
    <n v="2"/>
    <n v="12"/>
    <x v="287"/>
    <x v="9"/>
    <x v="4"/>
  </r>
  <r>
    <x v="9"/>
    <s v="card"/>
    <n v="35.76"/>
    <x v="7"/>
    <x v="2"/>
    <s v="Dec"/>
    <n v="2"/>
    <n v="12"/>
    <x v="287"/>
    <x v="9"/>
    <x v="4"/>
  </r>
  <r>
    <x v="5"/>
    <s v="card"/>
    <n v="35.76"/>
    <x v="4"/>
    <x v="2"/>
    <s v="Dec"/>
    <n v="2"/>
    <n v="12"/>
    <x v="287"/>
    <x v="9"/>
    <x v="4"/>
  </r>
  <r>
    <x v="10"/>
    <s v="card"/>
    <n v="35.76"/>
    <x v="0"/>
    <x v="0"/>
    <s v="Dec"/>
    <n v="3"/>
    <n v="12"/>
    <x v="288"/>
    <x v="9"/>
    <x v="5"/>
  </r>
  <r>
    <x v="0"/>
    <s v="card"/>
    <n v="30.86"/>
    <x v="3"/>
    <x v="0"/>
    <s v="Dec"/>
    <n v="3"/>
    <n v="12"/>
    <x v="288"/>
    <x v="9"/>
    <x v="5"/>
  </r>
  <r>
    <x v="0"/>
    <s v="card"/>
    <n v="35.76"/>
    <x v="0"/>
    <x v="0"/>
    <s v="Dec"/>
    <n v="3"/>
    <n v="12"/>
    <x v="288"/>
    <x v="9"/>
    <x v="5"/>
  </r>
  <r>
    <x v="0"/>
    <s v="card"/>
    <n v="35.76"/>
    <x v="7"/>
    <x v="0"/>
    <s v="Dec"/>
    <n v="3"/>
    <n v="12"/>
    <x v="288"/>
    <x v="9"/>
    <x v="5"/>
  </r>
  <r>
    <x v="0"/>
    <s v="card"/>
    <n v="35.76"/>
    <x v="1"/>
    <x v="0"/>
    <s v="Dec"/>
    <n v="4"/>
    <n v="12"/>
    <x v="289"/>
    <x v="9"/>
    <x v="6"/>
  </r>
  <r>
    <x v="7"/>
    <s v="card"/>
    <n v="30.86"/>
    <x v="3"/>
    <x v="0"/>
    <s v="Dec"/>
    <n v="4"/>
    <n v="12"/>
    <x v="289"/>
    <x v="9"/>
    <x v="6"/>
  </r>
  <r>
    <x v="1"/>
    <s v="card"/>
    <n v="21.06"/>
    <x v="6"/>
    <x v="1"/>
    <s v="Dec"/>
    <n v="4"/>
    <n v="12"/>
    <x v="289"/>
    <x v="9"/>
    <x v="6"/>
  </r>
  <r>
    <x v="2"/>
    <s v="card"/>
    <n v="35.76"/>
    <x v="1"/>
    <x v="1"/>
    <s v="Dec"/>
    <n v="4"/>
    <n v="12"/>
    <x v="289"/>
    <x v="9"/>
    <x v="6"/>
  </r>
  <r>
    <x v="6"/>
    <s v="card"/>
    <n v="35.76"/>
    <x v="7"/>
    <x v="2"/>
    <s v="Dec"/>
    <n v="4"/>
    <n v="12"/>
    <x v="289"/>
    <x v="9"/>
    <x v="6"/>
  </r>
  <r>
    <x v="6"/>
    <s v="card"/>
    <n v="35.76"/>
    <x v="7"/>
    <x v="2"/>
    <s v="Dec"/>
    <n v="4"/>
    <n v="12"/>
    <x v="289"/>
    <x v="9"/>
    <x v="6"/>
  </r>
  <r>
    <x v="6"/>
    <s v="card"/>
    <n v="30.86"/>
    <x v="3"/>
    <x v="2"/>
    <s v="Dec"/>
    <n v="4"/>
    <n v="12"/>
    <x v="289"/>
    <x v="9"/>
    <x v="6"/>
  </r>
  <r>
    <x v="6"/>
    <s v="card"/>
    <n v="35.76"/>
    <x v="1"/>
    <x v="2"/>
    <s v="Dec"/>
    <n v="4"/>
    <n v="12"/>
    <x v="289"/>
    <x v="9"/>
    <x v="6"/>
  </r>
  <r>
    <x v="15"/>
    <s v="card"/>
    <n v="35.76"/>
    <x v="0"/>
    <x v="2"/>
    <s v="Dec"/>
    <n v="4"/>
    <n v="12"/>
    <x v="289"/>
    <x v="9"/>
    <x v="6"/>
  </r>
  <r>
    <x v="15"/>
    <s v="card"/>
    <n v="35.76"/>
    <x v="7"/>
    <x v="2"/>
    <s v="Dec"/>
    <n v="4"/>
    <n v="12"/>
    <x v="289"/>
    <x v="9"/>
    <x v="6"/>
  </r>
  <r>
    <x v="12"/>
    <s v="card"/>
    <n v="25.96"/>
    <x v="5"/>
    <x v="0"/>
    <s v="Dec"/>
    <n v="5"/>
    <n v="12"/>
    <x v="290"/>
    <x v="9"/>
    <x v="0"/>
  </r>
  <r>
    <x v="10"/>
    <s v="card"/>
    <n v="30.86"/>
    <x v="3"/>
    <x v="0"/>
    <s v="Dec"/>
    <n v="5"/>
    <n v="12"/>
    <x v="290"/>
    <x v="9"/>
    <x v="0"/>
  </r>
  <r>
    <x v="0"/>
    <s v="card"/>
    <n v="35.76"/>
    <x v="7"/>
    <x v="0"/>
    <s v="Dec"/>
    <n v="5"/>
    <n v="12"/>
    <x v="290"/>
    <x v="9"/>
    <x v="0"/>
  </r>
  <r>
    <x v="0"/>
    <s v="card"/>
    <n v="25.96"/>
    <x v="5"/>
    <x v="0"/>
    <s v="Dec"/>
    <n v="5"/>
    <n v="12"/>
    <x v="290"/>
    <x v="9"/>
    <x v="0"/>
  </r>
  <r>
    <x v="1"/>
    <s v="card"/>
    <n v="21.06"/>
    <x v="6"/>
    <x v="1"/>
    <s v="Dec"/>
    <n v="5"/>
    <n v="12"/>
    <x v="290"/>
    <x v="9"/>
    <x v="0"/>
  </r>
  <r>
    <x v="1"/>
    <s v="card"/>
    <n v="30.86"/>
    <x v="3"/>
    <x v="1"/>
    <s v="Dec"/>
    <n v="5"/>
    <n v="12"/>
    <x v="290"/>
    <x v="9"/>
    <x v="0"/>
  </r>
  <r>
    <x v="8"/>
    <s v="card"/>
    <n v="25.96"/>
    <x v="5"/>
    <x v="1"/>
    <s v="Dec"/>
    <n v="5"/>
    <n v="12"/>
    <x v="290"/>
    <x v="9"/>
    <x v="0"/>
  </r>
  <r>
    <x v="5"/>
    <s v="card"/>
    <n v="35.76"/>
    <x v="7"/>
    <x v="2"/>
    <s v="Dec"/>
    <n v="5"/>
    <n v="12"/>
    <x v="290"/>
    <x v="9"/>
    <x v="0"/>
  </r>
  <r>
    <x v="5"/>
    <s v="card"/>
    <n v="35.76"/>
    <x v="7"/>
    <x v="2"/>
    <s v="Dec"/>
    <n v="5"/>
    <n v="12"/>
    <x v="290"/>
    <x v="9"/>
    <x v="0"/>
  </r>
  <r>
    <x v="0"/>
    <s v="card"/>
    <n v="35.76"/>
    <x v="7"/>
    <x v="0"/>
    <s v="Dec"/>
    <n v="6"/>
    <n v="12"/>
    <x v="291"/>
    <x v="9"/>
    <x v="1"/>
  </r>
  <r>
    <x v="0"/>
    <s v="card"/>
    <n v="35.76"/>
    <x v="0"/>
    <x v="0"/>
    <s v="Dec"/>
    <n v="6"/>
    <n v="12"/>
    <x v="291"/>
    <x v="9"/>
    <x v="1"/>
  </r>
  <r>
    <x v="0"/>
    <s v="card"/>
    <n v="25.96"/>
    <x v="2"/>
    <x v="0"/>
    <s v="Dec"/>
    <n v="6"/>
    <n v="12"/>
    <x v="291"/>
    <x v="9"/>
    <x v="1"/>
  </r>
  <r>
    <x v="3"/>
    <s v="card"/>
    <n v="35.76"/>
    <x v="1"/>
    <x v="1"/>
    <s v="Dec"/>
    <n v="6"/>
    <n v="12"/>
    <x v="291"/>
    <x v="9"/>
    <x v="1"/>
  </r>
  <r>
    <x v="3"/>
    <s v="card"/>
    <n v="35.76"/>
    <x v="0"/>
    <x v="1"/>
    <s v="Dec"/>
    <n v="6"/>
    <n v="12"/>
    <x v="291"/>
    <x v="9"/>
    <x v="1"/>
  </r>
  <r>
    <x v="3"/>
    <s v="card"/>
    <n v="30.86"/>
    <x v="3"/>
    <x v="1"/>
    <s v="Dec"/>
    <n v="6"/>
    <n v="12"/>
    <x v="291"/>
    <x v="9"/>
    <x v="1"/>
  </r>
  <r>
    <x v="3"/>
    <s v="card"/>
    <n v="35.76"/>
    <x v="0"/>
    <x v="1"/>
    <s v="Dec"/>
    <n v="6"/>
    <n v="12"/>
    <x v="291"/>
    <x v="9"/>
    <x v="1"/>
  </r>
  <r>
    <x v="9"/>
    <s v="card"/>
    <n v="35.76"/>
    <x v="4"/>
    <x v="2"/>
    <s v="Dec"/>
    <n v="6"/>
    <n v="12"/>
    <x v="291"/>
    <x v="9"/>
    <x v="1"/>
  </r>
  <r>
    <x v="5"/>
    <s v="card"/>
    <n v="35.76"/>
    <x v="1"/>
    <x v="2"/>
    <s v="Dec"/>
    <n v="6"/>
    <n v="12"/>
    <x v="291"/>
    <x v="9"/>
    <x v="1"/>
  </r>
  <r>
    <x v="5"/>
    <s v="card"/>
    <n v="25.96"/>
    <x v="5"/>
    <x v="2"/>
    <s v="Dec"/>
    <n v="6"/>
    <n v="12"/>
    <x v="291"/>
    <x v="9"/>
    <x v="1"/>
  </r>
  <r>
    <x v="6"/>
    <s v="card"/>
    <n v="30.86"/>
    <x v="3"/>
    <x v="2"/>
    <s v="Dec"/>
    <n v="6"/>
    <n v="12"/>
    <x v="291"/>
    <x v="9"/>
    <x v="1"/>
  </r>
  <r>
    <x v="6"/>
    <s v="card"/>
    <n v="25.96"/>
    <x v="5"/>
    <x v="2"/>
    <s v="Dec"/>
    <n v="6"/>
    <n v="12"/>
    <x v="291"/>
    <x v="9"/>
    <x v="1"/>
  </r>
  <r>
    <x v="15"/>
    <s v="card"/>
    <n v="25.96"/>
    <x v="5"/>
    <x v="2"/>
    <s v="Dec"/>
    <n v="6"/>
    <n v="12"/>
    <x v="291"/>
    <x v="9"/>
    <x v="1"/>
  </r>
  <r>
    <x v="15"/>
    <s v="card"/>
    <n v="35.76"/>
    <x v="0"/>
    <x v="2"/>
    <s v="Dec"/>
    <n v="6"/>
    <n v="12"/>
    <x v="291"/>
    <x v="9"/>
    <x v="1"/>
  </r>
  <r>
    <x v="13"/>
    <s v="card"/>
    <n v="25.96"/>
    <x v="5"/>
    <x v="2"/>
    <s v="Dec"/>
    <n v="6"/>
    <n v="12"/>
    <x v="291"/>
    <x v="9"/>
    <x v="1"/>
  </r>
  <r>
    <x v="0"/>
    <s v="card"/>
    <n v="35.76"/>
    <x v="7"/>
    <x v="0"/>
    <s v="Dec"/>
    <n v="7"/>
    <n v="12"/>
    <x v="292"/>
    <x v="9"/>
    <x v="2"/>
  </r>
  <r>
    <x v="5"/>
    <s v="card"/>
    <n v="35.76"/>
    <x v="7"/>
    <x v="2"/>
    <s v="Dec"/>
    <n v="7"/>
    <n v="12"/>
    <x v="292"/>
    <x v="9"/>
    <x v="2"/>
  </r>
  <r>
    <x v="6"/>
    <s v="card"/>
    <n v="35.76"/>
    <x v="1"/>
    <x v="2"/>
    <s v="Dec"/>
    <n v="7"/>
    <n v="12"/>
    <x v="292"/>
    <x v="9"/>
    <x v="2"/>
  </r>
  <r>
    <x v="6"/>
    <s v="card"/>
    <n v="35.76"/>
    <x v="1"/>
    <x v="2"/>
    <s v="Dec"/>
    <n v="7"/>
    <n v="12"/>
    <x v="292"/>
    <x v="9"/>
    <x v="2"/>
  </r>
  <r>
    <x v="11"/>
    <s v="card"/>
    <n v="35.76"/>
    <x v="1"/>
    <x v="2"/>
    <s v="Dec"/>
    <n v="7"/>
    <n v="12"/>
    <x v="292"/>
    <x v="9"/>
    <x v="2"/>
  </r>
  <r>
    <x v="15"/>
    <s v="card"/>
    <n v="35.76"/>
    <x v="4"/>
    <x v="2"/>
    <s v="Dec"/>
    <n v="7"/>
    <n v="12"/>
    <x v="292"/>
    <x v="9"/>
    <x v="2"/>
  </r>
  <r>
    <x v="15"/>
    <s v="card"/>
    <n v="25.96"/>
    <x v="5"/>
    <x v="2"/>
    <s v="Dec"/>
    <n v="7"/>
    <n v="12"/>
    <x v="292"/>
    <x v="9"/>
    <x v="2"/>
  </r>
  <r>
    <x v="10"/>
    <s v="card"/>
    <n v="25.96"/>
    <x v="5"/>
    <x v="0"/>
    <s v="Dec"/>
    <n v="1"/>
    <n v="12"/>
    <x v="293"/>
    <x v="9"/>
    <x v="3"/>
  </r>
  <r>
    <x v="10"/>
    <s v="card"/>
    <n v="30.86"/>
    <x v="3"/>
    <x v="0"/>
    <s v="Dec"/>
    <n v="1"/>
    <n v="12"/>
    <x v="293"/>
    <x v="9"/>
    <x v="3"/>
  </r>
  <r>
    <x v="0"/>
    <s v="card"/>
    <n v="30.86"/>
    <x v="3"/>
    <x v="0"/>
    <s v="Dec"/>
    <n v="1"/>
    <n v="12"/>
    <x v="293"/>
    <x v="9"/>
    <x v="3"/>
  </r>
  <r>
    <x v="7"/>
    <s v="card"/>
    <n v="35.76"/>
    <x v="7"/>
    <x v="0"/>
    <s v="Dec"/>
    <n v="1"/>
    <n v="12"/>
    <x v="293"/>
    <x v="9"/>
    <x v="3"/>
  </r>
  <r>
    <x v="8"/>
    <s v="card"/>
    <n v="35.76"/>
    <x v="0"/>
    <x v="1"/>
    <s v="Dec"/>
    <n v="1"/>
    <n v="12"/>
    <x v="293"/>
    <x v="9"/>
    <x v="3"/>
  </r>
  <r>
    <x v="3"/>
    <s v="card"/>
    <n v="30.86"/>
    <x v="3"/>
    <x v="1"/>
    <s v="Dec"/>
    <n v="1"/>
    <n v="12"/>
    <x v="293"/>
    <x v="9"/>
    <x v="3"/>
  </r>
  <r>
    <x v="4"/>
    <s v="card"/>
    <n v="35.76"/>
    <x v="0"/>
    <x v="1"/>
    <s v="Dec"/>
    <n v="1"/>
    <n v="12"/>
    <x v="293"/>
    <x v="9"/>
    <x v="3"/>
  </r>
  <r>
    <x v="9"/>
    <s v="card"/>
    <n v="25.96"/>
    <x v="5"/>
    <x v="2"/>
    <s v="Dec"/>
    <n v="1"/>
    <n v="12"/>
    <x v="293"/>
    <x v="9"/>
    <x v="3"/>
  </r>
  <r>
    <x v="9"/>
    <s v="card"/>
    <n v="35.76"/>
    <x v="0"/>
    <x v="2"/>
    <s v="Dec"/>
    <n v="1"/>
    <n v="12"/>
    <x v="293"/>
    <x v="9"/>
    <x v="3"/>
  </r>
  <r>
    <x v="11"/>
    <s v="card"/>
    <n v="25.96"/>
    <x v="5"/>
    <x v="2"/>
    <s v="Dec"/>
    <n v="1"/>
    <n v="12"/>
    <x v="293"/>
    <x v="9"/>
    <x v="3"/>
  </r>
  <r>
    <x v="3"/>
    <s v="card"/>
    <n v="30.86"/>
    <x v="3"/>
    <x v="1"/>
    <s v="Dec"/>
    <n v="2"/>
    <n v="12"/>
    <x v="294"/>
    <x v="9"/>
    <x v="4"/>
  </r>
  <r>
    <x v="4"/>
    <s v="card"/>
    <n v="35.76"/>
    <x v="1"/>
    <x v="1"/>
    <s v="Dec"/>
    <n v="2"/>
    <n v="12"/>
    <x v="294"/>
    <x v="9"/>
    <x v="4"/>
  </r>
  <r>
    <x v="9"/>
    <s v="card"/>
    <n v="25.96"/>
    <x v="5"/>
    <x v="2"/>
    <s v="Dec"/>
    <n v="2"/>
    <n v="12"/>
    <x v="294"/>
    <x v="9"/>
    <x v="4"/>
  </r>
  <r>
    <x v="6"/>
    <s v="card"/>
    <n v="35.76"/>
    <x v="1"/>
    <x v="2"/>
    <s v="Dec"/>
    <n v="2"/>
    <n v="12"/>
    <x v="294"/>
    <x v="9"/>
    <x v="4"/>
  </r>
  <r>
    <x v="6"/>
    <s v="card"/>
    <n v="35.76"/>
    <x v="0"/>
    <x v="2"/>
    <s v="Dec"/>
    <n v="2"/>
    <n v="12"/>
    <x v="294"/>
    <x v="9"/>
    <x v="4"/>
  </r>
  <r>
    <x v="6"/>
    <s v="card"/>
    <n v="21.06"/>
    <x v="6"/>
    <x v="2"/>
    <s v="Dec"/>
    <n v="2"/>
    <n v="12"/>
    <x v="294"/>
    <x v="9"/>
    <x v="4"/>
  </r>
  <r>
    <x v="6"/>
    <s v="card"/>
    <n v="35.76"/>
    <x v="7"/>
    <x v="2"/>
    <s v="Dec"/>
    <n v="2"/>
    <n v="12"/>
    <x v="294"/>
    <x v="9"/>
    <x v="4"/>
  </r>
  <r>
    <x v="0"/>
    <s v="card"/>
    <n v="35.76"/>
    <x v="0"/>
    <x v="0"/>
    <s v="Dec"/>
    <n v="3"/>
    <n v="12"/>
    <x v="295"/>
    <x v="9"/>
    <x v="5"/>
  </r>
  <r>
    <x v="0"/>
    <s v="card"/>
    <n v="35.76"/>
    <x v="0"/>
    <x v="0"/>
    <s v="Dec"/>
    <n v="3"/>
    <n v="12"/>
    <x v="295"/>
    <x v="9"/>
    <x v="5"/>
  </r>
  <r>
    <x v="1"/>
    <s v="card"/>
    <n v="30.86"/>
    <x v="3"/>
    <x v="1"/>
    <s v="Dec"/>
    <n v="3"/>
    <n v="12"/>
    <x v="295"/>
    <x v="9"/>
    <x v="5"/>
  </r>
  <r>
    <x v="1"/>
    <s v="card"/>
    <n v="25.96"/>
    <x v="2"/>
    <x v="1"/>
    <s v="Dec"/>
    <n v="3"/>
    <n v="12"/>
    <x v="295"/>
    <x v="9"/>
    <x v="5"/>
  </r>
  <r>
    <x v="2"/>
    <s v="card"/>
    <n v="30.86"/>
    <x v="3"/>
    <x v="1"/>
    <s v="Dec"/>
    <n v="3"/>
    <n v="12"/>
    <x v="295"/>
    <x v="9"/>
    <x v="5"/>
  </r>
  <r>
    <x v="2"/>
    <s v="card"/>
    <n v="25.96"/>
    <x v="2"/>
    <x v="1"/>
    <s v="Dec"/>
    <n v="3"/>
    <n v="12"/>
    <x v="295"/>
    <x v="9"/>
    <x v="5"/>
  </r>
  <r>
    <x v="11"/>
    <s v="card"/>
    <n v="35.76"/>
    <x v="7"/>
    <x v="2"/>
    <s v="Dec"/>
    <n v="3"/>
    <n v="12"/>
    <x v="295"/>
    <x v="9"/>
    <x v="5"/>
  </r>
  <r>
    <x v="15"/>
    <s v="card"/>
    <n v="35.76"/>
    <x v="4"/>
    <x v="2"/>
    <s v="Dec"/>
    <n v="3"/>
    <n v="12"/>
    <x v="295"/>
    <x v="9"/>
    <x v="5"/>
  </r>
  <r>
    <x v="15"/>
    <s v="card"/>
    <n v="35.76"/>
    <x v="4"/>
    <x v="2"/>
    <s v="Dec"/>
    <n v="3"/>
    <n v="12"/>
    <x v="295"/>
    <x v="9"/>
    <x v="5"/>
  </r>
  <r>
    <x v="15"/>
    <s v="card"/>
    <n v="35.76"/>
    <x v="0"/>
    <x v="2"/>
    <s v="Dec"/>
    <n v="3"/>
    <n v="12"/>
    <x v="295"/>
    <x v="9"/>
    <x v="5"/>
  </r>
  <r>
    <x v="13"/>
    <s v="card"/>
    <n v="35.76"/>
    <x v="7"/>
    <x v="2"/>
    <s v="Dec"/>
    <n v="3"/>
    <n v="12"/>
    <x v="295"/>
    <x v="9"/>
    <x v="5"/>
  </r>
  <r>
    <x v="13"/>
    <s v="card"/>
    <n v="30.86"/>
    <x v="3"/>
    <x v="2"/>
    <s v="Dec"/>
    <n v="3"/>
    <n v="12"/>
    <x v="295"/>
    <x v="9"/>
    <x v="5"/>
  </r>
  <r>
    <x v="2"/>
    <s v="card"/>
    <n v="35.76"/>
    <x v="7"/>
    <x v="1"/>
    <s v="Dec"/>
    <n v="4"/>
    <n v="12"/>
    <x v="296"/>
    <x v="9"/>
    <x v="6"/>
  </r>
  <r>
    <x v="3"/>
    <s v="card"/>
    <n v="21.06"/>
    <x v="6"/>
    <x v="1"/>
    <s v="Dec"/>
    <n v="4"/>
    <n v="12"/>
    <x v="296"/>
    <x v="9"/>
    <x v="6"/>
  </r>
  <r>
    <x v="14"/>
    <s v="card"/>
    <n v="25.96"/>
    <x v="2"/>
    <x v="0"/>
    <s v="Dec"/>
    <n v="5"/>
    <n v="12"/>
    <x v="297"/>
    <x v="9"/>
    <x v="0"/>
  </r>
  <r>
    <x v="12"/>
    <s v="card"/>
    <n v="25.96"/>
    <x v="5"/>
    <x v="0"/>
    <s v="Dec"/>
    <n v="5"/>
    <n v="12"/>
    <x v="297"/>
    <x v="9"/>
    <x v="0"/>
  </r>
  <r>
    <x v="10"/>
    <s v="card"/>
    <n v="25.96"/>
    <x v="5"/>
    <x v="0"/>
    <s v="Dec"/>
    <n v="5"/>
    <n v="12"/>
    <x v="297"/>
    <x v="9"/>
    <x v="0"/>
  </r>
  <r>
    <x v="0"/>
    <s v="card"/>
    <n v="30.86"/>
    <x v="3"/>
    <x v="0"/>
    <s v="Dec"/>
    <n v="5"/>
    <n v="12"/>
    <x v="297"/>
    <x v="9"/>
    <x v="0"/>
  </r>
  <r>
    <x v="9"/>
    <s v="card"/>
    <n v="35.76"/>
    <x v="0"/>
    <x v="2"/>
    <s v="Dec"/>
    <n v="5"/>
    <n v="12"/>
    <x v="297"/>
    <x v="9"/>
    <x v="0"/>
  </r>
  <r>
    <x v="6"/>
    <s v="card"/>
    <n v="25.96"/>
    <x v="2"/>
    <x v="2"/>
    <s v="Dec"/>
    <n v="5"/>
    <n v="12"/>
    <x v="297"/>
    <x v="9"/>
    <x v="0"/>
  </r>
  <r>
    <x v="6"/>
    <s v="card"/>
    <n v="30.86"/>
    <x v="3"/>
    <x v="2"/>
    <s v="Dec"/>
    <n v="5"/>
    <n v="12"/>
    <x v="297"/>
    <x v="9"/>
    <x v="0"/>
  </r>
  <r>
    <x v="13"/>
    <s v="card"/>
    <n v="35.76"/>
    <x v="4"/>
    <x v="2"/>
    <s v="Dec"/>
    <n v="5"/>
    <n v="12"/>
    <x v="297"/>
    <x v="9"/>
    <x v="0"/>
  </r>
  <r>
    <x v="10"/>
    <s v="card"/>
    <n v="25.96"/>
    <x v="5"/>
    <x v="0"/>
    <s v="Dec"/>
    <n v="6"/>
    <n v="12"/>
    <x v="298"/>
    <x v="9"/>
    <x v="1"/>
  </r>
  <r>
    <x v="10"/>
    <s v="card"/>
    <n v="25.96"/>
    <x v="5"/>
    <x v="0"/>
    <s v="Dec"/>
    <n v="6"/>
    <n v="12"/>
    <x v="298"/>
    <x v="9"/>
    <x v="1"/>
  </r>
  <r>
    <x v="0"/>
    <s v="card"/>
    <n v="30.86"/>
    <x v="3"/>
    <x v="0"/>
    <s v="Dec"/>
    <n v="6"/>
    <n v="12"/>
    <x v="298"/>
    <x v="9"/>
    <x v="1"/>
  </r>
  <r>
    <x v="0"/>
    <s v="card"/>
    <n v="35.76"/>
    <x v="0"/>
    <x v="0"/>
    <s v="Dec"/>
    <n v="6"/>
    <n v="12"/>
    <x v="298"/>
    <x v="9"/>
    <x v="1"/>
  </r>
  <r>
    <x v="8"/>
    <s v="card"/>
    <n v="35.76"/>
    <x v="7"/>
    <x v="1"/>
    <s v="Dec"/>
    <n v="6"/>
    <n v="12"/>
    <x v="298"/>
    <x v="9"/>
    <x v="1"/>
  </r>
  <r>
    <x v="8"/>
    <s v="card"/>
    <n v="35.76"/>
    <x v="1"/>
    <x v="1"/>
    <s v="Dec"/>
    <n v="6"/>
    <n v="12"/>
    <x v="298"/>
    <x v="9"/>
    <x v="1"/>
  </r>
  <r>
    <x v="9"/>
    <s v="card"/>
    <n v="35.76"/>
    <x v="0"/>
    <x v="2"/>
    <s v="Dec"/>
    <n v="6"/>
    <n v="12"/>
    <x v="298"/>
    <x v="9"/>
    <x v="1"/>
  </r>
  <r>
    <x v="13"/>
    <s v="card"/>
    <n v="35.76"/>
    <x v="7"/>
    <x v="2"/>
    <s v="Dec"/>
    <n v="6"/>
    <n v="12"/>
    <x v="298"/>
    <x v="9"/>
    <x v="1"/>
  </r>
  <r>
    <x v="2"/>
    <s v="card"/>
    <n v="25.96"/>
    <x v="5"/>
    <x v="1"/>
    <s v="Dec"/>
    <n v="7"/>
    <n v="12"/>
    <x v="299"/>
    <x v="9"/>
    <x v="2"/>
  </r>
  <r>
    <x v="3"/>
    <s v="card"/>
    <n v="21.06"/>
    <x v="6"/>
    <x v="1"/>
    <s v="Dec"/>
    <n v="7"/>
    <n v="12"/>
    <x v="299"/>
    <x v="9"/>
    <x v="2"/>
  </r>
  <r>
    <x v="3"/>
    <s v="card"/>
    <n v="25.96"/>
    <x v="2"/>
    <x v="1"/>
    <s v="Dec"/>
    <n v="7"/>
    <n v="12"/>
    <x v="299"/>
    <x v="9"/>
    <x v="2"/>
  </r>
  <r>
    <x v="9"/>
    <s v="card"/>
    <n v="25.96"/>
    <x v="5"/>
    <x v="2"/>
    <s v="Dec"/>
    <n v="7"/>
    <n v="12"/>
    <x v="299"/>
    <x v="9"/>
    <x v="2"/>
  </r>
  <r>
    <x v="9"/>
    <s v="card"/>
    <n v="21.06"/>
    <x v="6"/>
    <x v="2"/>
    <s v="Dec"/>
    <n v="7"/>
    <n v="12"/>
    <x v="299"/>
    <x v="9"/>
    <x v="2"/>
  </r>
  <r>
    <x v="6"/>
    <s v="card"/>
    <n v="25.96"/>
    <x v="5"/>
    <x v="2"/>
    <s v="Dec"/>
    <n v="7"/>
    <n v="12"/>
    <x v="299"/>
    <x v="9"/>
    <x v="2"/>
  </r>
  <r>
    <x v="11"/>
    <s v="card"/>
    <n v="35.76"/>
    <x v="1"/>
    <x v="2"/>
    <s v="Dec"/>
    <n v="7"/>
    <n v="12"/>
    <x v="299"/>
    <x v="9"/>
    <x v="2"/>
  </r>
  <r>
    <x v="15"/>
    <s v="card"/>
    <n v="35.76"/>
    <x v="0"/>
    <x v="2"/>
    <s v="Dec"/>
    <n v="7"/>
    <n v="12"/>
    <x v="299"/>
    <x v="9"/>
    <x v="2"/>
  </r>
  <r>
    <x v="10"/>
    <s v="card"/>
    <n v="25.96"/>
    <x v="5"/>
    <x v="0"/>
    <s v="Dec"/>
    <n v="1"/>
    <n v="12"/>
    <x v="300"/>
    <x v="9"/>
    <x v="3"/>
  </r>
  <r>
    <x v="10"/>
    <s v="card"/>
    <n v="30.86"/>
    <x v="3"/>
    <x v="0"/>
    <s v="Dec"/>
    <n v="1"/>
    <n v="12"/>
    <x v="300"/>
    <x v="9"/>
    <x v="3"/>
  </r>
  <r>
    <x v="2"/>
    <s v="card"/>
    <n v="35.76"/>
    <x v="0"/>
    <x v="1"/>
    <s v="Dec"/>
    <n v="1"/>
    <n v="12"/>
    <x v="300"/>
    <x v="9"/>
    <x v="3"/>
  </r>
  <r>
    <x v="2"/>
    <s v="card"/>
    <n v="35.76"/>
    <x v="1"/>
    <x v="1"/>
    <s v="Dec"/>
    <n v="1"/>
    <n v="12"/>
    <x v="300"/>
    <x v="9"/>
    <x v="3"/>
  </r>
  <r>
    <x v="3"/>
    <s v="card"/>
    <n v="35.76"/>
    <x v="0"/>
    <x v="1"/>
    <s v="Dec"/>
    <n v="1"/>
    <n v="12"/>
    <x v="300"/>
    <x v="9"/>
    <x v="3"/>
  </r>
  <r>
    <x v="3"/>
    <s v="card"/>
    <n v="30.86"/>
    <x v="3"/>
    <x v="1"/>
    <s v="Dec"/>
    <n v="1"/>
    <n v="12"/>
    <x v="300"/>
    <x v="9"/>
    <x v="3"/>
  </r>
  <r>
    <x v="4"/>
    <s v="card"/>
    <n v="30.86"/>
    <x v="3"/>
    <x v="1"/>
    <s v="Dec"/>
    <n v="1"/>
    <n v="12"/>
    <x v="300"/>
    <x v="9"/>
    <x v="3"/>
  </r>
  <r>
    <x v="4"/>
    <s v="card"/>
    <n v="25.96"/>
    <x v="2"/>
    <x v="1"/>
    <s v="Dec"/>
    <n v="1"/>
    <n v="12"/>
    <x v="300"/>
    <x v="9"/>
    <x v="3"/>
  </r>
  <r>
    <x v="4"/>
    <s v="card"/>
    <n v="35.76"/>
    <x v="7"/>
    <x v="1"/>
    <s v="Dec"/>
    <n v="1"/>
    <n v="12"/>
    <x v="300"/>
    <x v="9"/>
    <x v="3"/>
  </r>
  <r>
    <x v="12"/>
    <s v="card"/>
    <n v="25.96"/>
    <x v="5"/>
    <x v="0"/>
    <s v="Dec"/>
    <n v="2"/>
    <n v="12"/>
    <x v="301"/>
    <x v="9"/>
    <x v="4"/>
  </r>
  <r>
    <x v="10"/>
    <s v="card"/>
    <n v="35.76"/>
    <x v="7"/>
    <x v="0"/>
    <s v="Dec"/>
    <n v="2"/>
    <n v="12"/>
    <x v="301"/>
    <x v="9"/>
    <x v="4"/>
  </r>
  <r>
    <x v="10"/>
    <s v="card"/>
    <n v="25.96"/>
    <x v="5"/>
    <x v="0"/>
    <s v="Dec"/>
    <n v="2"/>
    <n v="12"/>
    <x v="301"/>
    <x v="9"/>
    <x v="4"/>
  </r>
  <r>
    <x v="10"/>
    <s v="card"/>
    <n v="35.76"/>
    <x v="4"/>
    <x v="0"/>
    <s v="Dec"/>
    <n v="2"/>
    <n v="12"/>
    <x v="301"/>
    <x v="9"/>
    <x v="4"/>
  </r>
  <r>
    <x v="0"/>
    <s v="card"/>
    <n v="30.86"/>
    <x v="3"/>
    <x v="0"/>
    <s v="Dec"/>
    <n v="2"/>
    <n v="12"/>
    <x v="301"/>
    <x v="9"/>
    <x v="4"/>
  </r>
  <r>
    <x v="0"/>
    <s v="card"/>
    <n v="30.86"/>
    <x v="3"/>
    <x v="0"/>
    <s v="Dec"/>
    <n v="2"/>
    <n v="12"/>
    <x v="301"/>
    <x v="9"/>
    <x v="4"/>
  </r>
  <r>
    <x v="7"/>
    <s v="card"/>
    <n v="35.76"/>
    <x v="7"/>
    <x v="0"/>
    <s v="Dec"/>
    <n v="2"/>
    <n v="12"/>
    <x v="301"/>
    <x v="9"/>
    <x v="4"/>
  </r>
  <r>
    <x v="7"/>
    <s v="card"/>
    <n v="30.86"/>
    <x v="3"/>
    <x v="0"/>
    <s v="Dec"/>
    <n v="2"/>
    <n v="12"/>
    <x v="301"/>
    <x v="9"/>
    <x v="4"/>
  </r>
  <r>
    <x v="3"/>
    <s v="card"/>
    <n v="21.06"/>
    <x v="6"/>
    <x v="1"/>
    <s v="Dec"/>
    <n v="2"/>
    <n v="12"/>
    <x v="301"/>
    <x v="9"/>
    <x v="4"/>
  </r>
  <r>
    <x v="3"/>
    <s v="card"/>
    <n v="25.96"/>
    <x v="2"/>
    <x v="1"/>
    <s v="Dec"/>
    <n v="2"/>
    <n v="12"/>
    <x v="301"/>
    <x v="9"/>
    <x v="4"/>
  </r>
  <r>
    <x v="4"/>
    <s v="card"/>
    <n v="35.76"/>
    <x v="7"/>
    <x v="1"/>
    <s v="Dec"/>
    <n v="2"/>
    <n v="12"/>
    <x v="301"/>
    <x v="9"/>
    <x v="4"/>
  </r>
  <r>
    <x v="9"/>
    <s v="card"/>
    <n v="35.76"/>
    <x v="0"/>
    <x v="2"/>
    <s v="Dec"/>
    <n v="2"/>
    <n v="12"/>
    <x v="301"/>
    <x v="9"/>
    <x v="4"/>
  </r>
  <r>
    <x v="9"/>
    <s v="card"/>
    <n v="30.86"/>
    <x v="3"/>
    <x v="2"/>
    <s v="Dec"/>
    <n v="2"/>
    <n v="12"/>
    <x v="301"/>
    <x v="9"/>
    <x v="4"/>
  </r>
  <r>
    <x v="9"/>
    <s v="card"/>
    <n v="35.76"/>
    <x v="7"/>
    <x v="2"/>
    <s v="Dec"/>
    <n v="2"/>
    <n v="12"/>
    <x v="301"/>
    <x v="9"/>
    <x v="4"/>
  </r>
  <r>
    <x v="6"/>
    <s v="card"/>
    <n v="35.76"/>
    <x v="0"/>
    <x v="2"/>
    <s v="Dec"/>
    <n v="2"/>
    <n v="12"/>
    <x v="301"/>
    <x v="9"/>
    <x v="4"/>
  </r>
  <r>
    <x v="6"/>
    <s v="card"/>
    <n v="35.76"/>
    <x v="1"/>
    <x v="2"/>
    <s v="Dec"/>
    <n v="2"/>
    <n v="12"/>
    <x v="301"/>
    <x v="9"/>
    <x v="4"/>
  </r>
  <r>
    <x v="10"/>
    <s v="card"/>
    <n v="30.86"/>
    <x v="3"/>
    <x v="0"/>
    <s v="Jan"/>
    <n v="4"/>
    <n v="1"/>
    <x v="302"/>
    <x v="10"/>
    <x v="6"/>
  </r>
  <r>
    <x v="2"/>
    <s v="card"/>
    <n v="35.76"/>
    <x v="4"/>
    <x v="1"/>
    <s v="Jan"/>
    <n v="4"/>
    <n v="1"/>
    <x v="302"/>
    <x v="10"/>
    <x v="6"/>
  </r>
  <r>
    <x v="2"/>
    <s v="card"/>
    <n v="35.76"/>
    <x v="4"/>
    <x v="1"/>
    <s v="Jan"/>
    <n v="4"/>
    <n v="1"/>
    <x v="302"/>
    <x v="10"/>
    <x v="6"/>
  </r>
  <r>
    <x v="8"/>
    <s v="card"/>
    <n v="25.96"/>
    <x v="5"/>
    <x v="1"/>
    <s v="Jan"/>
    <n v="4"/>
    <n v="1"/>
    <x v="302"/>
    <x v="10"/>
    <x v="6"/>
  </r>
  <r>
    <x v="8"/>
    <s v="card"/>
    <n v="25.96"/>
    <x v="5"/>
    <x v="1"/>
    <s v="Jan"/>
    <n v="4"/>
    <n v="1"/>
    <x v="302"/>
    <x v="10"/>
    <x v="6"/>
  </r>
  <r>
    <x v="4"/>
    <s v="card"/>
    <n v="25.96"/>
    <x v="2"/>
    <x v="1"/>
    <s v="Jan"/>
    <n v="4"/>
    <n v="1"/>
    <x v="302"/>
    <x v="10"/>
    <x v="6"/>
  </r>
  <r>
    <x v="4"/>
    <s v="card"/>
    <n v="35.76"/>
    <x v="1"/>
    <x v="1"/>
    <s v="Jan"/>
    <n v="4"/>
    <n v="1"/>
    <x v="302"/>
    <x v="10"/>
    <x v="6"/>
  </r>
  <r>
    <x v="4"/>
    <s v="card"/>
    <n v="30.86"/>
    <x v="3"/>
    <x v="1"/>
    <s v="Jan"/>
    <n v="4"/>
    <n v="1"/>
    <x v="302"/>
    <x v="10"/>
    <x v="6"/>
  </r>
  <r>
    <x v="9"/>
    <s v="card"/>
    <n v="35.76"/>
    <x v="7"/>
    <x v="2"/>
    <s v="Jan"/>
    <n v="4"/>
    <n v="1"/>
    <x v="302"/>
    <x v="10"/>
    <x v="6"/>
  </r>
  <r>
    <x v="10"/>
    <s v="card"/>
    <n v="25.96"/>
    <x v="5"/>
    <x v="0"/>
    <s v="Jan"/>
    <n v="5"/>
    <n v="1"/>
    <x v="303"/>
    <x v="10"/>
    <x v="0"/>
  </r>
  <r>
    <x v="0"/>
    <s v="card"/>
    <n v="30.86"/>
    <x v="3"/>
    <x v="0"/>
    <s v="Jan"/>
    <n v="5"/>
    <n v="1"/>
    <x v="303"/>
    <x v="10"/>
    <x v="0"/>
  </r>
  <r>
    <x v="4"/>
    <s v="card"/>
    <n v="30.86"/>
    <x v="3"/>
    <x v="1"/>
    <s v="Jan"/>
    <n v="5"/>
    <n v="1"/>
    <x v="303"/>
    <x v="10"/>
    <x v="0"/>
  </r>
  <r>
    <x v="13"/>
    <s v="card"/>
    <n v="35.76"/>
    <x v="7"/>
    <x v="2"/>
    <s v="Jan"/>
    <n v="5"/>
    <n v="1"/>
    <x v="303"/>
    <x v="10"/>
    <x v="0"/>
  </r>
  <r>
    <x v="13"/>
    <s v="card"/>
    <n v="25.96"/>
    <x v="2"/>
    <x v="2"/>
    <s v="Jan"/>
    <n v="5"/>
    <n v="1"/>
    <x v="303"/>
    <x v="10"/>
    <x v="0"/>
  </r>
  <r>
    <x v="13"/>
    <s v="card"/>
    <n v="25.96"/>
    <x v="2"/>
    <x v="2"/>
    <s v="Jan"/>
    <n v="5"/>
    <n v="1"/>
    <x v="303"/>
    <x v="10"/>
    <x v="0"/>
  </r>
  <r>
    <x v="13"/>
    <s v="card"/>
    <n v="35.76"/>
    <x v="0"/>
    <x v="2"/>
    <s v="Jan"/>
    <n v="5"/>
    <n v="1"/>
    <x v="303"/>
    <x v="10"/>
    <x v="0"/>
  </r>
  <r>
    <x v="12"/>
    <s v="card"/>
    <n v="25.96"/>
    <x v="5"/>
    <x v="0"/>
    <s v="Jan"/>
    <n v="6"/>
    <n v="1"/>
    <x v="304"/>
    <x v="10"/>
    <x v="1"/>
  </r>
  <r>
    <x v="10"/>
    <s v="card"/>
    <n v="25.96"/>
    <x v="2"/>
    <x v="0"/>
    <s v="Jan"/>
    <n v="6"/>
    <n v="1"/>
    <x v="304"/>
    <x v="10"/>
    <x v="1"/>
  </r>
  <r>
    <x v="2"/>
    <s v="card"/>
    <n v="35.76"/>
    <x v="7"/>
    <x v="1"/>
    <s v="Jan"/>
    <n v="6"/>
    <n v="1"/>
    <x v="304"/>
    <x v="10"/>
    <x v="1"/>
  </r>
  <r>
    <x v="3"/>
    <s v="card"/>
    <n v="35.76"/>
    <x v="4"/>
    <x v="1"/>
    <s v="Jan"/>
    <n v="6"/>
    <n v="1"/>
    <x v="304"/>
    <x v="10"/>
    <x v="1"/>
  </r>
  <r>
    <x v="4"/>
    <s v="card"/>
    <n v="30.86"/>
    <x v="3"/>
    <x v="1"/>
    <s v="Jan"/>
    <n v="6"/>
    <n v="1"/>
    <x v="304"/>
    <x v="10"/>
    <x v="1"/>
  </r>
  <r>
    <x v="4"/>
    <s v="card"/>
    <n v="35.76"/>
    <x v="7"/>
    <x v="1"/>
    <s v="Jan"/>
    <n v="6"/>
    <n v="1"/>
    <x v="304"/>
    <x v="10"/>
    <x v="1"/>
  </r>
  <r>
    <x v="4"/>
    <s v="card"/>
    <n v="35.76"/>
    <x v="7"/>
    <x v="1"/>
    <s v="Jan"/>
    <n v="6"/>
    <n v="1"/>
    <x v="304"/>
    <x v="10"/>
    <x v="1"/>
  </r>
  <r>
    <x v="4"/>
    <s v="card"/>
    <n v="25.96"/>
    <x v="5"/>
    <x v="1"/>
    <s v="Jan"/>
    <n v="6"/>
    <n v="1"/>
    <x v="304"/>
    <x v="10"/>
    <x v="1"/>
  </r>
  <r>
    <x v="5"/>
    <s v="card"/>
    <n v="25.96"/>
    <x v="2"/>
    <x v="2"/>
    <s v="Jan"/>
    <n v="6"/>
    <n v="1"/>
    <x v="304"/>
    <x v="10"/>
    <x v="1"/>
  </r>
  <r>
    <x v="13"/>
    <s v="card"/>
    <n v="35.76"/>
    <x v="0"/>
    <x v="2"/>
    <s v="Jan"/>
    <n v="6"/>
    <n v="1"/>
    <x v="304"/>
    <x v="10"/>
    <x v="1"/>
  </r>
  <r>
    <x v="10"/>
    <s v="card"/>
    <n v="30.86"/>
    <x v="3"/>
    <x v="0"/>
    <s v="Jan"/>
    <n v="7"/>
    <n v="1"/>
    <x v="305"/>
    <x v="10"/>
    <x v="2"/>
  </r>
  <r>
    <x v="0"/>
    <s v="card"/>
    <n v="35.76"/>
    <x v="0"/>
    <x v="0"/>
    <s v="Jan"/>
    <n v="7"/>
    <n v="1"/>
    <x v="305"/>
    <x v="10"/>
    <x v="2"/>
  </r>
  <r>
    <x v="13"/>
    <s v="card"/>
    <n v="30.86"/>
    <x v="3"/>
    <x v="2"/>
    <s v="Jan"/>
    <n v="7"/>
    <n v="1"/>
    <x v="305"/>
    <x v="10"/>
    <x v="2"/>
  </r>
  <r>
    <x v="6"/>
    <s v="card"/>
    <n v="25.96"/>
    <x v="2"/>
    <x v="2"/>
    <s v="Jan"/>
    <n v="1"/>
    <n v="1"/>
    <x v="306"/>
    <x v="10"/>
    <x v="3"/>
  </r>
  <r>
    <x v="2"/>
    <s v="card"/>
    <n v="35.76"/>
    <x v="7"/>
    <x v="1"/>
    <s v="Jan"/>
    <n v="2"/>
    <n v="1"/>
    <x v="307"/>
    <x v="10"/>
    <x v="4"/>
  </r>
  <r>
    <x v="13"/>
    <s v="card"/>
    <n v="35.76"/>
    <x v="4"/>
    <x v="2"/>
    <s v="Jan"/>
    <n v="2"/>
    <n v="1"/>
    <x v="307"/>
    <x v="10"/>
    <x v="4"/>
  </r>
  <r>
    <x v="13"/>
    <s v="card"/>
    <n v="35.76"/>
    <x v="4"/>
    <x v="2"/>
    <s v="Jan"/>
    <n v="2"/>
    <n v="1"/>
    <x v="307"/>
    <x v="10"/>
    <x v="4"/>
  </r>
  <r>
    <x v="14"/>
    <s v="card"/>
    <n v="30.86"/>
    <x v="3"/>
    <x v="0"/>
    <s v="Jan"/>
    <n v="3"/>
    <n v="1"/>
    <x v="308"/>
    <x v="10"/>
    <x v="5"/>
  </r>
  <r>
    <x v="10"/>
    <s v="card"/>
    <n v="35.76"/>
    <x v="0"/>
    <x v="0"/>
    <s v="Jan"/>
    <n v="3"/>
    <n v="1"/>
    <x v="308"/>
    <x v="10"/>
    <x v="5"/>
  </r>
  <r>
    <x v="0"/>
    <s v="card"/>
    <n v="25.96"/>
    <x v="5"/>
    <x v="0"/>
    <s v="Jan"/>
    <n v="3"/>
    <n v="1"/>
    <x v="308"/>
    <x v="10"/>
    <x v="5"/>
  </r>
  <r>
    <x v="9"/>
    <s v="card"/>
    <n v="35.76"/>
    <x v="7"/>
    <x v="2"/>
    <s v="Jan"/>
    <n v="3"/>
    <n v="1"/>
    <x v="308"/>
    <x v="10"/>
    <x v="5"/>
  </r>
  <r>
    <x v="12"/>
    <s v="card"/>
    <n v="25.96"/>
    <x v="2"/>
    <x v="0"/>
    <s v="Jan"/>
    <n v="4"/>
    <n v="1"/>
    <x v="309"/>
    <x v="10"/>
    <x v="6"/>
  </r>
  <r>
    <x v="12"/>
    <s v="card"/>
    <n v="35.76"/>
    <x v="0"/>
    <x v="0"/>
    <s v="Jan"/>
    <n v="4"/>
    <n v="1"/>
    <x v="309"/>
    <x v="10"/>
    <x v="6"/>
  </r>
  <r>
    <x v="10"/>
    <s v="card"/>
    <n v="30.86"/>
    <x v="3"/>
    <x v="0"/>
    <s v="Jan"/>
    <n v="4"/>
    <n v="1"/>
    <x v="309"/>
    <x v="10"/>
    <x v="6"/>
  </r>
  <r>
    <x v="8"/>
    <s v="card"/>
    <n v="21.06"/>
    <x v="6"/>
    <x v="1"/>
    <s v="Jan"/>
    <n v="4"/>
    <n v="1"/>
    <x v="309"/>
    <x v="10"/>
    <x v="6"/>
  </r>
  <r>
    <x v="3"/>
    <s v="card"/>
    <n v="35.76"/>
    <x v="0"/>
    <x v="1"/>
    <s v="Jan"/>
    <n v="4"/>
    <n v="1"/>
    <x v="309"/>
    <x v="10"/>
    <x v="6"/>
  </r>
  <r>
    <x v="3"/>
    <s v="card"/>
    <n v="30.86"/>
    <x v="3"/>
    <x v="1"/>
    <s v="Jan"/>
    <n v="4"/>
    <n v="1"/>
    <x v="309"/>
    <x v="10"/>
    <x v="6"/>
  </r>
  <r>
    <x v="3"/>
    <s v="card"/>
    <n v="25.96"/>
    <x v="5"/>
    <x v="1"/>
    <s v="Jan"/>
    <n v="4"/>
    <n v="1"/>
    <x v="309"/>
    <x v="10"/>
    <x v="6"/>
  </r>
  <r>
    <x v="11"/>
    <s v="card"/>
    <n v="30.86"/>
    <x v="3"/>
    <x v="2"/>
    <s v="Jan"/>
    <n v="4"/>
    <n v="1"/>
    <x v="309"/>
    <x v="10"/>
    <x v="6"/>
  </r>
  <r>
    <x v="13"/>
    <s v="card"/>
    <n v="35.76"/>
    <x v="0"/>
    <x v="2"/>
    <s v="Jan"/>
    <n v="4"/>
    <n v="1"/>
    <x v="309"/>
    <x v="10"/>
    <x v="6"/>
  </r>
  <r>
    <x v="12"/>
    <s v="card"/>
    <n v="30.86"/>
    <x v="3"/>
    <x v="0"/>
    <s v="Jan"/>
    <n v="5"/>
    <n v="1"/>
    <x v="310"/>
    <x v="10"/>
    <x v="0"/>
  </r>
  <r>
    <x v="10"/>
    <s v="card"/>
    <n v="30.86"/>
    <x v="3"/>
    <x v="0"/>
    <s v="Jan"/>
    <n v="5"/>
    <n v="1"/>
    <x v="310"/>
    <x v="10"/>
    <x v="0"/>
  </r>
  <r>
    <x v="9"/>
    <s v="card"/>
    <n v="35.76"/>
    <x v="7"/>
    <x v="2"/>
    <s v="Jan"/>
    <n v="5"/>
    <n v="1"/>
    <x v="310"/>
    <x v="10"/>
    <x v="0"/>
  </r>
  <r>
    <x v="9"/>
    <s v="card"/>
    <n v="35.76"/>
    <x v="1"/>
    <x v="2"/>
    <s v="Jan"/>
    <n v="5"/>
    <n v="1"/>
    <x v="310"/>
    <x v="10"/>
    <x v="0"/>
  </r>
  <r>
    <x v="9"/>
    <s v="card"/>
    <n v="30.86"/>
    <x v="3"/>
    <x v="2"/>
    <s v="Jan"/>
    <n v="5"/>
    <n v="1"/>
    <x v="310"/>
    <x v="10"/>
    <x v="0"/>
  </r>
  <r>
    <x v="14"/>
    <s v="card"/>
    <n v="30.86"/>
    <x v="3"/>
    <x v="0"/>
    <s v="Jan"/>
    <n v="6"/>
    <n v="1"/>
    <x v="311"/>
    <x v="10"/>
    <x v="1"/>
  </r>
  <r>
    <x v="0"/>
    <s v="card"/>
    <n v="35.76"/>
    <x v="1"/>
    <x v="0"/>
    <s v="Jan"/>
    <n v="6"/>
    <n v="1"/>
    <x v="311"/>
    <x v="10"/>
    <x v="1"/>
  </r>
  <r>
    <x v="7"/>
    <s v="card"/>
    <n v="25.96"/>
    <x v="2"/>
    <x v="0"/>
    <s v="Jan"/>
    <n v="6"/>
    <n v="1"/>
    <x v="311"/>
    <x v="10"/>
    <x v="1"/>
  </r>
  <r>
    <x v="7"/>
    <s v="card"/>
    <n v="35.76"/>
    <x v="0"/>
    <x v="0"/>
    <s v="Jan"/>
    <n v="6"/>
    <n v="1"/>
    <x v="311"/>
    <x v="10"/>
    <x v="1"/>
  </r>
  <r>
    <x v="7"/>
    <s v="card"/>
    <n v="35.76"/>
    <x v="0"/>
    <x v="0"/>
    <s v="Jan"/>
    <n v="6"/>
    <n v="1"/>
    <x v="311"/>
    <x v="10"/>
    <x v="1"/>
  </r>
  <r>
    <x v="1"/>
    <s v="card"/>
    <n v="35.76"/>
    <x v="0"/>
    <x v="1"/>
    <s v="Jan"/>
    <n v="6"/>
    <n v="1"/>
    <x v="311"/>
    <x v="10"/>
    <x v="1"/>
  </r>
  <r>
    <x v="1"/>
    <s v="card"/>
    <n v="35.76"/>
    <x v="0"/>
    <x v="1"/>
    <s v="Jan"/>
    <n v="6"/>
    <n v="1"/>
    <x v="311"/>
    <x v="10"/>
    <x v="1"/>
  </r>
  <r>
    <x v="8"/>
    <s v="card"/>
    <n v="30.86"/>
    <x v="3"/>
    <x v="1"/>
    <s v="Jan"/>
    <n v="6"/>
    <n v="1"/>
    <x v="311"/>
    <x v="10"/>
    <x v="1"/>
  </r>
  <r>
    <x v="8"/>
    <s v="card"/>
    <n v="30.86"/>
    <x v="3"/>
    <x v="1"/>
    <s v="Jan"/>
    <n v="6"/>
    <n v="1"/>
    <x v="311"/>
    <x v="10"/>
    <x v="1"/>
  </r>
  <r>
    <x v="8"/>
    <s v="card"/>
    <n v="35.76"/>
    <x v="7"/>
    <x v="1"/>
    <s v="Jan"/>
    <n v="6"/>
    <n v="1"/>
    <x v="311"/>
    <x v="10"/>
    <x v="1"/>
  </r>
  <r>
    <x v="8"/>
    <s v="card"/>
    <n v="35.76"/>
    <x v="0"/>
    <x v="1"/>
    <s v="Jan"/>
    <n v="6"/>
    <n v="1"/>
    <x v="311"/>
    <x v="10"/>
    <x v="1"/>
  </r>
  <r>
    <x v="9"/>
    <s v="card"/>
    <n v="25.96"/>
    <x v="5"/>
    <x v="2"/>
    <s v="Jan"/>
    <n v="6"/>
    <n v="1"/>
    <x v="311"/>
    <x v="10"/>
    <x v="1"/>
  </r>
  <r>
    <x v="9"/>
    <s v="card"/>
    <n v="35.76"/>
    <x v="0"/>
    <x v="2"/>
    <s v="Jan"/>
    <n v="6"/>
    <n v="1"/>
    <x v="311"/>
    <x v="10"/>
    <x v="1"/>
  </r>
  <r>
    <x v="9"/>
    <s v="card"/>
    <n v="25.96"/>
    <x v="5"/>
    <x v="2"/>
    <s v="Jan"/>
    <n v="6"/>
    <n v="1"/>
    <x v="311"/>
    <x v="10"/>
    <x v="1"/>
  </r>
  <r>
    <x v="5"/>
    <s v="card"/>
    <n v="30.86"/>
    <x v="3"/>
    <x v="2"/>
    <s v="Jan"/>
    <n v="6"/>
    <n v="1"/>
    <x v="311"/>
    <x v="10"/>
    <x v="1"/>
  </r>
  <r>
    <x v="7"/>
    <s v="card"/>
    <n v="30.86"/>
    <x v="3"/>
    <x v="0"/>
    <s v="Jan"/>
    <n v="7"/>
    <n v="1"/>
    <x v="312"/>
    <x v="10"/>
    <x v="2"/>
  </r>
  <r>
    <x v="7"/>
    <s v="card"/>
    <n v="25.96"/>
    <x v="2"/>
    <x v="0"/>
    <s v="Jan"/>
    <n v="7"/>
    <n v="1"/>
    <x v="312"/>
    <x v="10"/>
    <x v="2"/>
  </r>
  <r>
    <x v="7"/>
    <s v="card"/>
    <n v="30.86"/>
    <x v="3"/>
    <x v="0"/>
    <s v="Jan"/>
    <n v="7"/>
    <n v="1"/>
    <x v="312"/>
    <x v="10"/>
    <x v="2"/>
  </r>
  <r>
    <x v="4"/>
    <s v="card"/>
    <n v="35.76"/>
    <x v="1"/>
    <x v="1"/>
    <s v="Jan"/>
    <n v="7"/>
    <n v="1"/>
    <x v="312"/>
    <x v="10"/>
    <x v="2"/>
  </r>
  <r>
    <x v="11"/>
    <s v="card"/>
    <n v="30.86"/>
    <x v="3"/>
    <x v="2"/>
    <s v="Jan"/>
    <n v="7"/>
    <n v="1"/>
    <x v="312"/>
    <x v="10"/>
    <x v="2"/>
  </r>
  <r>
    <x v="12"/>
    <s v="card"/>
    <n v="30.86"/>
    <x v="3"/>
    <x v="0"/>
    <s v="Jan"/>
    <n v="1"/>
    <n v="1"/>
    <x v="313"/>
    <x v="10"/>
    <x v="3"/>
  </r>
  <r>
    <x v="10"/>
    <s v="card"/>
    <n v="30.86"/>
    <x v="3"/>
    <x v="0"/>
    <s v="Jan"/>
    <n v="1"/>
    <n v="1"/>
    <x v="313"/>
    <x v="10"/>
    <x v="3"/>
  </r>
  <r>
    <x v="2"/>
    <s v="card"/>
    <n v="25.96"/>
    <x v="5"/>
    <x v="1"/>
    <s v="Jan"/>
    <n v="1"/>
    <n v="1"/>
    <x v="313"/>
    <x v="10"/>
    <x v="3"/>
  </r>
  <r>
    <x v="2"/>
    <s v="card"/>
    <n v="35.76"/>
    <x v="0"/>
    <x v="1"/>
    <s v="Jan"/>
    <n v="1"/>
    <n v="1"/>
    <x v="313"/>
    <x v="10"/>
    <x v="3"/>
  </r>
  <r>
    <x v="8"/>
    <s v="card"/>
    <n v="35.76"/>
    <x v="0"/>
    <x v="1"/>
    <s v="Jan"/>
    <n v="1"/>
    <n v="1"/>
    <x v="313"/>
    <x v="10"/>
    <x v="3"/>
  </r>
  <r>
    <x v="8"/>
    <s v="card"/>
    <n v="35.76"/>
    <x v="7"/>
    <x v="1"/>
    <s v="Jan"/>
    <n v="1"/>
    <n v="1"/>
    <x v="313"/>
    <x v="10"/>
    <x v="3"/>
  </r>
  <r>
    <x v="4"/>
    <s v="card"/>
    <n v="35.76"/>
    <x v="0"/>
    <x v="1"/>
    <s v="Jan"/>
    <n v="1"/>
    <n v="1"/>
    <x v="313"/>
    <x v="10"/>
    <x v="3"/>
  </r>
  <r>
    <x v="11"/>
    <s v="card"/>
    <n v="21.06"/>
    <x v="6"/>
    <x v="2"/>
    <s v="Jan"/>
    <n v="1"/>
    <n v="1"/>
    <x v="313"/>
    <x v="10"/>
    <x v="3"/>
  </r>
  <r>
    <x v="14"/>
    <s v="card"/>
    <n v="35.76"/>
    <x v="0"/>
    <x v="0"/>
    <s v="Jan"/>
    <n v="2"/>
    <n v="1"/>
    <x v="314"/>
    <x v="10"/>
    <x v="4"/>
  </r>
  <r>
    <x v="10"/>
    <s v="card"/>
    <n v="25.96"/>
    <x v="5"/>
    <x v="0"/>
    <s v="Jan"/>
    <n v="2"/>
    <n v="1"/>
    <x v="314"/>
    <x v="10"/>
    <x v="4"/>
  </r>
  <r>
    <x v="0"/>
    <s v="card"/>
    <n v="30.86"/>
    <x v="3"/>
    <x v="0"/>
    <s v="Jan"/>
    <n v="2"/>
    <n v="1"/>
    <x v="314"/>
    <x v="10"/>
    <x v="4"/>
  </r>
  <r>
    <x v="1"/>
    <s v="card"/>
    <n v="35.76"/>
    <x v="0"/>
    <x v="1"/>
    <s v="Jan"/>
    <n v="2"/>
    <n v="1"/>
    <x v="314"/>
    <x v="10"/>
    <x v="4"/>
  </r>
  <r>
    <x v="4"/>
    <s v="card"/>
    <n v="30.86"/>
    <x v="3"/>
    <x v="1"/>
    <s v="Jan"/>
    <n v="2"/>
    <n v="1"/>
    <x v="314"/>
    <x v="10"/>
    <x v="4"/>
  </r>
  <r>
    <x v="4"/>
    <s v="card"/>
    <n v="30.86"/>
    <x v="3"/>
    <x v="1"/>
    <s v="Jan"/>
    <n v="2"/>
    <n v="1"/>
    <x v="314"/>
    <x v="10"/>
    <x v="4"/>
  </r>
  <r>
    <x v="6"/>
    <s v="card"/>
    <n v="35.76"/>
    <x v="7"/>
    <x v="2"/>
    <s v="Jan"/>
    <n v="2"/>
    <n v="1"/>
    <x v="314"/>
    <x v="10"/>
    <x v="4"/>
  </r>
  <r>
    <x v="15"/>
    <s v="card"/>
    <n v="35.76"/>
    <x v="0"/>
    <x v="2"/>
    <s v="Jan"/>
    <n v="2"/>
    <n v="1"/>
    <x v="314"/>
    <x v="10"/>
    <x v="4"/>
  </r>
  <r>
    <x v="10"/>
    <s v="card"/>
    <n v="30.86"/>
    <x v="3"/>
    <x v="0"/>
    <s v="Jan"/>
    <n v="3"/>
    <n v="1"/>
    <x v="315"/>
    <x v="10"/>
    <x v="5"/>
  </r>
  <r>
    <x v="7"/>
    <s v="card"/>
    <n v="25.96"/>
    <x v="2"/>
    <x v="0"/>
    <s v="Jan"/>
    <n v="3"/>
    <n v="1"/>
    <x v="315"/>
    <x v="10"/>
    <x v="5"/>
  </r>
  <r>
    <x v="2"/>
    <s v="card"/>
    <n v="35.76"/>
    <x v="7"/>
    <x v="1"/>
    <s v="Jan"/>
    <n v="3"/>
    <n v="1"/>
    <x v="315"/>
    <x v="10"/>
    <x v="5"/>
  </r>
  <r>
    <x v="3"/>
    <s v="card"/>
    <n v="35.76"/>
    <x v="0"/>
    <x v="1"/>
    <s v="Jan"/>
    <n v="3"/>
    <n v="1"/>
    <x v="315"/>
    <x v="10"/>
    <x v="5"/>
  </r>
  <r>
    <x v="3"/>
    <s v="card"/>
    <n v="35.76"/>
    <x v="7"/>
    <x v="1"/>
    <s v="Jan"/>
    <n v="3"/>
    <n v="1"/>
    <x v="315"/>
    <x v="10"/>
    <x v="5"/>
  </r>
  <r>
    <x v="3"/>
    <s v="card"/>
    <n v="35.76"/>
    <x v="0"/>
    <x v="1"/>
    <s v="Jan"/>
    <n v="3"/>
    <n v="1"/>
    <x v="315"/>
    <x v="10"/>
    <x v="5"/>
  </r>
  <r>
    <x v="4"/>
    <s v="card"/>
    <n v="35.76"/>
    <x v="0"/>
    <x v="1"/>
    <s v="Jan"/>
    <n v="3"/>
    <n v="1"/>
    <x v="315"/>
    <x v="10"/>
    <x v="5"/>
  </r>
  <r>
    <x v="5"/>
    <s v="card"/>
    <n v="35.76"/>
    <x v="0"/>
    <x v="2"/>
    <s v="Jan"/>
    <n v="3"/>
    <n v="1"/>
    <x v="315"/>
    <x v="10"/>
    <x v="5"/>
  </r>
  <r>
    <x v="6"/>
    <s v="card"/>
    <n v="35.76"/>
    <x v="0"/>
    <x v="2"/>
    <s v="Jan"/>
    <n v="3"/>
    <n v="1"/>
    <x v="315"/>
    <x v="10"/>
    <x v="5"/>
  </r>
  <r>
    <x v="15"/>
    <s v="card"/>
    <n v="35.76"/>
    <x v="7"/>
    <x v="2"/>
    <s v="Jan"/>
    <n v="3"/>
    <n v="1"/>
    <x v="315"/>
    <x v="10"/>
    <x v="5"/>
  </r>
  <r>
    <x v="10"/>
    <s v="card"/>
    <n v="35.76"/>
    <x v="0"/>
    <x v="0"/>
    <s v="Jan"/>
    <n v="4"/>
    <n v="1"/>
    <x v="316"/>
    <x v="10"/>
    <x v="6"/>
  </r>
  <r>
    <x v="10"/>
    <s v="card"/>
    <n v="30.86"/>
    <x v="3"/>
    <x v="0"/>
    <s v="Jan"/>
    <n v="4"/>
    <n v="1"/>
    <x v="316"/>
    <x v="10"/>
    <x v="6"/>
  </r>
  <r>
    <x v="0"/>
    <s v="card"/>
    <n v="30.86"/>
    <x v="3"/>
    <x v="0"/>
    <s v="Jan"/>
    <n v="4"/>
    <n v="1"/>
    <x v="316"/>
    <x v="10"/>
    <x v="6"/>
  </r>
  <r>
    <x v="1"/>
    <s v="card"/>
    <n v="25.96"/>
    <x v="5"/>
    <x v="1"/>
    <s v="Jan"/>
    <n v="4"/>
    <n v="1"/>
    <x v="316"/>
    <x v="10"/>
    <x v="6"/>
  </r>
  <r>
    <x v="3"/>
    <s v="card"/>
    <n v="35.76"/>
    <x v="0"/>
    <x v="1"/>
    <s v="Jan"/>
    <n v="4"/>
    <n v="1"/>
    <x v="316"/>
    <x v="10"/>
    <x v="6"/>
  </r>
  <r>
    <x v="4"/>
    <s v="card"/>
    <n v="35.76"/>
    <x v="0"/>
    <x v="1"/>
    <s v="Jan"/>
    <n v="4"/>
    <n v="1"/>
    <x v="316"/>
    <x v="10"/>
    <x v="6"/>
  </r>
  <r>
    <x v="5"/>
    <s v="card"/>
    <n v="35.76"/>
    <x v="7"/>
    <x v="2"/>
    <s v="Jan"/>
    <n v="4"/>
    <n v="1"/>
    <x v="316"/>
    <x v="10"/>
    <x v="6"/>
  </r>
  <r>
    <x v="15"/>
    <s v="card"/>
    <n v="35.76"/>
    <x v="1"/>
    <x v="2"/>
    <s v="Jan"/>
    <n v="4"/>
    <n v="1"/>
    <x v="316"/>
    <x v="10"/>
    <x v="6"/>
  </r>
  <r>
    <x v="15"/>
    <s v="card"/>
    <n v="35.76"/>
    <x v="1"/>
    <x v="2"/>
    <s v="Jan"/>
    <n v="4"/>
    <n v="1"/>
    <x v="316"/>
    <x v="10"/>
    <x v="6"/>
  </r>
  <r>
    <x v="15"/>
    <s v="card"/>
    <n v="25.96"/>
    <x v="5"/>
    <x v="2"/>
    <s v="Jan"/>
    <n v="4"/>
    <n v="1"/>
    <x v="316"/>
    <x v="10"/>
    <x v="6"/>
  </r>
  <r>
    <x v="14"/>
    <s v="card"/>
    <n v="35.76"/>
    <x v="4"/>
    <x v="0"/>
    <s v="Jan"/>
    <n v="5"/>
    <n v="1"/>
    <x v="317"/>
    <x v="10"/>
    <x v="0"/>
  </r>
  <r>
    <x v="12"/>
    <s v="card"/>
    <n v="35.76"/>
    <x v="0"/>
    <x v="0"/>
    <s v="Jan"/>
    <n v="5"/>
    <n v="1"/>
    <x v="317"/>
    <x v="10"/>
    <x v="0"/>
  </r>
  <r>
    <x v="12"/>
    <s v="card"/>
    <n v="35.76"/>
    <x v="7"/>
    <x v="0"/>
    <s v="Jan"/>
    <n v="5"/>
    <n v="1"/>
    <x v="317"/>
    <x v="10"/>
    <x v="0"/>
  </r>
  <r>
    <x v="12"/>
    <s v="card"/>
    <n v="30.86"/>
    <x v="3"/>
    <x v="0"/>
    <s v="Jan"/>
    <n v="5"/>
    <n v="1"/>
    <x v="317"/>
    <x v="10"/>
    <x v="0"/>
  </r>
  <r>
    <x v="10"/>
    <s v="card"/>
    <n v="30.86"/>
    <x v="3"/>
    <x v="0"/>
    <s v="Jan"/>
    <n v="5"/>
    <n v="1"/>
    <x v="317"/>
    <x v="10"/>
    <x v="0"/>
  </r>
  <r>
    <x v="8"/>
    <s v="card"/>
    <n v="35.76"/>
    <x v="4"/>
    <x v="1"/>
    <s v="Jan"/>
    <n v="5"/>
    <n v="1"/>
    <x v="317"/>
    <x v="10"/>
    <x v="0"/>
  </r>
  <r>
    <x v="8"/>
    <s v="card"/>
    <n v="35.76"/>
    <x v="4"/>
    <x v="1"/>
    <s v="Jan"/>
    <n v="5"/>
    <n v="1"/>
    <x v="317"/>
    <x v="10"/>
    <x v="0"/>
  </r>
  <r>
    <x v="9"/>
    <s v="card"/>
    <n v="35.76"/>
    <x v="1"/>
    <x v="2"/>
    <s v="Jan"/>
    <n v="5"/>
    <n v="1"/>
    <x v="317"/>
    <x v="10"/>
    <x v="0"/>
  </r>
  <r>
    <x v="15"/>
    <s v="card"/>
    <n v="35.76"/>
    <x v="1"/>
    <x v="2"/>
    <s v="Jan"/>
    <n v="5"/>
    <n v="1"/>
    <x v="317"/>
    <x v="10"/>
    <x v="0"/>
  </r>
  <r>
    <x v="0"/>
    <s v="card"/>
    <n v="30.86"/>
    <x v="3"/>
    <x v="0"/>
    <s v="Jan"/>
    <n v="6"/>
    <n v="1"/>
    <x v="318"/>
    <x v="10"/>
    <x v="1"/>
  </r>
  <r>
    <x v="4"/>
    <s v="card"/>
    <n v="35.76"/>
    <x v="1"/>
    <x v="1"/>
    <s v="Jan"/>
    <n v="6"/>
    <n v="1"/>
    <x v="318"/>
    <x v="10"/>
    <x v="1"/>
  </r>
  <r>
    <x v="4"/>
    <s v="card"/>
    <n v="35.76"/>
    <x v="0"/>
    <x v="1"/>
    <s v="Jan"/>
    <n v="6"/>
    <n v="1"/>
    <x v="318"/>
    <x v="10"/>
    <x v="1"/>
  </r>
  <r>
    <x v="4"/>
    <s v="card"/>
    <n v="35.76"/>
    <x v="1"/>
    <x v="1"/>
    <s v="Jan"/>
    <n v="6"/>
    <n v="1"/>
    <x v="318"/>
    <x v="10"/>
    <x v="1"/>
  </r>
  <r>
    <x v="12"/>
    <s v="card"/>
    <n v="30.86"/>
    <x v="3"/>
    <x v="0"/>
    <s v="Jan"/>
    <n v="1"/>
    <n v="1"/>
    <x v="319"/>
    <x v="10"/>
    <x v="3"/>
  </r>
  <r>
    <x v="0"/>
    <s v="card"/>
    <n v="30.86"/>
    <x v="3"/>
    <x v="0"/>
    <s v="Jan"/>
    <n v="1"/>
    <n v="1"/>
    <x v="319"/>
    <x v="10"/>
    <x v="3"/>
  </r>
  <r>
    <x v="7"/>
    <s v="card"/>
    <n v="25.96"/>
    <x v="5"/>
    <x v="0"/>
    <s v="Jan"/>
    <n v="1"/>
    <n v="1"/>
    <x v="319"/>
    <x v="10"/>
    <x v="3"/>
  </r>
  <r>
    <x v="1"/>
    <s v="card"/>
    <n v="25.96"/>
    <x v="2"/>
    <x v="1"/>
    <s v="Jan"/>
    <n v="1"/>
    <n v="1"/>
    <x v="319"/>
    <x v="10"/>
    <x v="3"/>
  </r>
  <r>
    <x v="1"/>
    <s v="card"/>
    <n v="25.96"/>
    <x v="5"/>
    <x v="1"/>
    <s v="Jan"/>
    <n v="1"/>
    <n v="1"/>
    <x v="319"/>
    <x v="10"/>
    <x v="3"/>
  </r>
  <r>
    <x v="2"/>
    <s v="card"/>
    <n v="30.86"/>
    <x v="3"/>
    <x v="1"/>
    <s v="Jan"/>
    <n v="1"/>
    <n v="1"/>
    <x v="319"/>
    <x v="10"/>
    <x v="3"/>
  </r>
  <r>
    <x v="11"/>
    <s v="card"/>
    <n v="35.76"/>
    <x v="1"/>
    <x v="2"/>
    <s v="Jan"/>
    <n v="1"/>
    <n v="1"/>
    <x v="319"/>
    <x v="10"/>
    <x v="3"/>
  </r>
  <r>
    <x v="11"/>
    <s v="card"/>
    <n v="35.76"/>
    <x v="7"/>
    <x v="2"/>
    <s v="Jan"/>
    <n v="1"/>
    <n v="1"/>
    <x v="319"/>
    <x v="10"/>
    <x v="3"/>
  </r>
  <r>
    <x v="11"/>
    <s v="card"/>
    <n v="35.76"/>
    <x v="7"/>
    <x v="2"/>
    <s v="Jan"/>
    <n v="1"/>
    <n v="1"/>
    <x v="319"/>
    <x v="10"/>
    <x v="3"/>
  </r>
  <r>
    <x v="15"/>
    <s v="card"/>
    <n v="35.76"/>
    <x v="0"/>
    <x v="2"/>
    <s v="Jan"/>
    <n v="1"/>
    <n v="1"/>
    <x v="319"/>
    <x v="10"/>
    <x v="3"/>
  </r>
  <r>
    <x v="12"/>
    <s v="card"/>
    <n v="35.76"/>
    <x v="4"/>
    <x v="0"/>
    <s v="Jan"/>
    <n v="2"/>
    <n v="1"/>
    <x v="320"/>
    <x v="10"/>
    <x v="4"/>
  </r>
  <r>
    <x v="12"/>
    <s v="card"/>
    <n v="25.96"/>
    <x v="5"/>
    <x v="0"/>
    <s v="Jan"/>
    <n v="2"/>
    <n v="1"/>
    <x v="320"/>
    <x v="10"/>
    <x v="4"/>
  </r>
  <r>
    <x v="12"/>
    <s v="card"/>
    <n v="30.86"/>
    <x v="3"/>
    <x v="0"/>
    <s v="Jan"/>
    <n v="2"/>
    <n v="1"/>
    <x v="320"/>
    <x v="10"/>
    <x v="4"/>
  </r>
  <r>
    <x v="3"/>
    <s v="card"/>
    <n v="25.96"/>
    <x v="2"/>
    <x v="1"/>
    <s v="Jan"/>
    <n v="2"/>
    <n v="1"/>
    <x v="320"/>
    <x v="10"/>
    <x v="4"/>
  </r>
  <r>
    <x v="5"/>
    <s v="card"/>
    <n v="35.76"/>
    <x v="1"/>
    <x v="2"/>
    <s v="Jan"/>
    <n v="2"/>
    <n v="1"/>
    <x v="320"/>
    <x v="10"/>
    <x v="4"/>
  </r>
  <r>
    <x v="5"/>
    <s v="card"/>
    <n v="35.76"/>
    <x v="0"/>
    <x v="2"/>
    <s v="Jan"/>
    <n v="2"/>
    <n v="1"/>
    <x v="320"/>
    <x v="10"/>
    <x v="4"/>
  </r>
  <r>
    <x v="5"/>
    <s v="card"/>
    <n v="35.76"/>
    <x v="0"/>
    <x v="2"/>
    <s v="Jan"/>
    <n v="2"/>
    <n v="1"/>
    <x v="320"/>
    <x v="10"/>
    <x v="4"/>
  </r>
  <r>
    <x v="6"/>
    <s v="card"/>
    <n v="25.96"/>
    <x v="2"/>
    <x v="2"/>
    <s v="Jan"/>
    <n v="2"/>
    <n v="1"/>
    <x v="320"/>
    <x v="10"/>
    <x v="4"/>
  </r>
  <r>
    <x v="7"/>
    <s v="card"/>
    <n v="21.06"/>
    <x v="6"/>
    <x v="0"/>
    <s v="Jan"/>
    <n v="3"/>
    <n v="1"/>
    <x v="321"/>
    <x v="10"/>
    <x v="5"/>
  </r>
  <r>
    <x v="9"/>
    <s v="card"/>
    <n v="30.86"/>
    <x v="3"/>
    <x v="2"/>
    <s v="Jan"/>
    <n v="3"/>
    <n v="1"/>
    <x v="321"/>
    <x v="10"/>
    <x v="5"/>
  </r>
  <r>
    <x v="5"/>
    <s v="card"/>
    <n v="35.76"/>
    <x v="4"/>
    <x v="2"/>
    <s v="Jan"/>
    <n v="3"/>
    <n v="1"/>
    <x v="321"/>
    <x v="10"/>
    <x v="5"/>
  </r>
  <r>
    <x v="6"/>
    <s v="card"/>
    <n v="30.86"/>
    <x v="3"/>
    <x v="2"/>
    <s v="Jan"/>
    <n v="3"/>
    <n v="1"/>
    <x v="321"/>
    <x v="10"/>
    <x v="5"/>
  </r>
  <r>
    <x v="6"/>
    <s v="card"/>
    <n v="35.76"/>
    <x v="7"/>
    <x v="2"/>
    <s v="Jan"/>
    <n v="3"/>
    <n v="1"/>
    <x v="321"/>
    <x v="10"/>
    <x v="5"/>
  </r>
  <r>
    <x v="6"/>
    <s v="card"/>
    <n v="35.76"/>
    <x v="0"/>
    <x v="2"/>
    <s v="Jan"/>
    <n v="3"/>
    <n v="1"/>
    <x v="321"/>
    <x v="10"/>
    <x v="5"/>
  </r>
  <r>
    <x v="11"/>
    <s v="card"/>
    <n v="30.86"/>
    <x v="3"/>
    <x v="2"/>
    <s v="Jan"/>
    <n v="3"/>
    <n v="1"/>
    <x v="321"/>
    <x v="10"/>
    <x v="5"/>
  </r>
  <r>
    <x v="2"/>
    <s v="card"/>
    <n v="35.76"/>
    <x v="7"/>
    <x v="1"/>
    <s v="Jan"/>
    <n v="5"/>
    <n v="1"/>
    <x v="322"/>
    <x v="10"/>
    <x v="0"/>
  </r>
  <r>
    <x v="2"/>
    <s v="card"/>
    <n v="25.96"/>
    <x v="5"/>
    <x v="1"/>
    <s v="Jan"/>
    <n v="5"/>
    <n v="1"/>
    <x v="322"/>
    <x v="10"/>
    <x v="0"/>
  </r>
  <r>
    <x v="3"/>
    <s v="card"/>
    <n v="35.76"/>
    <x v="4"/>
    <x v="1"/>
    <s v="Jan"/>
    <n v="5"/>
    <n v="1"/>
    <x v="322"/>
    <x v="10"/>
    <x v="0"/>
  </r>
  <r>
    <x v="9"/>
    <s v="card"/>
    <n v="25.96"/>
    <x v="2"/>
    <x v="2"/>
    <s v="Jan"/>
    <n v="5"/>
    <n v="1"/>
    <x v="322"/>
    <x v="10"/>
    <x v="0"/>
  </r>
  <r>
    <x v="15"/>
    <s v="card"/>
    <n v="35.76"/>
    <x v="4"/>
    <x v="2"/>
    <s v="Jan"/>
    <n v="5"/>
    <n v="1"/>
    <x v="322"/>
    <x v="10"/>
    <x v="0"/>
  </r>
  <r>
    <x v="13"/>
    <s v="card"/>
    <n v="35.76"/>
    <x v="1"/>
    <x v="2"/>
    <s v="Jan"/>
    <n v="5"/>
    <n v="1"/>
    <x v="322"/>
    <x v="10"/>
    <x v="0"/>
  </r>
  <r>
    <x v="13"/>
    <s v="card"/>
    <n v="35.76"/>
    <x v="0"/>
    <x v="2"/>
    <s v="Jan"/>
    <n v="5"/>
    <n v="1"/>
    <x v="322"/>
    <x v="10"/>
    <x v="0"/>
  </r>
  <r>
    <x v="2"/>
    <s v="card"/>
    <n v="35.76"/>
    <x v="7"/>
    <x v="1"/>
    <s v="Jan"/>
    <n v="6"/>
    <n v="1"/>
    <x v="323"/>
    <x v="10"/>
    <x v="1"/>
  </r>
  <r>
    <x v="8"/>
    <s v="card"/>
    <n v="35.76"/>
    <x v="7"/>
    <x v="1"/>
    <s v="Jan"/>
    <n v="6"/>
    <n v="1"/>
    <x v="323"/>
    <x v="10"/>
    <x v="1"/>
  </r>
  <r>
    <x v="8"/>
    <s v="card"/>
    <n v="25.96"/>
    <x v="2"/>
    <x v="1"/>
    <s v="Jan"/>
    <n v="6"/>
    <n v="1"/>
    <x v="323"/>
    <x v="10"/>
    <x v="1"/>
  </r>
  <r>
    <x v="1"/>
    <s v="card"/>
    <n v="25.96"/>
    <x v="2"/>
    <x v="1"/>
    <s v="Jan"/>
    <n v="7"/>
    <n v="1"/>
    <x v="324"/>
    <x v="10"/>
    <x v="2"/>
  </r>
  <r>
    <x v="1"/>
    <s v="card"/>
    <n v="21.06"/>
    <x v="6"/>
    <x v="1"/>
    <s v="Jan"/>
    <n v="7"/>
    <n v="1"/>
    <x v="324"/>
    <x v="10"/>
    <x v="2"/>
  </r>
  <r>
    <x v="12"/>
    <s v="card"/>
    <n v="25.96"/>
    <x v="5"/>
    <x v="0"/>
    <s v="Jan"/>
    <n v="1"/>
    <n v="1"/>
    <x v="325"/>
    <x v="10"/>
    <x v="3"/>
  </r>
  <r>
    <x v="12"/>
    <s v="card"/>
    <n v="25.96"/>
    <x v="2"/>
    <x v="0"/>
    <s v="Jan"/>
    <n v="1"/>
    <n v="1"/>
    <x v="325"/>
    <x v="10"/>
    <x v="3"/>
  </r>
  <r>
    <x v="1"/>
    <s v="card"/>
    <n v="35.76"/>
    <x v="7"/>
    <x v="1"/>
    <s v="Jan"/>
    <n v="1"/>
    <n v="1"/>
    <x v="325"/>
    <x v="10"/>
    <x v="3"/>
  </r>
  <r>
    <x v="2"/>
    <s v="card"/>
    <n v="30.86"/>
    <x v="3"/>
    <x v="1"/>
    <s v="Jan"/>
    <n v="1"/>
    <n v="1"/>
    <x v="325"/>
    <x v="10"/>
    <x v="3"/>
  </r>
  <r>
    <x v="3"/>
    <s v="card"/>
    <n v="30.86"/>
    <x v="3"/>
    <x v="1"/>
    <s v="Jan"/>
    <n v="1"/>
    <n v="1"/>
    <x v="325"/>
    <x v="10"/>
    <x v="3"/>
  </r>
  <r>
    <x v="3"/>
    <s v="card"/>
    <n v="25.96"/>
    <x v="5"/>
    <x v="1"/>
    <s v="Jan"/>
    <n v="1"/>
    <n v="1"/>
    <x v="325"/>
    <x v="10"/>
    <x v="3"/>
  </r>
  <r>
    <x v="3"/>
    <s v="card"/>
    <n v="30.86"/>
    <x v="3"/>
    <x v="1"/>
    <s v="Jan"/>
    <n v="1"/>
    <n v="1"/>
    <x v="325"/>
    <x v="10"/>
    <x v="3"/>
  </r>
  <r>
    <x v="5"/>
    <s v="card"/>
    <n v="35.76"/>
    <x v="0"/>
    <x v="2"/>
    <s v="Jan"/>
    <n v="1"/>
    <n v="1"/>
    <x v="325"/>
    <x v="10"/>
    <x v="3"/>
  </r>
  <r>
    <x v="6"/>
    <s v="card"/>
    <n v="35.76"/>
    <x v="0"/>
    <x v="2"/>
    <s v="Jan"/>
    <n v="1"/>
    <n v="1"/>
    <x v="325"/>
    <x v="10"/>
    <x v="3"/>
  </r>
  <r>
    <x v="6"/>
    <s v="card"/>
    <n v="35.76"/>
    <x v="0"/>
    <x v="2"/>
    <s v="Jan"/>
    <n v="1"/>
    <n v="1"/>
    <x v="325"/>
    <x v="10"/>
    <x v="3"/>
  </r>
  <r>
    <x v="12"/>
    <s v="card"/>
    <n v="35.76"/>
    <x v="0"/>
    <x v="0"/>
    <s v="Jan"/>
    <n v="2"/>
    <n v="1"/>
    <x v="326"/>
    <x v="10"/>
    <x v="4"/>
  </r>
  <r>
    <x v="10"/>
    <s v="card"/>
    <n v="25.96"/>
    <x v="2"/>
    <x v="0"/>
    <s v="Jan"/>
    <n v="2"/>
    <n v="1"/>
    <x v="326"/>
    <x v="10"/>
    <x v="4"/>
  </r>
  <r>
    <x v="7"/>
    <s v="card"/>
    <n v="30.86"/>
    <x v="3"/>
    <x v="0"/>
    <s v="Jan"/>
    <n v="2"/>
    <n v="1"/>
    <x v="326"/>
    <x v="10"/>
    <x v="4"/>
  </r>
  <r>
    <x v="1"/>
    <s v="card"/>
    <n v="25.96"/>
    <x v="2"/>
    <x v="1"/>
    <s v="Jan"/>
    <n v="2"/>
    <n v="1"/>
    <x v="326"/>
    <x v="10"/>
    <x v="4"/>
  </r>
  <r>
    <x v="4"/>
    <s v="card"/>
    <n v="35.76"/>
    <x v="4"/>
    <x v="1"/>
    <s v="Jan"/>
    <n v="2"/>
    <n v="1"/>
    <x v="326"/>
    <x v="10"/>
    <x v="4"/>
  </r>
  <r>
    <x v="4"/>
    <s v="card"/>
    <n v="25.96"/>
    <x v="5"/>
    <x v="1"/>
    <s v="Jan"/>
    <n v="2"/>
    <n v="1"/>
    <x v="326"/>
    <x v="10"/>
    <x v="4"/>
  </r>
  <r>
    <x v="9"/>
    <s v="card"/>
    <n v="25.96"/>
    <x v="2"/>
    <x v="2"/>
    <s v="Jan"/>
    <n v="2"/>
    <n v="1"/>
    <x v="326"/>
    <x v="10"/>
    <x v="4"/>
  </r>
  <r>
    <x v="11"/>
    <s v="card"/>
    <n v="35.76"/>
    <x v="0"/>
    <x v="2"/>
    <s v="Jan"/>
    <n v="2"/>
    <n v="1"/>
    <x v="326"/>
    <x v="10"/>
    <x v="4"/>
  </r>
  <r>
    <x v="11"/>
    <s v="card"/>
    <n v="35.76"/>
    <x v="7"/>
    <x v="2"/>
    <s v="Jan"/>
    <n v="2"/>
    <n v="1"/>
    <x v="326"/>
    <x v="10"/>
    <x v="4"/>
  </r>
  <r>
    <x v="10"/>
    <s v="card"/>
    <n v="25.96"/>
    <x v="2"/>
    <x v="0"/>
    <s v="Jan"/>
    <n v="3"/>
    <n v="1"/>
    <x v="327"/>
    <x v="10"/>
    <x v="5"/>
  </r>
  <r>
    <x v="4"/>
    <s v="card"/>
    <n v="25.96"/>
    <x v="2"/>
    <x v="1"/>
    <s v="Jan"/>
    <n v="3"/>
    <n v="1"/>
    <x v="327"/>
    <x v="10"/>
    <x v="5"/>
  </r>
  <r>
    <x v="6"/>
    <s v="card"/>
    <n v="30.86"/>
    <x v="3"/>
    <x v="2"/>
    <s v="Jan"/>
    <n v="3"/>
    <n v="1"/>
    <x v="327"/>
    <x v="10"/>
    <x v="5"/>
  </r>
  <r>
    <x v="6"/>
    <s v="card"/>
    <n v="21.06"/>
    <x v="6"/>
    <x v="2"/>
    <s v="Jan"/>
    <n v="3"/>
    <n v="1"/>
    <x v="327"/>
    <x v="10"/>
    <x v="5"/>
  </r>
  <r>
    <x v="10"/>
    <s v="card"/>
    <n v="30.86"/>
    <x v="3"/>
    <x v="0"/>
    <s v="Jan"/>
    <n v="4"/>
    <n v="1"/>
    <x v="328"/>
    <x v="10"/>
    <x v="6"/>
  </r>
  <r>
    <x v="0"/>
    <s v="card"/>
    <n v="30.86"/>
    <x v="3"/>
    <x v="0"/>
    <s v="Jan"/>
    <n v="4"/>
    <n v="1"/>
    <x v="328"/>
    <x v="10"/>
    <x v="6"/>
  </r>
  <r>
    <x v="7"/>
    <s v="card"/>
    <n v="25.96"/>
    <x v="5"/>
    <x v="0"/>
    <s v="Jan"/>
    <n v="4"/>
    <n v="1"/>
    <x v="328"/>
    <x v="10"/>
    <x v="6"/>
  </r>
  <r>
    <x v="1"/>
    <s v="card"/>
    <n v="35.76"/>
    <x v="1"/>
    <x v="1"/>
    <s v="Jan"/>
    <n v="4"/>
    <n v="1"/>
    <x v="328"/>
    <x v="10"/>
    <x v="6"/>
  </r>
  <r>
    <x v="2"/>
    <s v="card"/>
    <n v="25.96"/>
    <x v="2"/>
    <x v="1"/>
    <s v="Jan"/>
    <n v="4"/>
    <n v="1"/>
    <x v="328"/>
    <x v="10"/>
    <x v="6"/>
  </r>
  <r>
    <x v="8"/>
    <s v="card"/>
    <n v="30.86"/>
    <x v="3"/>
    <x v="1"/>
    <s v="Jan"/>
    <n v="4"/>
    <n v="1"/>
    <x v="328"/>
    <x v="10"/>
    <x v="6"/>
  </r>
  <r>
    <x v="9"/>
    <s v="card"/>
    <n v="35.76"/>
    <x v="1"/>
    <x v="2"/>
    <s v="Jan"/>
    <n v="4"/>
    <n v="1"/>
    <x v="328"/>
    <x v="10"/>
    <x v="6"/>
  </r>
  <r>
    <x v="5"/>
    <s v="card"/>
    <n v="30.86"/>
    <x v="3"/>
    <x v="2"/>
    <s v="Jan"/>
    <n v="4"/>
    <n v="1"/>
    <x v="328"/>
    <x v="10"/>
    <x v="6"/>
  </r>
  <r>
    <x v="5"/>
    <s v="card"/>
    <n v="25.96"/>
    <x v="5"/>
    <x v="2"/>
    <s v="Jan"/>
    <n v="4"/>
    <n v="1"/>
    <x v="328"/>
    <x v="10"/>
    <x v="6"/>
  </r>
  <r>
    <x v="12"/>
    <s v="card"/>
    <n v="25.96"/>
    <x v="2"/>
    <x v="0"/>
    <s v="Jan"/>
    <n v="5"/>
    <n v="1"/>
    <x v="329"/>
    <x v="10"/>
    <x v="0"/>
  </r>
  <r>
    <x v="12"/>
    <s v="card"/>
    <n v="30.86"/>
    <x v="3"/>
    <x v="0"/>
    <s v="Jan"/>
    <n v="5"/>
    <n v="1"/>
    <x v="329"/>
    <x v="10"/>
    <x v="0"/>
  </r>
  <r>
    <x v="10"/>
    <s v="card"/>
    <n v="30.86"/>
    <x v="3"/>
    <x v="0"/>
    <s v="Jan"/>
    <n v="5"/>
    <n v="1"/>
    <x v="329"/>
    <x v="10"/>
    <x v="0"/>
  </r>
  <r>
    <x v="10"/>
    <s v="card"/>
    <n v="35.76"/>
    <x v="4"/>
    <x v="0"/>
    <s v="Jan"/>
    <n v="5"/>
    <n v="1"/>
    <x v="329"/>
    <x v="10"/>
    <x v="0"/>
  </r>
  <r>
    <x v="10"/>
    <s v="card"/>
    <n v="35.76"/>
    <x v="7"/>
    <x v="0"/>
    <s v="Jan"/>
    <n v="5"/>
    <n v="1"/>
    <x v="329"/>
    <x v="10"/>
    <x v="0"/>
  </r>
  <r>
    <x v="10"/>
    <s v="card"/>
    <n v="35.76"/>
    <x v="7"/>
    <x v="0"/>
    <s v="Jan"/>
    <n v="5"/>
    <n v="1"/>
    <x v="329"/>
    <x v="10"/>
    <x v="0"/>
  </r>
  <r>
    <x v="1"/>
    <s v="card"/>
    <n v="35.76"/>
    <x v="0"/>
    <x v="1"/>
    <s v="Jan"/>
    <n v="5"/>
    <n v="1"/>
    <x v="329"/>
    <x v="10"/>
    <x v="0"/>
  </r>
  <r>
    <x v="1"/>
    <s v="card"/>
    <n v="35.76"/>
    <x v="0"/>
    <x v="1"/>
    <s v="Jan"/>
    <n v="5"/>
    <n v="1"/>
    <x v="329"/>
    <x v="10"/>
    <x v="0"/>
  </r>
  <r>
    <x v="8"/>
    <s v="card"/>
    <n v="35.76"/>
    <x v="7"/>
    <x v="1"/>
    <s v="Jan"/>
    <n v="5"/>
    <n v="1"/>
    <x v="329"/>
    <x v="10"/>
    <x v="0"/>
  </r>
  <r>
    <x v="4"/>
    <s v="card"/>
    <n v="30.86"/>
    <x v="3"/>
    <x v="1"/>
    <s v="Jan"/>
    <n v="5"/>
    <n v="1"/>
    <x v="329"/>
    <x v="10"/>
    <x v="0"/>
  </r>
  <r>
    <x v="13"/>
    <s v="card"/>
    <n v="30.86"/>
    <x v="3"/>
    <x v="2"/>
    <s v="Jan"/>
    <n v="5"/>
    <n v="1"/>
    <x v="329"/>
    <x v="10"/>
    <x v="0"/>
  </r>
  <r>
    <x v="13"/>
    <s v="card"/>
    <n v="25.96"/>
    <x v="2"/>
    <x v="2"/>
    <s v="Jan"/>
    <n v="5"/>
    <n v="1"/>
    <x v="329"/>
    <x v="10"/>
    <x v="0"/>
  </r>
  <r>
    <x v="12"/>
    <s v="card"/>
    <n v="30.86"/>
    <x v="3"/>
    <x v="0"/>
    <s v="Feb"/>
    <n v="6"/>
    <n v="2"/>
    <x v="330"/>
    <x v="11"/>
    <x v="1"/>
  </r>
  <r>
    <x v="0"/>
    <s v="card"/>
    <n v="30.86"/>
    <x v="3"/>
    <x v="0"/>
    <s v="Feb"/>
    <n v="6"/>
    <n v="2"/>
    <x v="330"/>
    <x v="11"/>
    <x v="1"/>
  </r>
  <r>
    <x v="2"/>
    <s v="card"/>
    <n v="25.96"/>
    <x v="5"/>
    <x v="1"/>
    <s v="Feb"/>
    <n v="6"/>
    <n v="2"/>
    <x v="330"/>
    <x v="11"/>
    <x v="1"/>
  </r>
  <r>
    <x v="2"/>
    <s v="card"/>
    <n v="25.96"/>
    <x v="5"/>
    <x v="1"/>
    <s v="Feb"/>
    <n v="6"/>
    <n v="2"/>
    <x v="330"/>
    <x v="11"/>
    <x v="1"/>
  </r>
  <r>
    <x v="8"/>
    <s v="card"/>
    <n v="35.76"/>
    <x v="7"/>
    <x v="1"/>
    <s v="Feb"/>
    <n v="6"/>
    <n v="2"/>
    <x v="330"/>
    <x v="11"/>
    <x v="1"/>
  </r>
  <r>
    <x v="8"/>
    <s v="card"/>
    <n v="35.76"/>
    <x v="7"/>
    <x v="1"/>
    <s v="Feb"/>
    <n v="6"/>
    <n v="2"/>
    <x v="330"/>
    <x v="11"/>
    <x v="1"/>
  </r>
  <r>
    <x v="3"/>
    <s v="card"/>
    <n v="35.76"/>
    <x v="0"/>
    <x v="1"/>
    <s v="Feb"/>
    <n v="6"/>
    <n v="2"/>
    <x v="330"/>
    <x v="11"/>
    <x v="1"/>
  </r>
  <r>
    <x v="5"/>
    <s v="card"/>
    <n v="35.76"/>
    <x v="7"/>
    <x v="2"/>
    <s v="Feb"/>
    <n v="6"/>
    <n v="2"/>
    <x v="330"/>
    <x v="11"/>
    <x v="1"/>
  </r>
  <r>
    <x v="6"/>
    <s v="card"/>
    <n v="30.86"/>
    <x v="3"/>
    <x v="2"/>
    <s v="Feb"/>
    <n v="6"/>
    <n v="2"/>
    <x v="330"/>
    <x v="11"/>
    <x v="1"/>
  </r>
  <r>
    <x v="6"/>
    <s v="card"/>
    <n v="30.86"/>
    <x v="3"/>
    <x v="2"/>
    <s v="Feb"/>
    <n v="6"/>
    <n v="2"/>
    <x v="330"/>
    <x v="11"/>
    <x v="1"/>
  </r>
  <r>
    <x v="15"/>
    <s v="card"/>
    <n v="30.86"/>
    <x v="3"/>
    <x v="2"/>
    <s v="Feb"/>
    <n v="6"/>
    <n v="2"/>
    <x v="330"/>
    <x v="11"/>
    <x v="1"/>
  </r>
  <r>
    <x v="0"/>
    <s v="card"/>
    <n v="35.76"/>
    <x v="7"/>
    <x v="0"/>
    <s v="Feb"/>
    <n v="7"/>
    <n v="2"/>
    <x v="331"/>
    <x v="11"/>
    <x v="2"/>
  </r>
  <r>
    <x v="0"/>
    <s v="card"/>
    <n v="35.76"/>
    <x v="7"/>
    <x v="0"/>
    <s v="Feb"/>
    <n v="7"/>
    <n v="2"/>
    <x v="331"/>
    <x v="11"/>
    <x v="2"/>
  </r>
  <r>
    <x v="1"/>
    <s v="card"/>
    <n v="35.76"/>
    <x v="0"/>
    <x v="1"/>
    <s v="Feb"/>
    <n v="7"/>
    <n v="2"/>
    <x v="331"/>
    <x v="11"/>
    <x v="2"/>
  </r>
  <r>
    <x v="1"/>
    <s v="card"/>
    <n v="35.76"/>
    <x v="0"/>
    <x v="1"/>
    <s v="Feb"/>
    <n v="7"/>
    <n v="2"/>
    <x v="331"/>
    <x v="11"/>
    <x v="2"/>
  </r>
  <r>
    <x v="8"/>
    <s v="card"/>
    <n v="30.86"/>
    <x v="3"/>
    <x v="1"/>
    <s v="Feb"/>
    <n v="7"/>
    <n v="2"/>
    <x v="331"/>
    <x v="11"/>
    <x v="2"/>
  </r>
  <r>
    <x v="4"/>
    <s v="card"/>
    <n v="35.76"/>
    <x v="0"/>
    <x v="1"/>
    <s v="Feb"/>
    <n v="7"/>
    <n v="2"/>
    <x v="331"/>
    <x v="11"/>
    <x v="2"/>
  </r>
  <r>
    <x v="4"/>
    <s v="card"/>
    <n v="35.76"/>
    <x v="0"/>
    <x v="1"/>
    <s v="Feb"/>
    <n v="7"/>
    <n v="2"/>
    <x v="331"/>
    <x v="11"/>
    <x v="2"/>
  </r>
  <r>
    <x v="14"/>
    <s v="card"/>
    <n v="35.76"/>
    <x v="7"/>
    <x v="0"/>
    <s v="Feb"/>
    <n v="1"/>
    <n v="2"/>
    <x v="332"/>
    <x v="11"/>
    <x v="3"/>
  </r>
  <r>
    <x v="14"/>
    <s v="card"/>
    <n v="30.86"/>
    <x v="3"/>
    <x v="0"/>
    <s v="Feb"/>
    <n v="1"/>
    <n v="2"/>
    <x v="332"/>
    <x v="11"/>
    <x v="3"/>
  </r>
  <r>
    <x v="12"/>
    <s v="card"/>
    <n v="21.06"/>
    <x v="6"/>
    <x v="0"/>
    <s v="Feb"/>
    <n v="1"/>
    <n v="2"/>
    <x v="332"/>
    <x v="11"/>
    <x v="3"/>
  </r>
  <r>
    <x v="12"/>
    <s v="card"/>
    <n v="30.86"/>
    <x v="3"/>
    <x v="0"/>
    <s v="Feb"/>
    <n v="1"/>
    <n v="2"/>
    <x v="332"/>
    <x v="11"/>
    <x v="3"/>
  </r>
  <r>
    <x v="0"/>
    <s v="card"/>
    <n v="25.96"/>
    <x v="2"/>
    <x v="0"/>
    <s v="Feb"/>
    <n v="1"/>
    <n v="2"/>
    <x v="332"/>
    <x v="11"/>
    <x v="3"/>
  </r>
  <r>
    <x v="0"/>
    <s v="card"/>
    <n v="35.76"/>
    <x v="7"/>
    <x v="0"/>
    <s v="Feb"/>
    <n v="1"/>
    <n v="2"/>
    <x v="332"/>
    <x v="11"/>
    <x v="3"/>
  </r>
  <r>
    <x v="0"/>
    <s v="card"/>
    <n v="30.86"/>
    <x v="3"/>
    <x v="0"/>
    <s v="Feb"/>
    <n v="1"/>
    <n v="2"/>
    <x v="332"/>
    <x v="11"/>
    <x v="3"/>
  </r>
  <r>
    <x v="2"/>
    <s v="card"/>
    <n v="35.76"/>
    <x v="7"/>
    <x v="1"/>
    <s v="Feb"/>
    <n v="1"/>
    <n v="2"/>
    <x v="332"/>
    <x v="11"/>
    <x v="3"/>
  </r>
  <r>
    <x v="2"/>
    <s v="card"/>
    <n v="35.76"/>
    <x v="7"/>
    <x v="1"/>
    <s v="Feb"/>
    <n v="1"/>
    <n v="2"/>
    <x v="332"/>
    <x v="11"/>
    <x v="3"/>
  </r>
  <r>
    <x v="2"/>
    <s v="card"/>
    <n v="25.96"/>
    <x v="2"/>
    <x v="1"/>
    <s v="Feb"/>
    <n v="1"/>
    <n v="2"/>
    <x v="332"/>
    <x v="11"/>
    <x v="3"/>
  </r>
  <r>
    <x v="8"/>
    <s v="card"/>
    <n v="25.96"/>
    <x v="2"/>
    <x v="1"/>
    <s v="Feb"/>
    <n v="1"/>
    <n v="2"/>
    <x v="332"/>
    <x v="11"/>
    <x v="3"/>
  </r>
  <r>
    <x v="8"/>
    <s v="card"/>
    <n v="35.76"/>
    <x v="0"/>
    <x v="1"/>
    <s v="Feb"/>
    <n v="1"/>
    <n v="2"/>
    <x v="332"/>
    <x v="11"/>
    <x v="3"/>
  </r>
  <r>
    <x v="8"/>
    <s v="card"/>
    <n v="35.76"/>
    <x v="0"/>
    <x v="1"/>
    <s v="Feb"/>
    <n v="1"/>
    <n v="2"/>
    <x v="332"/>
    <x v="11"/>
    <x v="3"/>
  </r>
  <r>
    <x v="3"/>
    <s v="card"/>
    <n v="35.76"/>
    <x v="0"/>
    <x v="1"/>
    <s v="Feb"/>
    <n v="1"/>
    <n v="2"/>
    <x v="332"/>
    <x v="11"/>
    <x v="3"/>
  </r>
  <r>
    <x v="3"/>
    <s v="card"/>
    <n v="25.96"/>
    <x v="2"/>
    <x v="1"/>
    <s v="Feb"/>
    <n v="1"/>
    <n v="2"/>
    <x v="332"/>
    <x v="11"/>
    <x v="3"/>
  </r>
  <r>
    <x v="9"/>
    <s v="card"/>
    <n v="35.76"/>
    <x v="4"/>
    <x v="2"/>
    <s v="Feb"/>
    <n v="1"/>
    <n v="2"/>
    <x v="332"/>
    <x v="11"/>
    <x v="3"/>
  </r>
  <r>
    <x v="9"/>
    <s v="card"/>
    <n v="30.86"/>
    <x v="3"/>
    <x v="2"/>
    <s v="Feb"/>
    <n v="1"/>
    <n v="2"/>
    <x v="332"/>
    <x v="11"/>
    <x v="3"/>
  </r>
  <r>
    <x v="9"/>
    <s v="card"/>
    <n v="30.86"/>
    <x v="3"/>
    <x v="2"/>
    <s v="Feb"/>
    <n v="1"/>
    <n v="2"/>
    <x v="332"/>
    <x v="11"/>
    <x v="3"/>
  </r>
  <r>
    <x v="9"/>
    <s v="card"/>
    <n v="30.86"/>
    <x v="3"/>
    <x v="2"/>
    <s v="Feb"/>
    <n v="1"/>
    <n v="2"/>
    <x v="332"/>
    <x v="11"/>
    <x v="3"/>
  </r>
  <r>
    <x v="9"/>
    <s v="card"/>
    <n v="35.76"/>
    <x v="1"/>
    <x v="2"/>
    <s v="Feb"/>
    <n v="1"/>
    <n v="2"/>
    <x v="332"/>
    <x v="11"/>
    <x v="3"/>
  </r>
  <r>
    <x v="9"/>
    <s v="card"/>
    <n v="35.76"/>
    <x v="0"/>
    <x v="2"/>
    <s v="Feb"/>
    <n v="1"/>
    <n v="2"/>
    <x v="332"/>
    <x v="11"/>
    <x v="3"/>
  </r>
  <r>
    <x v="9"/>
    <s v="card"/>
    <n v="35.76"/>
    <x v="1"/>
    <x v="2"/>
    <s v="Feb"/>
    <n v="1"/>
    <n v="2"/>
    <x v="332"/>
    <x v="11"/>
    <x v="3"/>
  </r>
  <r>
    <x v="9"/>
    <s v="card"/>
    <n v="30.86"/>
    <x v="3"/>
    <x v="2"/>
    <s v="Feb"/>
    <n v="1"/>
    <n v="2"/>
    <x v="332"/>
    <x v="11"/>
    <x v="3"/>
  </r>
  <r>
    <x v="5"/>
    <s v="card"/>
    <n v="25.96"/>
    <x v="2"/>
    <x v="2"/>
    <s v="Feb"/>
    <n v="1"/>
    <n v="2"/>
    <x v="332"/>
    <x v="11"/>
    <x v="3"/>
  </r>
  <r>
    <x v="11"/>
    <s v="card"/>
    <n v="35.76"/>
    <x v="4"/>
    <x v="2"/>
    <s v="Feb"/>
    <n v="1"/>
    <n v="2"/>
    <x v="332"/>
    <x v="11"/>
    <x v="3"/>
  </r>
  <r>
    <x v="0"/>
    <s v="card"/>
    <n v="30.86"/>
    <x v="3"/>
    <x v="0"/>
    <s v="Feb"/>
    <n v="2"/>
    <n v="2"/>
    <x v="333"/>
    <x v="11"/>
    <x v="4"/>
  </r>
  <r>
    <x v="0"/>
    <s v="card"/>
    <n v="25.96"/>
    <x v="2"/>
    <x v="0"/>
    <s v="Feb"/>
    <n v="2"/>
    <n v="2"/>
    <x v="333"/>
    <x v="11"/>
    <x v="4"/>
  </r>
  <r>
    <x v="1"/>
    <s v="card"/>
    <n v="30.86"/>
    <x v="3"/>
    <x v="1"/>
    <s v="Feb"/>
    <n v="2"/>
    <n v="2"/>
    <x v="333"/>
    <x v="11"/>
    <x v="4"/>
  </r>
  <r>
    <x v="2"/>
    <s v="card"/>
    <n v="25.96"/>
    <x v="5"/>
    <x v="1"/>
    <s v="Feb"/>
    <n v="2"/>
    <n v="2"/>
    <x v="333"/>
    <x v="11"/>
    <x v="4"/>
  </r>
  <r>
    <x v="8"/>
    <s v="card"/>
    <n v="25.96"/>
    <x v="2"/>
    <x v="1"/>
    <s v="Feb"/>
    <n v="2"/>
    <n v="2"/>
    <x v="333"/>
    <x v="11"/>
    <x v="4"/>
  </r>
  <r>
    <x v="8"/>
    <s v="card"/>
    <n v="30.86"/>
    <x v="3"/>
    <x v="1"/>
    <s v="Feb"/>
    <n v="2"/>
    <n v="2"/>
    <x v="333"/>
    <x v="11"/>
    <x v="4"/>
  </r>
  <r>
    <x v="8"/>
    <s v="card"/>
    <n v="25.96"/>
    <x v="2"/>
    <x v="1"/>
    <s v="Feb"/>
    <n v="2"/>
    <n v="2"/>
    <x v="333"/>
    <x v="11"/>
    <x v="4"/>
  </r>
  <r>
    <x v="5"/>
    <s v="card"/>
    <n v="30.86"/>
    <x v="3"/>
    <x v="2"/>
    <s v="Feb"/>
    <n v="2"/>
    <n v="2"/>
    <x v="333"/>
    <x v="11"/>
    <x v="4"/>
  </r>
  <r>
    <x v="6"/>
    <s v="card"/>
    <n v="35.76"/>
    <x v="4"/>
    <x v="2"/>
    <s v="Feb"/>
    <n v="2"/>
    <n v="2"/>
    <x v="333"/>
    <x v="11"/>
    <x v="4"/>
  </r>
  <r>
    <x v="6"/>
    <s v="card"/>
    <n v="35.76"/>
    <x v="4"/>
    <x v="2"/>
    <s v="Feb"/>
    <n v="2"/>
    <n v="2"/>
    <x v="333"/>
    <x v="11"/>
    <x v="4"/>
  </r>
  <r>
    <x v="6"/>
    <s v="card"/>
    <n v="35.76"/>
    <x v="4"/>
    <x v="2"/>
    <s v="Feb"/>
    <n v="2"/>
    <n v="2"/>
    <x v="333"/>
    <x v="11"/>
    <x v="4"/>
  </r>
  <r>
    <x v="6"/>
    <s v="card"/>
    <n v="25.96"/>
    <x v="5"/>
    <x v="2"/>
    <s v="Feb"/>
    <n v="2"/>
    <n v="2"/>
    <x v="333"/>
    <x v="11"/>
    <x v="4"/>
  </r>
  <r>
    <x v="12"/>
    <s v="card"/>
    <n v="30.86"/>
    <x v="3"/>
    <x v="0"/>
    <s v="Feb"/>
    <n v="3"/>
    <n v="2"/>
    <x v="334"/>
    <x v="11"/>
    <x v="5"/>
  </r>
  <r>
    <x v="10"/>
    <s v="card"/>
    <n v="30.86"/>
    <x v="3"/>
    <x v="0"/>
    <s v="Feb"/>
    <n v="3"/>
    <n v="2"/>
    <x v="334"/>
    <x v="11"/>
    <x v="5"/>
  </r>
  <r>
    <x v="7"/>
    <s v="card"/>
    <n v="25.96"/>
    <x v="2"/>
    <x v="0"/>
    <s v="Feb"/>
    <n v="3"/>
    <n v="2"/>
    <x v="334"/>
    <x v="11"/>
    <x v="5"/>
  </r>
  <r>
    <x v="7"/>
    <s v="card"/>
    <n v="25.96"/>
    <x v="2"/>
    <x v="0"/>
    <s v="Feb"/>
    <n v="3"/>
    <n v="2"/>
    <x v="334"/>
    <x v="11"/>
    <x v="5"/>
  </r>
  <r>
    <x v="7"/>
    <s v="card"/>
    <n v="25.96"/>
    <x v="2"/>
    <x v="0"/>
    <s v="Feb"/>
    <n v="3"/>
    <n v="2"/>
    <x v="334"/>
    <x v="11"/>
    <x v="5"/>
  </r>
  <r>
    <x v="7"/>
    <s v="card"/>
    <n v="30.86"/>
    <x v="3"/>
    <x v="0"/>
    <s v="Feb"/>
    <n v="3"/>
    <n v="2"/>
    <x v="334"/>
    <x v="11"/>
    <x v="5"/>
  </r>
  <r>
    <x v="1"/>
    <s v="card"/>
    <n v="25.96"/>
    <x v="2"/>
    <x v="1"/>
    <s v="Feb"/>
    <n v="3"/>
    <n v="2"/>
    <x v="334"/>
    <x v="11"/>
    <x v="5"/>
  </r>
  <r>
    <x v="2"/>
    <s v="card"/>
    <n v="25.96"/>
    <x v="2"/>
    <x v="1"/>
    <s v="Feb"/>
    <n v="3"/>
    <n v="2"/>
    <x v="334"/>
    <x v="11"/>
    <x v="5"/>
  </r>
  <r>
    <x v="2"/>
    <s v="card"/>
    <n v="21.06"/>
    <x v="6"/>
    <x v="1"/>
    <s v="Feb"/>
    <n v="3"/>
    <n v="2"/>
    <x v="334"/>
    <x v="11"/>
    <x v="5"/>
  </r>
  <r>
    <x v="2"/>
    <s v="card"/>
    <n v="21.06"/>
    <x v="6"/>
    <x v="1"/>
    <s v="Feb"/>
    <n v="3"/>
    <n v="2"/>
    <x v="334"/>
    <x v="11"/>
    <x v="5"/>
  </r>
  <r>
    <x v="8"/>
    <s v="card"/>
    <n v="35.76"/>
    <x v="7"/>
    <x v="1"/>
    <s v="Feb"/>
    <n v="3"/>
    <n v="2"/>
    <x v="334"/>
    <x v="11"/>
    <x v="5"/>
  </r>
  <r>
    <x v="3"/>
    <s v="card"/>
    <n v="35.76"/>
    <x v="7"/>
    <x v="1"/>
    <s v="Feb"/>
    <n v="3"/>
    <n v="2"/>
    <x v="334"/>
    <x v="11"/>
    <x v="5"/>
  </r>
  <r>
    <x v="4"/>
    <s v="card"/>
    <n v="35.76"/>
    <x v="1"/>
    <x v="1"/>
    <s v="Feb"/>
    <n v="3"/>
    <n v="2"/>
    <x v="334"/>
    <x v="11"/>
    <x v="5"/>
  </r>
  <r>
    <x v="4"/>
    <s v="card"/>
    <n v="35.76"/>
    <x v="0"/>
    <x v="1"/>
    <s v="Feb"/>
    <n v="3"/>
    <n v="2"/>
    <x v="334"/>
    <x v="11"/>
    <x v="5"/>
  </r>
  <r>
    <x v="4"/>
    <s v="card"/>
    <n v="35.76"/>
    <x v="0"/>
    <x v="1"/>
    <s v="Feb"/>
    <n v="3"/>
    <n v="2"/>
    <x v="334"/>
    <x v="11"/>
    <x v="5"/>
  </r>
  <r>
    <x v="4"/>
    <s v="card"/>
    <n v="35.76"/>
    <x v="4"/>
    <x v="1"/>
    <s v="Feb"/>
    <n v="3"/>
    <n v="2"/>
    <x v="334"/>
    <x v="11"/>
    <x v="5"/>
  </r>
  <r>
    <x v="4"/>
    <s v="card"/>
    <n v="35.76"/>
    <x v="1"/>
    <x v="1"/>
    <s v="Feb"/>
    <n v="3"/>
    <n v="2"/>
    <x v="334"/>
    <x v="11"/>
    <x v="5"/>
  </r>
  <r>
    <x v="5"/>
    <s v="card"/>
    <n v="35.76"/>
    <x v="7"/>
    <x v="2"/>
    <s v="Feb"/>
    <n v="3"/>
    <n v="2"/>
    <x v="334"/>
    <x v="11"/>
    <x v="5"/>
  </r>
  <r>
    <x v="5"/>
    <s v="card"/>
    <n v="35.76"/>
    <x v="7"/>
    <x v="2"/>
    <s v="Feb"/>
    <n v="3"/>
    <n v="2"/>
    <x v="334"/>
    <x v="11"/>
    <x v="5"/>
  </r>
  <r>
    <x v="5"/>
    <s v="card"/>
    <n v="35.76"/>
    <x v="4"/>
    <x v="2"/>
    <s v="Feb"/>
    <n v="3"/>
    <n v="2"/>
    <x v="334"/>
    <x v="11"/>
    <x v="5"/>
  </r>
  <r>
    <x v="5"/>
    <s v="card"/>
    <n v="30.86"/>
    <x v="3"/>
    <x v="2"/>
    <s v="Feb"/>
    <n v="3"/>
    <n v="2"/>
    <x v="334"/>
    <x v="11"/>
    <x v="5"/>
  </r>
  <r>
    <x v="5"/>
    <s v="card"/>
    <n v="35.76"/>
    <x v="7"/>
    <x v="2"/>
    <s v="Feb"/>
    <n v="3"/>
    <n v="2"/>
    <x v="334"/>
    <x v="11"/>
    <x v="5"/>
  </r>
  <r>
    <x v="6"/>
    <s v="card"/>
    <n v="35.76"/>
    <x v="1"/>
    <x v="2"/>
    <s v="Feb"/>
    <n v="3"/>
    <n v="2"/>
    <x v="334"/>
    <x v="11"/>
    <x v="5"/>
  </r>
  <r>
    <x v="11"/>
    <s v="card"/>
    <n v="35.76"/>
    <x v="4"/>
    <x v="2"/>
    <s v="Feb"/>
    <n v="3"/>
    <n v="2"/>
    <x v="334"/>
    <x v="11"/>
    <x v="5"/>
  </r>
  <r>
    <x v="14"/>
    <s v="card"/>
    <n v="30.86"/>
    <x v="3"/>
    <x v="0"/>
    <s v="Feb"/>
    <n v="4"/>
    <n v="2"/>
    <x v="335"/>
    <x v="11"/>
    <x v="6"/>
  </r>
  <r>
    <x v="2"/>
    <s v="card"/>
    <n v="25.96"/>
    <x v="2"/>
    <x v="1"/>
    <s v="Feb"/>
    <n v="4"/>
    <n v="2"/>
    <x v="335"/>
    <x v="11"/>
    <x v="6"/>
  </r>
  <r>
    <x v="8"/>
    <s v="card"/>
    <n v="30.86"/>
    <x v="3"/>
    <x v="1"/>
    <s v="Feb"/>
    <n v="4"/>
    <n v="2"/>
    <x v="335"/>
    <x v="11"/>
    <x v="6"/>
  </r>
  <r>
    <x v="8"/>
    <s v="card"/>
    <n v="35.76"/>
    <x v="7"/>
    <x v="1"/>
    <s v="Feb"/>
    <n v="4"/>
    <n v="2"/>
    <x v="335"/>
    <x v="11"/>
    <x v="6"/>
  </r>
  <r>
    <x v="4"/>
    <s v="card"/>
    <n v="35.76"/>
    <x v="4"/>
    <x v="1"/>
    <s v="Feb"/>
    <n v="4"/>
    <n v="2"/>
    <x v="335"/>
    <x v="11"/>
    <x v="6"/>
  </r>
  <r>
    <x v="9"/>
    <s v="card"/>
    <n v="35.76"/>
    <x v="4"/>
    <x v="2"/>
    <s v="Feb"/>
    <n v="4"/>
    <n v="2"/>
    <x v="335"/>
    <x v="11"/>
    <x v="6"/>
  </r>
  <r>
    <x v="9"/>
    <s v="card"/>
    <n v="35.76"/>
    <x v="4"/>
    <x v="2"/>
    <s v="Feb"/>
    <n v="4"/>
    <n v="2"/>
    <x v="335"/>
    <x v="11"/>
    <x v="6"/>
  </r>
  <r>
    <x v="6"/>
    <s v="card"/>
    <n v="35.76"/>
    <x v="7"/>
    <x v="2"/>
    <s v="Feb"/>
    <n v="4"/>
    <n v="2"/>
    <x v="335"/>
    <x v="11"/>
    <x v="6"/>
  </r>
  <r>
    <x v="6"/>
    <s v="card"/>
    <n v="21.06"/>
    <x v="6"/>
    <x v="2"/>
    <s v="Feb"/>
    <n v="4"/>
    <n v="2"/>
    <x v="335"/>
    <x v="11"/>
    <x v="6"/>
  </r>
  <r>
    <x v="11"/>
    <s v="card"/>
    <n v="35.76"/>
    <x v="4"/>
    <x v="2"/>
    <s v="Feb"/>
    <n v="4"/>
    <n v="2"/>
    <x v="335"/>
    <x v="11"/>
    <x v="6"/>
  </r>
  <r>
    <x v="11"/>
    <s v="card"/>
    <n v="35.76"/>
    <x v="4"/>
    <x v="2"/>
    <s v="Feb"/>
    <n v="4"/>
    <n v="2"/>
    <x v="335"/>
    <x v="11"/>
    <x v="6"/>
  </r>
  <r>
    <x v="11"/>
    <s v="card"/>
    <n v="35.76"/>
    <x v="0"/>
    <x v="2"/>
    <s v="Feb"/>
    <n v="4"/>
    <n v="2"/>
    <x v="335"/>
    <x v="11"/>
    <x v="6"/>
  </r>
  <r>
    <x v="12"/>
    <s v="card"/>
    <n v="30.86"/>
    <x v="3"/>
    <x v="0"/>
    <s v="Feb"/>
    <n v="5"/>
    <n v="2"/>
    <x v="336"/>
    <x v="11"/>
    <x v="0"/>
  </r>
  <r>
    <x v="10"/>
    <s v="card"/>
    <n v="30.86"/>
    <x v="3"/>
    <x v="0"/>
    <s v="Feb"/>
    <n v="5"/>
    <n v="2"/>
    <x v="336"/>
    <x v="11"/>
    <x v="0"/>
  </r>
  <r>
    <x v="0"/>
    <s v="card"/>
    <n v="25.96"/>
    <x v="2"/>
    <x v="0"/>
    <s v="Feb"/>
    <n v="5"/>
    <n v="2"/>
    <x v="336"/>
    <x v="11"/>
    <x v="0"/>
  </r>
  <r>
    <x v="1"/>
    <s v="card"/>
    <n v="35.76"/>
    <x v="4"/>
    <x v="1"/>
    <s v="Feb"/>
    <n v="5"/>
    <n v="2"/>
    <x v="336"/>
    <x v="11"/>
    <x v="0"/>
  </r>
  <r>
    <x v="1"/>
    <s v="card"/>
    <n v="30.86"/>
    <x v="3"/>
    <x v="1"/>
    <s v="Feb"/>
    <n v="5"/>
    <n v="2"/>
    <x v="336"/>
    <x v="11"/>
    <x v="0"/>
  </r>
  <r>
    <x v="1"/>
    <s v="card"/>
    <n v="25.96"/>
    <x v="2"/>
    <x v="1"/>
    <s v="Feb"/>
    <n v="5"/>
    <n v="2"/>
    <x v="336"/>
    <x v="11"/>
    <x v="0"/>
  </r>
  <r>
    <x v="4"/>
    <s v="card"/>
    <n v="25.96"/>
    <x v="5"/>
    <x v="1"/>
    <s v="Feb"/>
    <n v="5"/>
    <n v="2"/>
    <x v="336"/>
    <x v="11"/>
    <x v="0"/>
  </r>
  <r>
    <x v="4"/>
    <s v="card"/>
    <n v="35.76"/>
    <x v="0"/>
    <x v="1"/>
    <s v="Feb"/>
    <n v="5"/>
    <n v="2"/>
    <x v="336"/>
    <x v="11"/>
    <x v="0"/>
  </r>
  <r>
    <x v="4"/>
    <s v="card"/>
    <n v="35.76"/>
    <x v="1"/>
    <x v="1"/>
    <s v="Feb"/>
    <n v="5"/>
    <n v="2"/>
    <x v="336"/>
    <x v="11"/>
    <x v="0"/>
  </r>
  <r>
    <x v="4"/>
    <s v="card"/>
    <n v="35.76"/>
    <x v="0"/>
    <x v="1"/>
    <s v="Feb"/>
    <n v="5"/>
    <n v="2"/>
    <x v="336"/>
    <x v="11"/>
    <x v="0"/>
  </r>
  <r>
    <x v="5"/>
    <s v="card"/>
    <n v="35.76"/>
    <x v="4"/>
    <x v="2"/>
    <s v="Feb"/>
    <n v="5"/>
    <n v="2"/>
    <x v="336"/>
    <x v="11"/>
    <x v="0"/>
  </r>
  <r>
    <x v="5"/>
    <s v="card"/>
    <n v="35.76"/>
    <x v="4"/>
    <x v="2"/>
    <s v="Feb"/>
    <n v="5"/>
    <n v="2"/>
    <x v="336"/>
    <x v="11"/>
    <x v="0"/>
  </r>
  <r>
    <x v="5"/>
    <s v="card"/>
    <n v="25.96"/>
    <x v="5"/>
    <x v="2"/>
    <s v="Feb"/>
    <n v="5"/>
    <n v="2"/>
    <x v="336"/>
    <x v="11"/>
    <x v="0"/>
  </r>
  <r>
    <x v="5"/>
    <s v="card"/>
    <n v="35.76"/>
    <x v="4"/>
    <x v="2"/>
    <s v="Feb"/>
    <n v="5"/>
    <n v="2"/>
    <x v="336"/>
    <x v="11"/>
    <x v="0"/>
  </r>
  <r>
    <x v="11"/>
    <s v="card"/>
    <n v="35.76"/>
    <x v="4"/>
    <x v="2"/>
    <s v="Feb"/>
    <n v="5"/>
    <n v="2"/>
    <x v="336"/>
    <x v="11"/>
    <x v="0"/>
  </r>
  <r>
    <x v="11"/>
    <s v="card"/>
    <n v="25.96"/>
    <x v="5"/>
    <x v="2"/>
    <s v="Feb"/>
    <n v="5"/>
    <n v="2"/>
    <x v="336"/>
    <x v="11"/>
    <x v="0"/>
  </r>
  <r>
    <x v="10"/>
    <s v="card"/>
    <n v="25.96"/>
    <x v="2"/>
    <x v="0"/>
    <s v="Feb"/>
    <n v="6"/>
    <n v="2"/>
    <x v="337"/>
    <x v="11"/>
    <x v="1"/>
  </r>
  <r>
    <x v="0"/>
    <s v="card"/>
    <n v="30.86"/>
    <x v="3"/>
    <x v="0"/>
    <s v="Feb"/>
    <n v="6"/>
    <n v="2"/>
    <x v="337"/>
    <x v="11"/>
    <x v="1"/>
  </r>
  <r>
    <x v="7"/>
    <s v="card"/>
    <n v="25.96"/>
    <x v="5"/>
    <x v="0"/>
    <s v="Feb"/>
    <n v="6"/>
    <n v="2"/>
    <x v="337"/>
    <x v="11"/>
    <x v="1"/>
  </r>
  <r>
    <x v="7"/>
    <s v="card"/>
    <n v="25.96"/>
    <x v="2"/>
    <x v="0"/>
    <s v="Feb"/>
    <n v="6"/>
    <n v="2"/>
    <x v="337"/>
    <x v="11"/>
    <x v="1"/>
  </r>
  <r>
    <x v="1"/>
    <s v="card"/>
    <n v="25.96"/>
    <x v="2"/>
    <x v="1"/>
    <s v="Feb"/>
    <n v="6"/>
    <n v="2"/>
    <x v="337"/>
    <x v="11"/>
    <x v="1"/>
  </r>
  <r>
    <x v="2"/>
    <s v="card"/>
    <n v="25.96"/>
    <x v="2"/>
    <x v="1"/>
    <s v="Feb"/>
    <n v="6"/>
    <n v="2"/>
    <x v="337"/>
    <x v="11"/>
    <x v="1"/>
  </r>
  <r>
    <x v="3"/>
    <s v="card"/>
    <n v="25.96"/>
    <x v="2"/>
    <x v="1"/>
    <s v="Feb"/>
    <n v="6"/>
    <n v="2"/>
    <x v="337"/>
    <x v="11"/>
    <x v="1"/>
  </r>
  <r>
    <x v="3"/>
    <s v="card"/>
    <n v="25.96"/>
    <x v="2"/>
    <x v="1"/>
    <s v="Feb"/>
    <n v="6"/>
    <n v="2"/>
    <x v="337"/>
    <x v="11"/>
    <x v="1"/>
  </r>
  <r>
    <x v="12"/>
    <s v="card"/>
    <n v="35.76"/>
    <x v="4"/>
    <x v="0"/>
    <s v="Feb"/>
    <n v="7"/>
    <n v="2"/>
    <x v="338"/>
    <x v="11"/>
    <x v="2"/>
  </r>
  <r>
    <x v="0"/>
    <s v="card"/>
    <n v="30.86"/>
    <x v="3"/>
    <x v="0"/>
    <s v="Feb"/>
    <n v="7"/>
    <n v="2"/>
    <x v="338"/>
    <x v="11"/>
    <x v="2"/>
  </r>
  <r>
    <x v="0"/>
    <s v="card"/>
    <n v="25.96"/>
    <x v="2"/>
    <x v="0"/>
    <s v="Feb"/>
    <n v="7"/>
    <n v="2"/>
    <x v="338"/>
    <x v="11"/>
    <x v="2"/>
  </r>
  <r>
    <x v="1"/>
    <s v="card"/>
    <n v="35.76"/>
    <x v="0"/>
    <x v="1"/>
    <s v="Feb"/>
    <n v="7"/>
    <n v="2"/>
    <x v="338"/>
    <x v="11"/>
    <x v="2"/>
  </r>
  <r>
    <x v="3"/>
    <s v="card"/>
    <n v="35.76"/>
    <x v="4"/>
    <x v="1"/>
    <s v="Feb"/>
    <n v="7"/>
    <n v="2"/>
    <x v="338"/>
    <x v="11"/>
    <x v="2"/>
  </r>
  <r>
    <x v="3"/>
    <s v="card"/>
    <n v="35.76"/>
    <x v="0"/>
    <x v="1"/>
    <s v="Feb"/>
    <n v="7"/>
    <n v="2"/>
    <x v="338"/>
    <x v="11"/>
    <x v="2"/>
  </r>
  <r>
    <x v="3"/>
    <s v="card"/>
    <n v="35.76"/>
    <x v="1"/>
    <x v="1"/>
    <s v="Feb"/>
    <n v="7"/>
    <n v="2"/>
    <x v="338"/>
    <x v="11"/>
    <x v="2"/>
  </r>
  <r>
    <x v="3"/>
    <s v="card"/>
    <n v="35.76"/>
    <x v="4"/>
    <x v="1"/>
    <s v="Feb"/>
    <n v="7"/>
    <n v="2"/>
    <x v="338"/>
    <x v="11"/>
    <x v="2"/>
  </r>
  <r>
    <x v="4"/>
    <s v="card"/>
    <n v="25.96"/>
    <x v="5"/>
    <x v="1"/>
    <s v="Feb"/>
    <n v="7"/>
    <n v="2"/>
    <x v="338"/>
    <x v="11"/>
    <x v="2"/>
  </r>
  <r>
    <x v="14"/>
    <s v="card"/>
    <n v="25.96"/>
    <x v="2"/>
    <x v="0"/>
    <s v="Feb"/>
    <n v="1"/>
    <n v="2"/>
    <x v="339"/>
    <x v="11"/>
    <x v="3"/>
  </r>
  <r>
    <x v="12"/>
    <s v="card"/>
    <n v="25.96"/>
    <x v="2"/>
    <x v="0"/>
    <s v="Feb"/>
    <n v="1"/>
    <n v="2"/>
    <x v="339"/>
    <x v="11"/>
    <x v="3"/>
  </r>
  <r>
    <x v="12"/>
    <s v="card"/>
    <n v="25.96"/>
    <x v="2"/>
    <x v="0"/>
    <s v="Feb"/>
    <n v="1"/>
    <n v="2"/>
    <x v="339"/>
    <x v="11"/>
    <x v="3"/>
  </r>
  <r>
    <x v="7"/>
    <s v="card"/>
    <n v="30.86"/>
    <x v="3"/>
    <x v="0"/>
    <s v="Feb"/>
    <n v="1"/>
    <n v="2"/>
    <x v="339"/>
    <x v="11"/>
    <x v="3"/>
  </r>
  <r>
    <x v="2"/>
    <s v="card"/>
    <n v="25.96"/>
    <x v="2"/>
    <x v="1"/>
    <s v="Feb"/>
    <n v="1"/>
    <n v="2"/>
    <x v="339"/>
    <x v="11"/>
    <x v="3"/>
  </r>
  <r>
    <x v="2"/>
    <s v="card"/>
    <n v="35.76"/>
    <x v="4"/>
    <x v="1"/>
    <s v="Feb"/>
    <n v="1"/>
    <n v="2"/>
    <x v="339"/>
    <x v="11"/>
    <x v="3"/>
  </r>
  <r>
    <x v="2"/>
    <s v="card"/>
    <n v="30.86"/>
    <x v="3"/>
    <x v="1"/>
    <s v="Feb"/>
    <n v="1"/>
    <n v="2"/>
    <x v="339"/>
    <x v="11"/>
    <x v="3"/>
  </r>
  <r>
    <x v="2"/>
    <s v="card"/>
    <n v="25.96"/>
    <x v="2"/>
    <x v="1"/>
    <s v="Feb"/>
    <n v="1"/>
    <n v="2"/>
    <x v="339"/>
    <x v="11"/>
    <x v="3"/>
  </r>
  <r>
    <x v="8"/>
    <s v="card"/>
    <n v="35.76"/>
    <x v="0"/>
    <x v="1"/>
    <s v="Feb"/>
    <n v="1"/>
    <n v="2"/>
    <x v="339"/>
    <x v="11"/>
    <x v="3"/>
  </r>
  <r>
    <x v="8"/>
    <s v="card"/>
    <n v="25.96"/>
    <x v="2"/>
    <x v="1"/>
    <s v="Feb"/>
    <n v="1"/>
    <n v="2"/>
    <x v="339"/>
    <x v="11"/>
    <x v="3"/>
  </r>
  <r>
    <x v="8"/>
    <s v="card"/>
    <n v="35.76"/>
    <x v="4"/>
    <x v="1"/>
    <s v="Feb"/>
    <n v="1"/>
    <n v="2"/>
    <x v="339"/>
    <x v="11"/>
    <x v="3"/>
  </r>
  <r>
    <x v="8"/>
    <s v="card"/>
    <n v="35.76"/>
    <x v="4"/>
    <x v="1"/>
    <s v="Feb"/>
    <n v="1"/>
    <n v="2"/>
    <x v="339"/>
    <x v="11"/>
    <x v="3"/>
  </r>
  <r>
    <x v="3"/>
    <s v="card"/>
    <n v="35.76"/>
    <x v="7"/>
    <x v="1"/>
    <s v="Feb"/>
    <n v="1"/>
    <n v="2"/>
    <x v="339"/>
    <x v="11"/>
    <x v="3"/>
  </r>
  <r>
    <x v="3"/>
    <s v="card"/>
    <n v="30.86"/>
    <x v="3"/>
    <x v="1"/>
    <s v="Feb"/>
    <n v="1"/>
    <n v="2"/>
    <x v="339"/>
    <x v="11"/>
    <x v="3"/>
  </r>
  <r>
    <x v="3"/>
    <s v="card"/>
    <n v="35.76"/>
    <x v="0"/>
    <x v="1"/>
    <s v="Feb"/>
    <n v="1"/>
    <n v="2"/>
    <x v="339"/>
    <x v="11"/>
    <x v="3"/>
  </r>
  <r>
    <x v="3"/>
    <s v="card"/>
    <n v="35.76"/>
    <x v="1"/>
    <x v="1"/>
    <s v="Feb"/>
    <n v="1"/>
    <n v="2"/>
    <x v="339"/>
    <x v="11"/>
    <x v="3"/>
  </r>
  <r>
    <x v="4"/>
    <s v="card"/>
    <n v="35.76"/>
    <x v="4"/>
    <x v="1"/>
    <s v="Feb"/>
    <n v="1"/>
    <n v="2"/>
    <x v="339"/>
    <x v="11"/>
    <x v="3"/>
  </r>
  <r>
    <x v="9"/>
    <s v="card"/>
    <n v="25.96"/>
    <x v="2"/>
    <x v="2"/>
    <s v="Feb"/>
    <n v="1"/>
    <n v="2"/>
    <x v="339"/>
    <x v="11"/>
    <x v="3"/>
  </r>
  <r>
    <x v="5"/>
    <s v="card"/>
    <n v="30.86"/>
    <x v="3"/>
    <x v="2"/>
    <s v="Feb"/>
    <n v="1"/>
    <n v="2"/>
    <x v="339"/>
    <x v="11"/>
    <x v="3"/>
  </r>
  <r>
    <x v="6"/>
    <s v="card"/>
    <n v="35.76"/>
    <x v="0"/>
    <x v="2"/>
    <s v="Feb"/>
    <n v="1"/>
    <n v="2"/>
    <x v="339"/>
    <x v="11"/>
    <x v="3"/>
  </r>
  <r>
    <x v="6"/>
    <s v="card"/>
    <n v="35.76"/>
    <x v="0"/>
    <x v="2"/>
    <s v="Feb"/>
    <n v="1"/>
    <n v="2"/>
    <x v="339"/>
    <x v="11"/>
    <x v="3"/>
  </r>
  <r>
    <x v="0"/>
    <s v="card"/>
    <n v="25.96"/>
    <x v="2"/>
    <x v="0"/>
    <s v="Feb"/>
    <n v="2"/>
    <n v="2"/>
    <x v="340"/>
    <x v="11"/>
    <x v="4"/>
  </r>
  <r>
    <x v="7"/>
    <s v="card"/>
    <n v="25.96"/>
    <x v="2"/>
    <x v="0"/>
    <s v="Feb"/>
    <n v="2"/>
    <n v="2"/>
    <x v="340"/>
    <x v="11"/>
    <x v="4"/>
  </r>
  <r>
    <x v="7"/>
    <s v="card"/>
    <n v="30.86"/>
    <x v="3"/>
    <x v="0"/>
    <s v="Feb"/>
    <n v="2"/>
    <n v="2"/>
    <x v="340"/>
    <x v="11"/>
    <x v="4"/>
  </r>
  <r>
    <x v="7"/>
    <s v="card"/>
    <n v="35.76"/>
    <x v="4"/>
    <x v="0"/>
    <s v="Feb"/>
    <n v="2"/>
    <n v="2"/>
    <x v="340"/>
    <x v="11"/>
    <x v="4"/>
  </r>
  <r>
    <x v="3"/>
    <s v="card"/>
    <n v="35.76"/>
    <x v="1"/>
    <x v="1"/>
    <s v="Feb"/>
    <n v="2"/>
    <n v="2"/>
    <x v="340"/>
    <x v="11"/>
    <x v="4"/>
  </r>
  <r>
    <x v="4"/>
    <s v="card"/>
    <n v="30.86"/>
    <x v="3"/>
    <x v="1"/>
    <s v="Feb"/>
    <n v="2"/>
    <n v="2"/>
    <x v="340"/>
    <x v="11"/>
    <x v="4"/>
  </r>
  <r>
    <x v="4"/>
    <s v="card"/>
    <n v="21.06"/>
    <x v="6"/>
    <x v="1"/>
    <s v="Feb"/>
    <n v="2"/>
    <n v="2"/>
    <x v="340"/>
    <x v="11"/>
    <x v="4"/>
  </r>
  <r>
    <x v="9"/>
    <s v="card"/>
    <n v="35.76"/>
    <x v="0"/>
    <x v="2"/>
    <s v="Feb"/>
    <n v="2"/>
    <n v="2"/>
    <x v="340"/>
    <x v="11"/>
    <x v="4"/>
  </r>
  <r>
    <x v="9"/>
    <s v="card"/>
    <n v="30.86"/>
    <x v="3"/>
    <x v="2"/>
    <s v="Feb"/>
    <n v="2"/>
    <n v="2"/>
    <x v="340"/>
    <x v="11"/>
    <x v="4"/>
  </r>
  <r>
    <x v="9"/>
    <s v="card"/>
    <n v="30.86"/>
    <x v="3"/>
    <x v="2"/>
    <s v="Feb"/>
    <n v="2"/>
    <n v="2"/>
    <x v="340"/>
    <x v="11"/>
    <x v="4"/>
  </r>
  <r>
    <x v="9"/>
    <s v="card"/>
    <n v="25.96"/>
    <x v="2"/>
    <x v="2"/>
    <s v="Feb"/>
    <n v="2"/>
    <n v="2"/>
    <x v="340"/>
    <x v="11"/>
    <x v="4"/>
  </r>
  <r>
    <x v="9"/>
    <s v="card"/>
    <n v="30.86"/>
    <x v="3"/>
    <x v="2"/>
    <s v="Feb"/>
    <n v="2"/>
    <n v="2"/>
    <x v="340"/>
    <x v="11"/>
    <x v="4"/>
  </r>
  <r>
    <x v="6"/>
    <s v="card"/>
    <n v="35.76"/>
    <x v="0"/>
    <x v="2"/>
    <s v="Feb"/>
    <n v="2"/>
    <n v="2"/>
    <x v="340"/>
    <x v="11"/>
    <x v="4"/>
  </r>
  <r>
    <x v="6"/>
    <s v="card"/>
    <n v="35.76"/>
    <x v="4"/>
    <x v="2"/>
    <s v="Feb"/>
    <n v="2"/>
    <n v="2"/>
    <x v="340"/>
    <x v="11"/>
    <x v="4"/>
  </r>
  <r>
    <x v="14"/>
    <s v="card"/>
    <n v="35.76"/>
    <x v="7"/>
    <x v="0"/>
    <s v="Feb"/>
    <n v="3"/>
    <n v="2"/>
    <x v="341"/>
    <x v="11"/>
    <x v="5"/>
  </r>
  <r>
    <x v="14"/>
    <s v="card"/>
    <n v="25.96"/>
    <x v="2"/>
    <x v="0"/>
    <s v="Feb"/>
    <n v="3"/>
    <n v="2"/>
    <x v="341"/>
    <x v="11"/>
    <x v="5"/>
  </r>
  <r>
    <x v="12"/>
    <s v="card"/>
    <n v="35.76"/>
    <x v="4"/>
    <x v="0"/>
    <s v="Feb"/>
    <n v="3"/>
    <n v="2"/>
    <x v="341"/>
    <x v="11"/>
    <x v="5"/>
  </r>
  <r>
    <x v="10"/>
    <s v="card"/>
    <n v="30.86"/>
    <x v="3"/>
    <x v="0"/>
    <s v="Feb"/>
    <n v="3"/>
    <n v="2"/>
    <x v="341"/>
    <x v="11"/>
    <x v="5"/>
  </r>
  <r>
    <x v="0"/>
    <s v="card"/>
    <n v="25.96"/>
    <x v="2"/>
    <x v="0"/>
    <s v="Feb"/>
    <n v="3"/>
    <n v="2"/>
    <x v="341"/>
    <x v="11"/>
    <x v="5"/>
  </r>
  <r>
    <x v="1"/>
    <s v="card"/>
    <n v="25.96"/>
    <x v="2"/>
    <x v="1"/>
    <s v="Feb"/>
    <n v="3"/>
    <n v="2"/>
    <x v="341"/>
    <x v="11"/>
    <x v="5"/>
  </r>
  <r>
    <x v="2"/>
    <s v="card"/>
    <n v="25.96"/>
    <x v="2"/>
    <x v="1"/>
    <s v="Feb"/>
    <n v="3"/>
    <n v="2"/>
    <x v="341"/>
    <x v="11"/>
    <x v="5"/>
  </r>
  <r>
    <x v="2"/>
    <s v="card"/>
    <n v="35.76"/>
    <x v="1"/>
    <x v="1"/>
    <s v="Feb"/>
    <n v="3"/>
    <n v="2"/>
    <x v="341"/>
    <x v="11"/>
    <x v="5"/>
  </r>
  <r>
    <x v="3"/>
    <s v="card"/>
    <n v="35.76"/>
    <x v="1"/>
    <x v="1"/>
    <s v="Feb"/>
    <n v="3"/>
    <n v="2"/>
    <x v="341"/>
    <x v="11"/>
    <x v="5"/>
  </r>
  <r>
    <x v="3"/>
    <s v="card"/>
    <n v="35.76"/>
    <x v="0"/>
    <x v="1"/>
    <s v="Feb"/>
    <n v="3"/>
    <n v="2"/>
    <x v="341"/>
    <x v="11"/>
    <x v="5"/>
  </r>
  <r>
    <x v="3"/>
    <s v="card"/>
    <n v="35.76"/>
    <x v="1"/>
    <x v="1"/>
    <s v="Feb"/>
    <n v="3"/>
    <n v="2"/>
    <x v="341"/>
    <x v="11"/>
    <x v="5"/>
  </r>
  <r>
    <x v="4"/>
    <s v="card"/>
    <n v="25.96"/>
    <x v="2"/>
    <x v="1"/>
    <s v="Feb"/>
    <n v="3"/>
    <n v="2"/>
    <x v="341"/>
    <x v="11"/>
    <x v="5"/>
  </r>
  <r>
    <x v="4"/>
    <s v="card"/>
    <n v="25.96"/>
    <x v="2"/>
    <x v="1"/>
    <s v="Feb"/>
    <n v="3"/>
    <n v="2"/>
    <x v="341"/>
    <x v="11"/>
    <x v="5"/>
  </r>
  <r>
    <x v="9"/>
    <s v="card"/>
    <n v="35.76"/>
    <x v="7"/>
    <x v="2"/>
    <s v="Feb"/>
    <n v="3"/>
    <n v="2"/>
    <x v="341"/>
    <x v="11"/>
    <x v="5"/>
  </r>
  <r>
    <x v="9"/>
    <s v="card"/>
    <n v="25.96"/>
    <x v="2"/>
    <x v="2"/>
    <s v="Feb"/>
    <n v="3"/>
    <n v="2"/>
    <x v="341"/>
    <x v="11"/>
    <x v="5"/>
  </r>
  <r>
    <x v="11"/>
    <s v="card"/>
    <n v="35.76"/>
    <x v="0"/>
    <x v="2"/>
    <s v="Feb"/>
    <n v="3"/>
    <n v="2"/>
    <x v="341"/>
    <x v="11"/>
    <x v="5"/>
  </r>
  <r>
    <x v="11"/>
    <s v="card"/>
    <n v="35.76"/>
    <x v="4"/>
    <x v="2"/>
    <s v="Feb"/>
    <n v="3"/>
    <n v="2"/>
    <x v="341"/>
    <x v="11"/>
    <x v="5"/>
  </r>
  <r>
    <x v="15"/>
    <s v="card"/>
    <n v="35.76"/>
    <x v="7"/>
    <x v="2"/>
    <s v="Feb"/>
    <n v="3"/>
    <n v="2"/>
    <x v="341"/>
    <x v="11"/>
    <x v="5"/>
  </r>
  <r>
    <x v="14"/>
    <s v="card"/>
    <n v="30.86"/>
    <x v="3"/>
    <x v="0"/>
    <s v="Feb"/>
    <n v="4"/>
    <n v="2"/>
    <x v="342"/>
    <x v="11"/>
    <x v="6"/>
  </r>
  <r>
    <x v="12"/>
    <s v="card"/>
    <n v="25.96"/>
    <x v="2"/>
    <x v="0"/>
    <s v="Feb"/>
    <n v="4"/>
    <n v="2"/>
    <x v="342"/>
    <x v="11"/>
    <x v="6"/>
  </r>
  <r>
    <x v="10"/>
    <s v="card"/>
    <n v="21.06"/>
    <x v="6"/>
    <x v="0"/>
    <s v="Feb"/>
    <n v="4"/>
    <n v="2"/>
    <x v="342"/>
    <x v="11"/>
    <x v="6"/>
  </r>
  <r>
    <x v="10"/>
    <s v="card"/>
    <n v="35.76"/>
    <x v="4"/>
    <x v="0"/>
    <s v="Feb"/>
    <n v="4"/>
    <n v="2"/>
    <x v="342"/>
    <x v="11"/>
    <x v="6"/>
  </r>
  <r>
    <x v="0"/>
    <s v="card"/>
    <n v="30.86"/>
    <x v="3"/>
    <x v="0"/>
    <s v="Feb"/>
    <n v="4"/>
    <n v="2"/>
    <x v="342"/>
    <x v="11"/>
    <x v="6"/>
  </r>
  <r>
    <x v="0"/>
    <s v="card"/>
    <n v="30.86"/>
    <x v="3"/>
    <x v="0"/>
    <s v="Feb"/>
    <n v="4"/>
    <n v="2"/>
    <x v="342"/>
    <x v="11"/>
    <x v="6"/>
  </r>
  <r>
    <x v="4"/>
    <s v="card"/>
    <n v="25.96"/>
    <x v="2"/>
    <x v="1"/>
    <s v="Feb"/>
    <n v="4"/>
    <n v="2"/>
    <x v="342"/>
    <x v="11"/>
    <x v="6"/>
  </r>
  <r>
    <x v="4"/>
    <s v="card"/>
    <n v="25.96"/>
    <x v="2"/>
    <x v="1"/>
    <s v="Feb"/>
    <n v="4"/>
    <n v="2"/>
    <x v="342"/>
    <x v="11"/>
    <x v="6"/>
  </r>
  <r>
    <x v="9"/>
    <s v="card"/>
    <n v="30.86"/>
    <x v="3"/>
    <x v="2"/>
    <s v="Feb"/>
    <n v="4"/>
    <n v="2"/>
    <x v="342"/>
    <x v="11"/>
    <x v="6"/>
  </r>
  <r>
    <x v="9"/>
    <s v="card"/>
    <n v="30.86"/>
    <x v="3"/>
    <x v="2"/>
    <s v="Feb"/>
    <n v="4"/>
    <n v="2"/>
    <x v="342"/>
    <x v="11"/>
    <x v="6"/>
  </r>
  <r>
    <x v="5"/>
    <s v="card"/>
    <n v="35.76"/>
    <x v="0"/>
    <x v="2"/>
    <s v="Feb"/>
    <n v="4"/>
    <n v="2"/>
    <x v="342"/>
    <x v="11"/>
    <x v="6"/>
  </r>
  <r>
    <x v="5"/>
    <s v="card"/>
    <n v="35.76"/>
    <x v="7"/>
    <x v="2"/>
    <s v="Feb"/>
    <n v="4"/>
    <n v="2"/>
    <x v="342"/>
    <x v="11"/>
    <x v="6"/>
  </r>
  <r>
    <x v="6"/>
    <s v="card"/>
    <n v="35.76"/>
    <x v="0"/>
    <x v="2"/>
    <s v="Feb"/>
    <n v="4"/>
    <n v="2"/>
    <x v="342"/>
    <x v="11"/>
    <x v="6"/>
  </r>
  <r>
    <x v="7"/>
    <s v="card"/>
    <n v="25.96"/>
    <x v="2"/>
    <x v="0"/>
    <s v="Feb"/>
    <n v="5"/>
    <n v="2"/>
    <x v="343"/>
    <x v="11"/>
    <x v="0"/>
  </r>
  <r>
    <x v="8"/>
    <s v="card"/>
    <n v="35.76"/>
    <x v="1"/>
    <x v="1"/>
    <s v="Feb"/>
    <n v="5"/>
    <n v="2"/>
    <x v="343"/>
    <x v="11"/>
    <x v="0"/>
  </r>
  <r>
    <x v="8"/>
    <s v="card"/>
    <n v="25.96"/>
    <x v="2"/>
    <x v="1"/>
    <s v="Feb"/>
    <n v="5"/>
    <n v="2"/>
    <x v="343"/>
    <x v="11"/>
    <x v="0"/>
  </r>
  <r>
    <x v="8"/>
    <s v="card"/>
    <n v="21.06"/>
    <x v="6"/>
    <x v="1"/>
    <s v="Feb"/>
    <n v="5"/>
    <n v="2"/>
    <x v="343"/>
    <x v="11"/>
    <x v="0"/>
  </r>
  <r>
    <x v="8"/>
    <s v="card"/>
    <n v="30.86"/>
    <x v="3"/>
    <x v="1"/>
    <s v="Feb"/>
    <n v="5"/>
    <n v="2"/>
    <x v="343"/>
    <x v="11"/>
    <x v="0"/>
  </r>
  <r>
    <x v="3"/>
    <s v="card"/>
    <n v="35.76"/>
    <x v="7"/>
    <x v="1"/>
    <s v="Feb"/>
    <n v="5"/>
    <n v="2"/>
    <x v="343"/>
    <x v="11"/>
    <x v="0"/>
  </r>
  <r>
    <x v="3"/>
    <s v="card"/>
    <n v="35.76"/>
    <x v="7"/>
    <x v="1"/>
    <s v="Feb"/>
    <n v="5"/>
    <n v="2"/>
    <x v="343"/>
    <x v="11"/>
    <x v="0"/>
  </r>
  <r>
    <x v="3"/>
    <s v="card"/>
    <n v="35.76"/>
    <x v="0"/>
    <x v="1"/>
    <s v="Feb"/>
    <n v="5"/>
    <n v="2"/>
    <x v="343"/>
    <x v="11"/>
    <x v="0"/>
  </r>
  <r>
    <x v="3"/>
    <s v="card"/>
    <n v="35.76"/>
    <x v="1"/>
    <x v="1"/>
    <s v="Feb"/>
    <n v="5"/>
    <n v="2"/>
    <x v="343"/>
    <x v="11"/>
    <x v="0"/>
  </r>
  <r>
    <x v="3"/>
    <s v="card"/>
    <n v="35.76"/>
    <x v="7"/>
    <x v="1"/>
    <s v="Feb"/>
    <n v="5"/>
    <n v="2"/>
    <x v="343"/>
    <x v="11"/>
    <x v="0"/>
  </r>
  <r>
    <x v="9"/>
    <s v="card"/>
    <n v="25.96"/>
    <x v="2"/>
    <x v="2"/>
    <s v="Feb"/>
    <n v="5"/>
    <n v="2"/>
    <x v="343"/>
    <x v="11"/>
    <x v="0"/>
  </r>
  <r>
    <x v="9"/>
    <s v="card"/>
    <n v="35.76"/>
    <x v="4"/>
    <x v="2"/>
    <s v="Feb"/>
    <n v="5"/>
    <n v="2"/>
    <x v="343"/>
    <x v="11"/>
    <x v="0"/>
  </r>
  <r>
    <x v="9"/>
    <s v="card"/>
    <n v="21.06"/>
    <x v="6"/>
    <x v="2"/>
    <s v="Feb"/>
    <n v="5"/>
    <n v="2"/>
    <x v="343"/>
    <x v="11"/>
    <x v="0"/>
  </r>
  <r>
    <x v="9"/>
    <s v="card"/>
    <n v="30.86"/>
    <x v="3"/>
    <x v="2"/>
    <s v="Feb"/>
    <n v="5"/>
    <n v="2"/>
    <x v="343"/>
    <x v="11"/>
    <x v="0"/>
  </r>
  <r>
    <x v="15"/>
    <s v="card"/>
    <n v="25.96"/>
    <x v="2"/>
    <x v="2"/>
    <s v="Feb"/>
    <n v="5"/>
    <n v="2"/>
    <x v="343"/>
    <x v="11"/>
    <x v="0"/>
  </r>
  <r>
    <x v="10"/>
    <s v="card"/>
    <n v="35.76"/>
    <x v="7"/>
    <x v="0"/>
    <s v="Feb"/>
    <n v="6"/>
    <n v="2"/>
    <x v="344"/>
    <x v="11"/>
    <x v="1"/>
  </r>
  <r>
    <x v="1"/>
    <s v="card"/>
    <n v="35.76"/>
    <x v="7"/>
    <x v="1"/>
    <s v="Feb"/>
    <n v="6"/>
    <n v="2"/>
    <x v="344"/>
    <x v="11"/>
    <x v="1"/>
  </r>
  <r>
    <x v="1"/>
    <s v="card"/>
    <n v="25.96"/>
    <x v="2"/>
    <x v="1"/>
    <s v="Feb"/>
    <n v="6"/>
    <n v="2"/>
    <x v="344"/>
    <x v="11"/>
    <x v="1"/>
  </r>
  <r>
    <x v="2"/>
    <s v="card"/>
    <n v="30.86"/>
    <x v="3"/>
    <x v="1"/>
    <s v="Feb"/>
    <n v="6"/>
    <n v="2"/>
    <x v="344"/>
    <x v="11"/>
    <x v="1"/>
  </r>
  <r>
    <x v="2"/>
    <s v="card"/>
    <n v="30.86"/>
    <x v="3"/>
    <x v="1"/>
    <s v="Feb"/>
    <n v="6"/>
    <n v="2"/>
    <x v="344"/>
    <x v="11"/>
    <x v="1"/>
  </r>
  <r>
    <x v="8"/>
    <s v="card"/>
    <n v="35.76"/>
    <x v="7"/>
    <x v="1"/>
    <s v="Feb"/>
    <n v="6"/>
    <n v="2"/>
    <x v="344"/>
    <x v="11"/>
    <x v="1"/>
  </r>
  <r>
    <x v="8"/>
    <s v="card"/>
    <n v="25.96"/>
    <x v="2"/>
    <x v="1"/>
    <s v="Feb"/>
    <n v="6"/>
    <n v="2"/>
    <x v="344"/>
    <x v="11"/>
    <x v="1"/>
  </r>
  <r>
    <x v="3"/>
    <s v="card"/>
    <n v="35.76"/>
    <x v="1"/>
    <x v="1"/>
    <s v="Feb"/>
    <n v="6"/>
    <n v="2"/>
    <x v="344"/>
    <x v="11"/>
    <x v="1"/>
  </r>
  <r>
    <x v="3"/>
    <s v="card"/>
    <n v="35.76"/>
    <x v="1"/>
    <x v="1"/>
    <s v="Feb"/>
    <n v="6"/>
    <n v="2"/>
    <x v="344"/>
    <x v="11"/>
    <x v="1"/>
  </r>
  <r>
    <x v="0"/>
    <s v="card"/>
    <n v="25.96"/>
    <x v="2"/>
    <x v="0"/>
    <s v="Feb"/>
    <n v="7"/>
    <n v="2"/>
    <x v="345"/>
    <x v="11"/>
    <x v="2"/>
  </r>
  <r>
    <x v="0"/>
    <s v="card"/>
    <n v="25.96"/>
    <x v="2"/>
    <x v="0"/>
    <s v="Feb"/>
    <n v="7"/>
    <n v="2"/>
    <x v="345"/>
    <x v="11"/>
    <x v="2"/>
  </r>
  <r>
    <x v="0"/>
    <s v="card"/>
    <n v="30.86"/>
    <x v="3"/>
    <x v="0"/>
    <s v="Feb"/>
    <n v="7"/>
    <n v="2"/>
    <x v="345"/>
    <x v="11"/>
    <x v="2"/>
  </r>
  <r>
    <x v="7"/>
    <s v="card"/>
    <n v="35.76"/>
    <x v="1"/>
    <x v="0"/>
    <s v="Feb"/>
    <n v="7"/>
    <n v="2"/>
    <x v="345"/>
    <x v="11"/>
    <x v="2"/>
  </r>
  <r>
    <x v="7"/>
    <s v="card"/>
    <n v="25.96"/>
    <x v="2"/>
    <x v="0"/>
    <s v="Feb"/>
    <n v="7"/>
    <n v="2"/>
    <x v="345"/>
    <x v="11"/>
    <x v="2"/>
  </r>
  <r>
    <x v="8"/>
    <s v="card"/>
    <n v="35.76"/>
    <x v="1"/>
    <x v="1"/>
    <s v="Feb"/>
    <n v="7"/>
    <n v="2"/>
    <x v="345"/>
    <x v="11"/>
    <x v="2"/>
  </r>
  <r>
    <x v="8"/>
    <s v="card"/>
    <n v="35.76"/>
    <x v="0"/>
    <x v="1"/>
    <s v="Feb"/>
    <n v="7"/>
    <n v="2"/>
    <x v="345"/>
    <x v="11"/>
    <x v="2"/>
  </r>
  <r>
    <x v="9"/>
    <s v="card"/>
    <n v="35.76"/>
    <x v="1"/>
    <x v="2"/>
    <s v="Feb"/>
    <n v="7"/>
    <n v="2"/>
    <x v="345"/>
    <x v="11"/>
    <x v="2"/>
  </r>
  <r>
    <x v="9"/>
    <s v="card"/>
    <n v="30.86"/>
    <x v="3"/>
    <x v="2"/>
    <s v="Feb"/>
    <n v="7"/>
    <n v="2"/>
    <x v="345"/>
    <x v="11"/>
    <x v="2"/>
  </r>
  <r>
    <x v="9"/>
    <s v="card"/>
    <n v="30.86"/>
    <x v="3"/>
    <x v="2"/>
    <s v="Feb"/>
    <n v="7"/>
    <n v="2"/>
    <x v="345"/>
    <x v="11"/>
    <x v="2"/>
  </r>
  <r>
    <x v="16"/>
    <s v="card"/>
    <n v="35.76"/>
    <x v="7"/>
    <x v="0"/>
    <s v="Feb"/>
    <n v="1"/>
    <n v="2"/>
    <x v="346"/>
    <x v="11"/>
    <x v="3"/>
  </r>
  <r>
    <x v="12"/>
    <s v="card"/>
    <n v="25.96"/>
    <x v="2"/>
    <x v="0"/>
    <s v="Feb"/>
    <n v="1"/>
    <n v="2"/>
    <x v="346"/>
    <x v="11"/>
    <x v="3"/>
  </r>
  <r>
    <x v="10"/>
    <s v="card"/>
    <n v="25.96"/>
    <x v="2"/>
    <x v="0"/>
    <s v="Feb"/>
    <n v="1"/>
    <n v="2"/>
    <x v="346"/>
    <x v="11"/>
    <x v="3"/>
  </r>
  <r>
    <x v="10"/>
    <s v="card"/>
    <n v="30.86"/>
    <x v="3"/>
    <x v="0"/>
    <s v="Feb"/>
    <n v="1"/>
    <n v="2"/>
    <x v="346"/>
    <x v="11"/>
    <x v="3"/>
  </r>
  <r>
    <x v="10"/>
    <s v="card"/>
    <n v="35.76"/>
    <x v="1"/>
    <x v="0"/>
    <s v="Feb"/>
    <n v="1"/>
    <n v="2"/>
    <x v="346"/>
    <x v="11"/>
    <x v="3"/>
  </r>
  <r>
    <x v="0"/>
    <s v="card"/>
    <n v="30.86"/>
    <x v="3"/>
    <x v="0"/>
    <s v="Feb"/>
    <n v="1"/>
    <n v="2"/>
    <x v="346"/>
    <x v="11"/>
    <x v="3"/>
  </r>
  <r>
    <x v="0"/>
    <s v="card"/>
    <n v="25.96"/>
    <x v="2"/>
    <x v="0"/>
    <s v="Feb"/>
    <n v="1"/>
    <n v="2"/>
    <x v="346"/>
    <x v="11"/>
    <x v="3"/>
  </r>
  <r>
    <x v="7"/>
    <s v="card"/>
    <n v="30.86"/>
    <x v="3"/>
    <x v="0"/>
    <s v="Feb"/>
    <n v="1"/>
    <n v="2"/>
    <x v="346"/>
    <x v="11"/>
    <x v="3"/>
  </r>
  <r>
    <x v="7"/>
    <s v="card"/>
    <n v="21.06"/>
    <x v="6"/>
    <x v="0"/>
    <s v="Feb"/>
    <n v="1"/>
    <n v="2"/>
    <x v="346"/>
    <x v="11"/>
    <x v="3"/>
  </r>
  <r>
    <x v="1"/>
    <s v="card"/>
    <n v="35.76"/>
    <x v="7"/>
    <x v="1"/>
    <s v="Feb"/>
    <n v="1"/>
    <n v="2"/>
    <x v="346"/>
    <x v="11"/>
    <x v="3"/>
  </r>
  <r>
    <x v="8"/>
    <s v="card"/>
    <n v="35.76"/>
    <x v="0"/>
    <x v="1"/>
    <s v="Feb"/>
    <n v="1"/>
    <n v="2"/>
    <x v="346"/>
    <x v="11"/>
    <x v="3"/>
  </r>
  <r>
    <x v="3"/>
    <s v="card"/>
    <n v="30.86"/>
    <x v="3"/>
    <x v="1"/>
    <s v="Feb"/>
    <n v="1"/>
    <n v="2"/>
    <x v="346"/>
    <x v="11"/>
    <x v="3"/>
  </r>
  <r>
    <x v="3"/>
    <s v="card"/>
    <n v="35.76"/>
    <x v="0"/>
    <x v="1"/>
    <s v="Feb"/>
    <n v="1"/>
    <n v="2"/>
    <x v="346"/>
    <x v="11"/>
    <x v="3"/>
  </r>
  <r>
    <x v="4"/>
    <s v="card"/>
    <n v="21.06"/>
    <x v="6"/>
    <x v="1"/>
    <s v="Feb"/>
    <n v="1"/>
    <n v="2"/>
    <x v="346"/>
    <x v="11"/>
    <x v="3"/>
  </r>
  <r>
    <x v="4"/>
    <s v="card"/>
    <n v="25.96"/>
    <x v="2"/>
    <x v="1"/>
    <s v="Feb"/>
    <n v="1"/>
    <n v="2"/>
    <x v="346"/>
    <x v="11"/>
    <x v="3"/>
  </r>
  <r>
    <x v="9"/>
    <s v="card"/>
    <n v="30.86"/>
    <x v="3"/>
    <x v="2"/>
    <s v="Feb"/>
    <n v="1"/>
    <n v="2"/>
    <x v="346"/>
    <x v="11"/>
    <x v="3"/>
  </r>
  <r>
    <x v="5"/>
    <s v="card"/>
    <n v="25.96"/>
    <x v="2"/>
    <x v="2"/>
    <s v="Feb"/>
    <n v="1"/>
    <n v="2"/>
    <x v="346"/>
    <x v="11"/>
    <x v="3"/>
  </r>
  <r>
    <x v="6"/>
    <s v="card"/>
    <n v="25.96"/>
    <x v="2"/>
    <x v="2"/>
    <s v="Feb"/>
    <n v="1"/>
    <n v="2"/>
    <x v="346"/>
    <x v="11"/>
    <x v="3"/>
  </r>
  <r>
    <x v="6"/>
    <s v="card"/>
    <n v="25.96"/>
    <x v="2"/>
    <x v="2"/>
    <s v="Feb"/>
    <n v="1"/>
    <n v="2"/>
    <x v="346"/>
    <x v="11"/>
    <x v="3"/>
  </r>
  <r>
    <x v="11"/>
    <s v="card"/>
    <n v="35.76"/>
    <x v="0"/>
    <x v="2"/>
    <s v="Feb"/>
    <n v="1"/>
    <n v="2"/>
    <x v="346"/>
    <x v="11"/>
    <x v="3"/>
  </r>
  <r>
    <x v="12"/>
    <s v="card"/>
    <n v="25.96"/>
    <x v="2"/>
    <x v="0"/>
    <s v="Feb"/>
    <n v="2"/>
    <n v="2"/>
    <x v="347"/>
    <x v="11"/>
    <x v="4"/>
  </r>
  <r>
    <x v="12"/>
    <s v="card"/>
    <n v="25.96"/>
    <x v="2"/>
    <x v="0"/>
    <s v="Feb"/>
    <n v="2"/>
    <n v="2"/>
    <x v="347"/>
    <x v="11"/>
    <x v="4"/>
  </r>
  <r>
    <x v="7"/>
    <s v="card"/>
    <n v="25.96"/>
    <x v="2"/>
    <x v="0"/>
    <s v="Feb"/>
    <n v="2"/>
    <n v="2"/>
    <x v="347"/>
    <x v="11"/>
    <x v="4"/>
  </r>
  <r>
    <x v="7"/>
    <s v="card"/>
    <n v="25.96"/>
    <x v="2"/>
    <x v="0"/>
    <s v="Feb"/>
    <n v="2"/>
    <n v="2"/>
    <x v="347"/>
    <x v="11"/>
    <x v="4"/>
  </r>
  <r>
    <x v="7"/>
    <s v="card"/>
    <n v="30.86"/>
    <x v="3"/>
    <x v="0"/>
    <s v="Feb"/>
    <n v="2"/>
    <n v="2"/>
    <x v="347"/>
    <x v="11"/>
    <x v="4"/>
  </r>
  <r>
    <x v="1"/>
    <s v="card"/>
    <n v="30.86"/>
    <x v="3"/>
    <x v="1"/>
    <s v="Feb"/>
    <n v="2"/>
    <n v="2"/>
    <x v="347"/>
    <x v="11"/>
    <x v="4"/>
  </r>
  <r>
    <x v="2"/>
    <s v="card"/>
    <n v="35.76"/>
    <x v="4"/>
    <x v="1"/>
    <s v="Feb"/>
    <n v="2"/>
    <n v="2"/>
    <x v="347"/>
    <x v="11"/>
    <x v="4"/>
  </r>
  <r>
    <x v="2"/>
    <s v="card"/>
    <n v="25.96"/>
    <x v="2"/>
    <x v="1"/>
    <s v="Feb"/>
    <n v="2"/>
    <n v="2"/>
    <x v="347"/>
    <x v="11"/>
    <x v="4"/>
  </r>
  <r>
    <x v="2"/>
    <s v="card"/>
    <n v="30.86"/>
    <x v="3"/>
    <x v="1"/>
    <s v="Feb"/>
    <n v="2"/>
    <n v="2"/>
    <x v="347"/>
    <x v="11"/>
    <x v="4"/>
  </r>
  <r>
    <x v="9"/>
    <s v="card"/>
    <n v="35.76"/>
    <x v="1"/>
    <x v="2"/>
    <s v="Feb"/>
    <n v="2"/>
    <n v="2"/>
    <x v="347"/>
    <x v="11"/>
    <x v="4"/>
  </r>
  <r>
    <x v="9"/>
    <s v="card"/>
    <n v="30.86"/>
    <x v="3"/>
    <x v="2"/>
    <s v="Feb"/>
    <n v="2"/>
    <n v="2"/>
    <x v="347"/>
    <x v="11"/>
    <x v="4"/>
  </r>
  <r>
    <x v="9"/>
    <s v="card"/>
    <n v="21.06"/>
    <x v="6"/>
    <x v="2"/>
    <s v="Feb"/>
    <n v="2"/>
    <n v="2"/>
    <x v="347"/>
    <x v="11"/>
    <x v="4"/>
  </r>
  <r>
    <x v="9"/>
    <s v="card"/>
    <n v="35.76"/>
    <x v="4"/>
    <x v="2"/>
    <s v="Feb"/>
    <n v="2"/>
    <n v="2"/>
    <x v="347"/>
    <x v="11"/>
    <x v="4"/>
  </r>
  <r>
    <x v="9"/>
    <s v="card"/>
    <n v="35.76"/>
    <x v="4"/>
    <x v="2"/>
    <s v="Feb"/>
    <n v="2"/>
    <n v="2"/>
    <x v="347"/>
    <x v="11"/>
    <x v="4"/>
  </r>
  <r>
    <x v="6"/>
    <s v="card"/>
    <n v="35.76"/>
    <x v="4"/>
    <x v="2"/>
    <s v="Feb"/>
    <n v="2"/>
    <n v="2"/>
    <x v="347"/>
    <x v="11"/>
    <x v="4"/>
  </r>
  <r>
    <x v="11"/>
    <s v="card"/>
    <n v="35.76"/>
    <x v="4"/>
    <x v="2"/>
    <s v="Feb"/>
    <n v="2"/>
    <n v="2"/>
    <x v="347"/>
    <x v="11"/>
    <x v="4"/>
  </r>
  <r>
    <x v="11"/>
    <s v="card"/>
    <n v="35.76"/>
    <x v="1"/>
    <x v="2"/>
    <s v="Feb"/>
    <n v="2"/>
    <n v="2"/>
    <x v="347"/>
    <x v="11"/>
    <x v="4"/>
  </r>
  <r>
    <x v="15"/>
    <s v="card"/>
    <n v="30.86"/>
    <x v="3"/>
    <x v="2"/>
    <s v="Feb"/>
    <n v="2"/>
    <n v="2"/>
    <x v="347"/>
    <x v="11"/>
    <x v="4"/>
  </r>
  <r>
    <x v="12"/>
    <s v="card"/>
    <n v="35.76"/>
    <x v="7"/>
    <x v="0"/>
    <s v="Feb"/>
    <n v="3"/>
    <n v="2"/>
    <x v="348"/>
    <x v="11"/>
    <x v="5"/>
  </r>
  <r>
    <x v="12"/>
    <s v="card"/>
    <n v="25.96"/>
    <x v="2"/>
    <x v="0"/>
    <s v="Feb"/>
    <n v="3"/>
    <n v="2"/>
    <x v="348"/>
    <x v="11"/>
    <x v="5"/>
  </r>
  <r>
    <x v="12"/>
    <s v="card"/>
    <n v="25.96"/>
    <x v="2"/>
    <x v="0"/>
    <s v="Feb"/>
    <n v="3"/>
    <n v="2"/>
    <x v="348"/>
    <x v="11"/>
    <x v="5"/>
  </r>
  <r>
    <x v="10"/>
    <s v="card"/>
    <n v="35.76"/>
    <x v="7"/>
    <x v="0"/>
    <s v="Feb"/>
    <n v="3"/>
    <n v="2"/>
    <x v="348"/>
    <x v="11"/>
    <x v="5"/>
  </r>
  <r>
    <x v="0"/>
    <s v="card"/>
    <n v="25.96"/>
    <x v="2"/>
    <x v="0"/>
    <s v="Feb"/>
    <n v="3"/>
    <n v="2"/>
    <x v="348"/>
    <x v="11"/>
    <x v="5"/>
  </r>
  <r>
    <x v="0"/>
    <s v="card"/>
    <n v="35.76"/>
    <x v="1"/>
    <x v="0"/>
    <s v="Feb"/>
    <n v="3"/>
    <n v="2"/>
    <x v="348"/>
    <x v="11"/>
    <x v="5"/>
  </r>
  <r>
    <x v="0"/>
    <s v="card"/>
    <n v="30.86"/>
    <x v="3"/>
    <x v="0"/>
    <s v="Feb"/>
    <n v="3"/>
    <n v="2"/>
    <x v="348"/>
    <x v="11"/>
    <x v="5"/>
  </r>
  <r>
    <x v="1"/>
    <s v="card"/>
    <n v="25.96"/>
    <x v="2"/>
    <x v="1"/>
    <s v="Feb"/>
    <n v="3"/>
    <n v="2"/>
    <x v="348"/>
    <x v="11"/>
    <x v="5"/>
  </r>
  <r>
    <x v="1"/>
    <s v="card"/>
    <n v="35.76"/>
    <x v="4"/>
    <x v="1"/>
    <s v="Feb"/>
    <n v="3"/>
    <n v="2"/>
    <x v="348"/>
    <x v="11"/>
    <x v="5"/>
  </r>
  <r>
    <x v="2"/>
    <s v="card"/>
    <n v="25.96"/>
    <x v="2"/>
    <x v="1"/>
    <s v="Feb"/>
    <n v="3"/>
    <n v="2"/>
    <x v="348"/>
    <x v="11"/>
    <x v="5"/>
  </r>
  <r>
    <x v="3"/>
    <s v="card"/>
    <n v="35.76"/>
    <x v="7"/>
    <x v="1"/>
    <s v="Feb"/>
    <n v="3"/>
    <n v="2"/>
    <x v="348"/>
    <x v="11"/>
    <x v="5"/>
  </r>
  <r>
    <x v="9"/>
    <s v="card"/>
    <n v="25.96"/>
    <x v="2"/>
    <x v="2"/>
    <s v="Feb"/>
    <n v="3"/>
    <n v="2"/>
    <x v="348"/>
    <x v="11"/>
    <x v="5"/>
  </r>
  <r>
    <x v="9"/>
    <s v="card"/>
    <n v="35.76"/>
    <x v="7"/>
    <x v="2"/>
    <s v="Feb"/>
    <n v="3"/>
    <n v="2"/>
    <x v="348"/>
    <x v="11"/>
    <x v="5"/>
  </r>
  <r>
    <x v="9"/>
    <s v="card"/>
    <n v="30.86"/>
    <x v="3"/>
    <x v="2"/>
    <s v="Feb"/>
    <n v="3"/>
    <n v="2"/>
    <x v="348"/>
    <x v="11"/>
    <x v="5"/>
  </r>
  <r>
    <x v="5"/>
    <s v="card"/>
    <n v="35.76"/>
    <x v="7"/>
    <x v="2"/>
    <s v="Feb"/>
    <n v="3"/>
    <n v="2"/>
    <x v="348"/>
    <x v="11"/>
    <x v="5"/>
  </r>
  <r>
    <x v="6"/>
    <s v="card"/>
    <n v="35.76"/>
    <x v="0"/>
    <x v="2"/>
    <s v="Feb"/>
    <n v="3"/>
    <n v="2"/>
    <x v="348"/>
    <x v="11"/>
    <x v="5"/>
  </r>
  <r>
    <x v="6"/>
    <s v="card"/>
    <n v="35.76"/>
    <x v="4"/>
    <x v="2"/>
    <s v="Feb"/>
    <n v="3"/>
    <n v="2"/>
    <x v="348"/>
    <x v="11"/>
    <x v="5"/>
  </r>
  <r>
    <x v="6"/>
    <s v="card"/>
    <n v="35.76"/>
    <x v="1"/>
    <x v="2"/>
    <s v="Feb"/>
    <n v="3"/>
    <n v="2"/>
    <x v="348"/>
    <x v="11"/>
    <x v="5"/>
  </r>
  <r>
    <x v="6"/>
    <s v="card"/>
    <n v="35.76"/>
    <x v="0"/>
    <x v="2"/>
    <s v="Feb"/>
    <n v="3"/>
    <n v="2"/>
    <x v="348"/>
    <x v="11"/>
    <x v="5"/>
  </r>
  <r>
    <x v="11"/>
    <s v="card"/>
    <n v="35.76"/>
    <x v="4"/>
    <x v="2"/>
    <s v="Feb"/>
    <n v="3"/>
    <n v="2"/>
    <x v="348"/>
    <x v="11"/>
    <x v="5"/>
  </r>
  <r>
    <x v="14"/>
    <s v="card"/>
    <n v="35.76"/>
    <x v="7"/>
    <x v="0"/>
    <s v="Feb"/>
    <n v="4"/>
    <n v="2"/>
    <x v="349"/>
    <x v="11"/>
    <x v="6"/>
  </r>
  <r>
    <x v="10"/>
    <s v="card"/>
    <n v="25.96"/>
    <x v="2"/>
    <x v="0"/>
    <s v="Feb"/>
    <n v="4"/>
    <n v="2"/>
    <x v="349"/>
    <x v="11"/>
    <x v="6"/>
  </r>
  <r>
    <x v="0"/>
    <s v="card"/>
    <n v="35.76"/>
    <x v="7"/>
    <x v="0"/>
    <s v="Feb"/>
    <n v="4"/>
    <n v="2"/>
    <x v="349"/>
    <x v="11"/>
    <x v="6"/>
  </r>
  <r>
    <x v="0"/>
    <s v="card"/>
    <n v="25.96"/>
    <x v="2"/>
    <x v="0"/>
    <s v="Feb"/>
    <n v="4"/>
    <n v="2"/>
    <x v="349"/>
    <x v="11"/>
    <x v="6"/>
  </r>
  <r>
    <x v="0"/>
    <s v="card"/>
    <n v="25.96"/>
    <x v="2"/>
    <x v="0"/>
    <s v="Feb"/>
    <n v="4"/>
    <n v="2"/>
    <x v="349"/>
    <x v="11"/>
    <x v="6"/>
  </r>
  <r>
    <x v="0"/>
    <s v="card"/>
    <n v="25.96"/>
    <x v="2"/>
    <x v="0"/>
    <s v="Feb"/>
    <n v="4"/>
    <n v="2"/>
    <x v="349"/>
    <x v="11"/>
    <x v="6"/>
  </r>
  <r>
    <x v="2"/>
    <s v="card"/>
    <n v="30.86"/>
    <x v="3"/>
    <x v="1"/>
    <s v="Feb"/>
    <n v="4"/>
    <n v="2"/>
    <x v="349"/>
    <x v="11"/>
    <x v="6"/>
  </r>
  <r>
    <x v="8"/>
    <s v="card"/>
    <n v="35.76"/>
    <x v="0"/>
    <x v="1"/>
    <s v="Feb"/>
    <n v="4"/>
    <n v="2"/>
    <x v="349"/>
    <x v="11"/>
    <x v="6"/>
  </r>
  <r>
    <x v="8"/>
    <s v="card"/>
    <n v="25.96"/>
    <x v="2"/>
    <x v="1"/>
    <s v="Feb"/>
    <n v="4"/>
    <n v="2"/>
    <x v="349"/>
    <x v="11"/>
    <x v="6"/>
  </r>
  <r>
    <x v="8"/>
    <s v="card"/>
    <n v="25.96"/>
    <x v="2"/>
    <x v="1"/>
    <s v="Feb"/>
    <n v="4"/>
    <n v="2"/>
    <x v="349"/>
    <x v="11"/>
    <x v="6"/>
  </r>
  <r>
    <x v="3"/>
    <s v="card"/>
    <n v="21.06"/>
    <x v="6"/>
    <x v="1"/>
    <s v="Feb"/>
    <n v="4"/>
    <n v="2"/>
    <x v="349"/>
    <x v="11"/>
    <x v="6"/>
  </r>
  <r>
    <x v="4"/>
    <s v="card"/>
    <n v="35.76"/>
    <x v="7"/>
    <x v="1"/>
    <s v="Feb"/>
    <n v="4"/>
    <n v="2"/>
    <x v="349"/>
    <x v="11"/>
    <x v="6"/>
  </r>
  <r>
    <x v="4"/>
    <s v="card"/>
    <n v="35.76"/>
    <x v="7"/>
    <x v="1"/>
    <s v="Feb"/>
    <n v="4"/>
    <n v="2"/>
    <x v="349"/>
    <x v="11"/>
    <x v="6"/>
  </r>
  <r>
    <x v="9"/>
    <s v="card"/>
    <n v="35.76"/>
    <x v="1"/>
    <x v="2"/>
    <s v="Feb"/>
    <n v="4"/>
    <n v="2"/>
    <x v="349"/>
    <x v="11"/>
    <x v="6"/>
  </r>
  <r>
    <x v="9"/>
    <s v="card"/>
    <n v="25.96"/>
    <x v="2"/>
    <x v="2"/>
    <s v="Feb"/>
    <n v="4"/>
    <n v="2"/>
    <x v="349"/>
    <x v="11"/>
    <x v="6"/>
  </r>
  <r>
    <x v="5"/>
    <s v="card"/>
    <n v="25.96"/>
    <x v="2"/>
    <x v="2"/>
    <s v="Feb"/>
    <n v="4"/>
    <n v="2"/>
    <x v="349"/>
    <x v="11"/>
    <x v="6"/>
  </r>
  <r>
    <x v="6"/>
    <s v="card"/>
    <n v="35.76"/>
    <x v="1"/>
    <x v="2"/>
    <s v="Feb"/>
    <n v="4"/>
    <n v="2"/>
    <x v="349"/>
    <x v="11"/>
    <x v="6"/>
  </r>
  <r>
    <x v="6"/>
    <s v="card"/>
    <n v="35.76"/>
    <x v="4"/>
    <x v="2"/>
    <s v="Feb"/>
    <n v="4"/>
    <n v="2"/>
    <x v="349"/>
    <x v="11"/>
    <x v="6"/>
  </r>
  <r>
    <x v="11"/>
    <s v="card"/>
    <n v="35.76"/>
    <x v="0"/>
    <x v="2"/>
    <s v="Feb"/>
    <n v="4"/>
    <n v="2"/>
    <x v="349"/>
    <x v="11"/>
    <x v="6"/>
  </r>
  <r>
    <x v="16"/>
    <s v="card"/>
    <n v="25.96"/>
    <x v="2"/>
    <x v="0"/>
    <s v="Feb"/>
    <n v="5"/>
    <n v="2"/>
    <x v="350"/>
    <x v="11"/>
    <x v="0"/>
  </r>
  <r>
    <x v="10"/>
    <s v="card"/>
    <n v="35.76"/>
    <x v="0"/>
    <x v="0"/>
    <s v="Feb"/>
    <n v="5"/>
    <n v="2"/>
    <x v="350"/>
    <x v="11"/>
    <x v="0"/>
  </r>
  <r>
    <x v="10"/>
    <s v="card"/>
    <n v="35.76"/>
    <x v="7"/>
    <x v="0"/>
    <s v="Feb"/>
    <n v="5"/>
    <n v="2"/>
    <x v="350"/>
    <x v="11"/>
    <x v="0"/>
  </r>
  <r>
    <x v="10"/>
    <s v="card"/>
    <n v="21.06"/>
    <x v="6"/>
    <x v="0"/>
    <s v="Feb"/>
    <n v="5"/>
    <n v="2"/>
    <x v="350"/>
    <x v="11"/>
    <x v="0"/>
  </r>
  <r>
    <x v="0"/>
    <s v="card"/>
    <n v="25.96"/>
    <x v="2"/>
    <x v="0"/>
    <s v="Feb"/>
    <n v="5"/>
    <n v="2"/>
    <x v="350"/>
    <x v="11"/>
    <x v="0"/>
  </r>
  <r>
    <x v="7"/>
    <s v="card"/>
    <n v="30.86"/>
    <x v="3"/>
    <x v="0"/>
    <s v="Feb"/>
    <n v="5"/>
    <n v="2"/>
    <x v="350"/>
    <x v="11"/>
    <x v="0"/>
  </r>
  <r>
    <x v="1"/>
    <s v="card"/>
    <n v="25.96"/>
    <x v="2"/>
    <x v="1"/>
    <s v="Feb"/>
    <n v="5"/>
    <n v="2"/>
    <x v="350"/>
    <x v="11"/>
    <x v="0"/>
  </r>
  <r>
    <x v="1"/>
    <s v="card"/>
    <n v="25.96"/>
    <x v="2"/>
    <x v="1"/>
    <s v="Feb"/>
    <n v="5"/>
    <n v="2"/>
    <x v="350"/>
    <x v="11"/>
    <x v="0"/>
  </r>
  <r>
    <x v="1"/>
    <s v="card"/>
    <n v="25.96"/>
    <x v="2"/>
    <x v="1"/>
    <s v="Feb"/>
    <n v="5"/>
    <n v="2"/>
    <x v="350"/>
    <x v="11"/>
    <x v="0"/>
  </r>
  <r>
    <x v="1"/>
    <s v="card"/>
    <n v="25.96"/>
    <x v="2"/>
    <x v="1"/>
    <s v="Feb"/>
    <n v="5"/>
    <n v="2"/>
    <x v="350"/>
    <x v="11"/>
    <x v="0"/>
  </r>
  <r>
    <x v="2"/>
    <s v="card"/>
    <n v="25.96"/>
    <x v="2"/>
    <x v="1"/>
    <s v="Feb"/>
    <n v="5"/>
    <n v="2"/>
    <x v="350"/>
    <x v="11"/>
    <x v="0"/>
  </r>
  <r>
    <x v="8"/>
    <s v="card"/>
    <n v="25.96"/>
    <x v="2"/>
    <x v="1"/>
    <s v="Feb"/>
    <n v="5"/>
    <n v="2"/>
    <x v="350"/>
    <x v="11"/>
    <x v="0"/>
  </r>
  <r>
    <x v="3"/>
    <s v="card"/>
    <n v="35.76"/>
    <x v="7"/>
    <x v="1"/>
    <s v="Feb"/>
    <n v="5"/>
    <n v="2"/>
    <x v="350"/>
    <x v="11"/>
    <x v="0"/>
  </r>
  <r>
    <x v="3"/>
    <s v="card"/>
    <n v="25.96"/>
    <x v="2"/>
    <x v="1"/>
    <s v="Feb"/>
    <n v="5"/>
    <n v="2"/>
    <x v="350"/>
    <x v="11"/>
    <x v="0"/>
  </r>
  <r>
    <x v="3"/>
    <s v="card"/>
    <n v="25.96"/>
    <x v="2"/>
    <x v="1"/>
    <s v="Feb"/>
    <n v="5"/>
    <n v="2"/>
    <x v="350"/>
    <x v="11"/>
    <x v="0"/>
  </r>
  <r>
    <x v="3"/>
    <s v="card"/>
    <n v="25.96"/>
    <x v="2"/>
    <x v="1"/>
    <s v="Feb"/>
    <n v="5"/>
    <n v="2"/>
    <x v="350"/>
    <x v="11"/>
    <x v="0"/>
  </r>
  <r>
    <x v="4"/>
    <s v="card"/>
    <n v="35.76"/>
    <x v="4"/>
    <x v="1"/>
    <s v="Feb"/>
    <n v="5"/>
    <n v="2"/>
    <x v="350"/>
    <x v="11"/>
    <x v="0"/>
  </r>
  <r>
    <x v="4"/>
    <s v="card"/>
    <n v="35.76"/>
    <x v="0"/>
    <x v="1"/>
    <s v="Feb"/>
    <n v="5"/>
    <n v="2"/>
    <x v="350"/>
    <x v="11"/>
    <x v="0"/>
  </r>
  <r>
    <x v="4"/>
    <s v="card"/>
    <n v="35.76"/>
    <x v="1"/>
    <x v="1"/>
    <s v="Feb"/>
    <n v="5"/>
    <n v="2"/>
    <x v="350"/>
    <x v="11"/>
    <x v="0"/>
  </r>
  <r>
    <x v="4"/>
    <s v="card"/>
    <n v="35.76"/>
    <x v="0"/>
    <x v="1"/>
    <s v="Feb"/>
    <n v="5"/>
    <n v="2"/>
    <x v="350"/>
    <x v="11"/>
    <x v="0"/>
  </r>
  <r>
    <x v="6"/>
    <s v="card"/>
    <n v="35.76"/>
    <x v="4"/>
    <x v="2"/>
    <s v="Feb"/>
    <n v="5"/>
    <n v="2"/>
    <x v="350"/>
    <x v="11"/>
    <x v="0"/>
  </r>
  <r>
    <x v="6"/>
    <s v="card"/>
    <n v="35.76"/>
    <x v="4"/>
    <x v="2"/>
    <s v="Feb"/>
    <n v="5"/>
    <n v="2"/>
    <x v="350"/>
    <x v="11"/>
    <x v="0"/>
  </r>
  <r>
    <x v="6"/>
    <s v="card"/>
    <n v="35.76"/>
    <x v="7"/>
    <x v="2"/>
    <s v="Feb"/>
    <n v="5"/>
    <n v="2"/>
    <x v="350"/>
    <x v="11"/>
    <x v="0"/>
  </r>
  <r>
    <x v="0"/>
    <s v="card"/>
    <n v="35.76"/>
    <x v="1"/>
    <x v="0"/>
    <s v="Feb"/>
    <n v="6"/>
    <n v="2"/>
    <x v="351"/>
    <x v="11"/>
    <x v="1"/>
  </r>
  <r>
    <x v="7"/>
    <s v="card"/>
    <n v="25.96"/>
    <x v="2"/>
    <x v="0"/>
    <s v="Feb"/>
    <n v="6"/>
    <n v="2"/>
    <x v="351"/>
    <x v="11"/>
    <x v="1"/>
  </r>
  <r>
    <x v="7"/>
    <s v="card"/>
    <n v="25.96"/>
    <x v="2"/>
    <x v="0"/>
    <s v="Feb"/>
    <n v="6"/>
    <n v="2"/>
    <x v="351"/>
    <x v="11"/>
    <x v="1"/>
  </r>
  <r>
    <x v="1"/>
    <s v="card"/>
    <n v="21.06"/>
    <x v="6"/>
    <x v="1"/>
    <s v="Feb"/>
    <n v="6"/>
    <n v="2"/>
    <x v="351"/>
    <x v="11"/>
    <x v="1"/>
  </r>
  <r>
    <x v="3"/>
    <s v="card"/>
    <n v="30.86"/>
    <x v="3"/>
    <x v="1"/>
    <s v="Feb"/>
    <n v="6"/>
    <n v="2"/>
    <x v="351"/>
    <x v="11"/>
    <x v="1"/>
  </r>
  <r>
    <x v="0"/>
    <s v="card"/>
    <n v="30.86"/>
    <x v="3"/>
    <x v="0"/>
    <s v="Feb"/>
    <n v="7"/>
    <n v="2"/>
    <x v="352"/>
    <x v="11"/>
    <x v="2"/>
  </r>
  <r>
    <x v="1"/>
    <s v="card"/>
    <n v="30.86"/>
    <x v="3"/>
    <x v="1"/>
    <s v="Feb"/>
    <n v="7"/>
    <n v="2"/>
    <x v="352"/>
    <x v="11"/>
    <x v="2"/>
  </r>
  <r>
    <x v="1"/>
    <s v="card"/>
    <n v="30.86"/>
    <x v="3"/>
    <x v="1"/>
    <s v="Feb"/>
    <n v="7"/>
    <n v="2"/>
    <x v="352"/>
    <x v="11"/>
    <x v="2"/>
  </r>
  <r>
    <x v="2"/>
    <s v="card"/>
    <n v="35.76"/>
    <x v="7"/>
    <x v="1"/>
    <s v="Feb"/>
    <n v="7"/>
    <n v="2"/>
    <x v="352"/>
    <x v="11"/>
    <x v="2"/>
  </r>
  <r>
    <x v="8"/>
    <s v="card"/>
    <n v="35.76"/>
    <x v="4"/>
    <x v="1"/>
    <s v="Feb"/>
    <n v="7"/>
    <n v="2"/>
    <x v="352"/>
    <x v="11"/>
    <x v="2"/>
  </r>
  <r>
    <x v="9"/>
    <s v="card"/>
    <n v="25.96"/>
    <x v="2"/>
    <x v="2"/>
    <s v="Feb"/>
    <n v="7"/>
    <n v="2"/>
    <x v="352"/>
    <x v="11"/>
    <x v="2"/>
  </r>
  <r>
    <x v="10"/>
    <s v="card"/>
    <n v="30.86"/>
    <x v="3"/>
    <x v="0"/>
    <s v="Feb"/>
    <n v="1"/>
    <n v="2"/>
    <x v="353"/>
    <x v="11"/>
    <x v="3"/>
  </r>
  <r>
    <x v="10"/>
    <s v="card"/>
    <n v="35.76"/>
    <x v="0"/>
    <x v="0"/>
    <s v="Feb"/>
    <n v="1"/>
    <n v="2"/>
    <x v="353"/>
    <x v="11"/>
    <x v="3"/>
  </r>
  <r>
    <x v="0"/>
    <s v="card"/>
    <n v="25.96"/>
    <x v="2"/>
    <x v="0"/>
    <s v="Feb"/>
    <n v="1"/>
    <n v="2"/>
    <x v="353"/>
    <x v="11"/>
    <x v="3"/>
  </r>
  <r>
    <x v="0"/>
    <s v="card"/>
    <n v="30.86"/>
    <x v="3"/>
    <x v="0"/>
    <s v="Feb"/>
    <n v="1"/>
    <n v="2"/>
    <x v="353"/>
    <x v="11"/>
    <x v="3"/>
  </r>
  <r>
    <x v="0"/>
    <s v="card"/>
    <n v="30.86"/>
    <x v="3"/>
    <x v="0"/>
    <s v="Feb"/>
    <n v="1"/>
    <n v="2"/>
    <x v="353"/>
    <x v="11"/>
    <x v="3"/>
  </r>
  <r>
    <x v="0"/>
    <s v="card"/>
    <n v="35.76"/>
    <x v="4"/>
    <x v="0"/>
    <s v="Feb"/>
    <n v="1"/>
    <n v="2"/>
    <x v="353"/>
    <x v="11"/>
    <x v="3"/>
  </r>
  <r>
    <x v="1"/>
    <s v="card"/>
    <n v="35.76"/>
    <x v="0"/>
    <x v="1"/>
    <s v="Feb"/>
    <n v="1"/>
    <n v="2"/>
    <x v="353"/>
    <x v="11"/>
    <x v="3"/>
  </r>
  <r>
    <x v="2"/>
    <s v="card"/>
    <n v="35.76"/>
    <x v="4"/>
    <x v="1"/>
    <s v="Feb"/>
    <n v="1"/>
    <n v="2"/>
    <x v="353"/>
    <x v="11"/>
    <x v="3"/>
  </r>
  <r>
    <x v="3"/>
    <s v="card"/>
    <n v="30.86"/>
    <x v="3"/>
    <x v="1"/>
    <s v="Feb"/>
    <n v="1"/>
    <n v="2"/>
    <x v="353"/>
    <x v="11"/>
    <x v="3"/>
  </r>
  <r>
    <x v="4"/>
    <s v="card"/>
    <n v="35.76"/>
    <x v="4"/>
    <x v="1"/>
    <s v="Feb"/>
    <n v="1"/>
    <n v="2"/>
    <x v="353"/>
    <x v="11"/>
    <x v="3"/>
  </r>
  <r>
    <x v="4"/>
    <s v="card"/>
    <n v="35.76"/>
    <x v="7"/>
    <x v="1"/>
    <s v="Feb"/>
    <n v="1"/>
    <n v="2"/>
    <x v="353"/>
    <x v="11"/>
    <x v="3"/>
  </r>
  <r>
    <x v="4"/>
    <s v="card"/>
    <n v="35.76"/>
    <x v="0"/>
    <x v="1"/>
    <s v="Feb"/>
    <n v="1"/>
    <n v="2"/>
    <x v="353"/>
    <x v="11"/>
    <x v="3"/>
  </r>
  <r>
    <x v="4"/>
    <s v="card"/>
    <n v="25.96"/>
    <x v="2"/>
    <x v="1"/>
    <s v="Feb"/>
    <n v="1"/>
    <n v="2"/>
    <x v="353"/>
    <x v="11"/>
    <x v="3"/>
  </r>
  <r>
    <x v="9"/>
    <s v="card"/>
    <n v="25.96"/>
    <x v="2"/>
    <x v="2"/>
    <s v="Feb"/>
    <n v="1"/>
    <n v="2"/>
    <x v="353"/>
    <x v="11"/>
    <x v="3"/>
  </r>
  <r>
    <x v="9"/>
    <s v="card"/>
    <n v="30.86"/>
    <x v="3"/>
    <x v="2"/>
    <s v="Feb"/>
    <n v="1"/>
    <n v="2"/>
    <x v="353"/>
    <x v="11"/>
    <x v="3"/>
  </r>
  <r>
    <x v="5"/>
    <s v="card"/>
    <n v="30.86"/>
    <x v="3"/>
    <x v="2"/>
    <s v="Feb"/>
    <n v="1"/>
    <n v="2"/>
    <x v="353"/>
    <x v="11"/>
    <x v="3"/>
  </r>
  <r>
    <x v="5"/>
    <s v="card"/>
    <n v="35.76"/>
    <x v="0"/>
    <x v="2"/>
    <s v="Feb"/>
    <n v="1"/>
    <n v="2"/>
    <x v="353"/>
    <x v="11"/>
    <x v="3"/>
  </r>
  <r>
    <x v="6"/>
    <s v="card"/>
    <n v="30.86"/>
    <x v="3"/>
    <x v="2"/>
    <s v="Feb"/>
    <n v="1"/>
    <n v="2"/>
    <x v="353"/>
    <x v="11"/>
    <x v="3"/>
  </r>
  <r>
    <x v="6"/>
    <s v="card"/>
    <n v="35.76"/>
    <x v="1"/>
    <x v="2"/>
    <s v="Feb"/>
    <n v="1"/>
    <n v="2"/>
    <x v="353"/>
    <x v="11"/>
    <x v="3"/>
  </r>
  <r>
    <x v="6"/>
    <s v="card"/>
    <n v="35.76"/>
    <x v="0"/>
    <x v="2"/>
    <s v="Feb"/>
    <n v="1"/>
    <n v="2"/>
    <x v="353"/>
    <x v="11"/>
    <x v="3"/>
  </r>
  <r>
    <x v="6"/>
    <s v="card"/>
    <n v="35.76"/>
    <x v="4"/>
    <x v="2"/>
    <s v="Feb"/>
    <n v="1"/>
    <n v="2"/>
    <x v="353"/>
    <x v="11"/>
    <x v="3"/>
  </r>
  <r>
    <x v="11"/>
    <s v="card"/>
    <n v="35.76"/>
    <x v="4"/>
    <x v="2"/>
    <s v="Feb"/>
    <n v="1"/>
    <n v="2"/>
    <x v="353"/>
    <x v="11"/>
    <x v="3"/>
  </r>
  <r>
    <x v="12"/>
    <s v="card"/>
    <n v="30.86"/>
    <x v="3"/>
    <x v="0"/>
    <s v="Feb"/>
    <n v="2"/>
    <n v="2"/>
    <x v="354"/>
    <x v="11"/>
    <x v="4"/>
  </r>
  <r>
    <x v="12"/>
    <s v="card"/>
    <n v="25.96"/>
    <x v="2"/>
    <x v="0"/>
    <s v="Feb"/>
    <n v="2"/>
    <n v="2"/>
    <x v="354"/>
    <x v="11"/>
    <x v="4"/>
  </r>
  <r>
    <x v="12"/>
    <s v="card"/>
    <n v="30.86"/>
    <x v="3"/>
    <x v="0"/>
    <s v="Feb"/>
    <n v="2"/>
    <n v="2"/>
    <x v="354"/>
    <x v="11"/>
    <x v="4"/>
  </r>
  <r>
    <x v="0"/>
    <s v="card"/>
    <n v="21.06"/>
    <x v="6"/>
    <x v="0"/>
    <s v="Feb"/>
    <n v="2"/>
    <n v="2"/>
    <x v="354"/>
    <x v="11"/>
    <x v="4"/>
  </r>
  <r>
    <x v="7"/>
    <s v="card"/>
    <n v="25.96"/>
    <x v="2"/>
    <x v="0"/>
    <s v="Feb"/>
    <n v="2"/>
    <n v="2"/>
    <x v="354"/>
    <x v="11"/>
    <x v="4"/>
  </r>
  <r>
    <x v="7"/>
    <s v="card"/>
    <n v="25.96"/>
    <x v="2"/>
    <x v="0"/>
    <s v="Feb"/>
    <n v="2"/>
    <n v="2"/>
    <x v="354"/>
    <x v="11"/>
    <x v="4"/>
  </r>
  <r>
    <x v="1"/>
    <s v="card"/>
    <n v="35.76"/>
    <x v="7"/>
    <x v="1"/>
    <s v="Feb"/>
    <n v="2"/>
    <n v="2"/>
    <x v="354"/>
    <x v="11"/>
    <x v="4"/>
  </r>
  <r>
    <x v="8"/>
    <s v="card"/>
    <n v="35.76"/>
    <x v="7"/>
    <x v="1"/>
    <s v="Feb"/>
    <n v="2"/>
    <n v="2"/>
    <x v="354"/>
    <x v="11"/>
    <x v="4"/>
  </r>
  <r>
    <x v="4"/>
    <s v="card"/>
    <n v="25.96"/>
    <x v="2"/>
    <x v="1"/>
    <s v="Feb"/>
    <n v="2"/>
    <n v="2"/>
    <x v="354"/>
    <x v="11"/>
    <x v="4"/>
  </r>
  <r>
    <x v="4"/>
    <s v="card"/>
    <n v="25.96"/>
    <x v="2"/>
    <x v="1"/>
    <s v="Feb"/>
    <n v="2"/>
    <n v="2"/>
    <x v="354"/>
    <x v="11"/>
    <x v="4"/>
  </r>
  <r>
    <x v="5"/>
    <s v="card"/>
    <n v="35.76"/>
    <x v="4"/>
    <x v="2"/>
    <s v="Feb"/>
    <n v="2"/>
    <n v="2"/>
    <x v="354"/>
    <x v="11"/>
    <x v="4"/>
  </r>
  <r>
    <x v="6"/>
    <s v="card"/>
    <n v="35.76"/>
    <x v="7"/>
    <x v="2"/>
    <s v="Feb"/>
    <n v="2"/>
    <n v="2"/>
    <x v="354"/>
    <x v="11"/>
    <x v="4"/>
  </r>
  <r>
    <x v="12"/>
    <s v="card"/>
    <n v="25.96"/>
    <x v="2"/>
    <x v="0"/>
    <s v="Feb"/>
    <n v="3"/>
    <n v="2"/>
    <x v="355"/>
    <x v="11"/>
    <x v="5"/>
  </r>
  <r>
    <x v="0"/>
    <s v="card"/>
    <n v="30.86"/>
    <x v="3"/>
    <x v="0"/>
    <s v="Feb"/>
    <n v="3"/>
    <n v="2"/>
    <x v="355"/>
    <x v="11"/>
    <x v="5"/>
  </r>
  <r>
    <x v="0"/>
    <s v="card"/>
    <n v="30.86"/>
    <x v="3"/>
    <x v="0"/>
    <s v="Feb"/>
    <n v="3"/>
    <n v="2"/>
    <x v="355"/>
    <x v="11"/>
    <x v="5"/>
  </r>
  <r>
    <x v="0"/>
    <s v="card"/>
    <n v="35.76"/>
    <x v="1"/>
    <x v="0"/>
    <s v="Feb"/>
    <n v="3"/>
    <n v="2"/>
    <x v="355"/>
    <x v="11"/>
    <x v="5"/>
  </r>
  <r>
    <x v="2"/>
    <s v="card"/>
    <n v="35.76"/>
    <x v="4"/>
    <x v="1"/>
    <s v="Feb"/>
    <n v="3"/>
    <n v="2"/>
    <x v="355"/>
    <x v="11"/>
    <x v="5"/>
  </r>
  <r>
    <x v="2"/>
    <s v="card"/>
    <n v="35.76"/>
    <x v="0"/>
    <x v="1"/>
    <s v="Feb"/>
    <n v="3"/>
    <n v="2"/>
    <x v="355"/>
    <x v="11"/>
    <x v="5"/>
  </r>
  <r>
    <x v="3"/>
    <s v="card"/>
    <n v="25.96"/>
    <x v="2"/>
    <x v="1"/>
    <s v="Feb"/>
    <n v="3"/>
    <n v="2"/>
    <x v="355"/>
    <x v="11"/>
    <x v="5"/>
  </r>
  <r>
    <x v="3"/>
    <s v="card"/>
    <n v="25.96"/>
    <x v="2"/>
    <x v="1"/>
    <s v="Feb"/>
    <n v="3"/>
    <n v="2"/>
    <x v="355"/>
    <x v="11"/>
    <x v="5"/>
  </r>
  <r>
    <x v="3"/>
    <s v="card"/>
    <n v="25.96"/>
    <x v="5"/>
    <x v="1"/>
    <s v="Feb"/>
    <n v="3"/>
    <n v="2"/>
    <x v="355"/>
    <x v="11"/>
    <x v="5"/>
  </r>
  <r>
    <x v="3"/>
    <s v="card"/>
    <n v="35.76"/>
    <x v="1"/>
    <x v="1"/>
    <s v="Feb"/>
    <n v="3"/>
    <n v="2"/>
    <x v="355"/>
    <x v="11"/>
    <x v="5"/>
  </r>
  <r>
    <x v="3"/>
    <s v="card"/>
    <n v="25.96"/>
    <x v="2"/>
    <x v="1"/>
    <s v="Feb"/>
    <n v="3"/>
    <n v="2"/>
    <x v="355"/>
    <x v="11"/>
    <x v="5"/>
  </r>
  <r>
    <x v="3"/>
    <s v="card"/>
    <n v="25.96"/>
    <x v="2"/>
    <x v="1"/>
    <s v="Feb"/>
    <n v="3"/>
    <n v="2"/>
    <x v="355"/>
    <x v="11"/>
    <x v="5"/>
  </r>
  <r>
    <x v="4"/>
    <s v="card"/>
    <n v="35.76"/>
    <x v="0"/>
    <x v="1"/>
    <s v="Feb"/>
    <n v="3"/>
    <n v="2"/>
    <x v="355"/>
    <x v="11"/>
    <x v="5"/>
  </r>
  <r>
    <x v="4"/>
    <s v="card"/>
    <n v="35.76"/>
    <x v="1"/>
    <x v="1"/>
    <s v="Feb"/>
    <n v="3"/>
    <n v="2"/>
    <x v="355"/>
    <x v="11"/>
    <x v="5"/>
  </r>
  <r>
    <x v="4"/>
    <s v="card"/>
    <n v="35.76"/>
    <x v="0"/>
    <x v="1"/>
    <s v="Feb"/>
    <n v="3"/>
    <n v="2"/>
    <x v="355"/>
    <x v="11"/>
    <x v="5"/>
  </r>
  <r>
    <x v="9"/>
    <s v="card"/>
    <n v="30.86"/>
    <x v="3"/>
    <x v="2"/>
    <s v="Feb"/>
    <n v="3"/>
    <n v="2"/>
    <x v="355"/>
    <x v="11"/>
    <x v="5"/>
  </r>
  <r>
    <x v="5"/>
    <s v="card"/>
    <n v="35.76"/>
    <x v="0"/>
    <x v="2"/>
    <s v="Feb"/>
    <n v="3"/>
    <n v="2"/>
    <x v="355"/>
    <x v="11"/>
    <x v="5"/>
  </r>
  <r>
    <x v="5"/>
    <s v="card"/>
    <n v="35.76"/>
    <x v="7"/>
    <x v="2"/>
    <s v="Feb"/>
    <n v="3"/>
    <n v="2"/>
    <x v="355"/>
    <x v="11"/>
    <x v="5"/>
  </r>
  <r>
    <x v="14"/>
    <s v="card"/>
    <n v="35.76"/>
    <x v="7"/>
    <x v="0"/>
    <s v="Feb"/>
    <n v="4"/>
    <n v="2"/>
    <x v="356"/>
    <x v="11"/>
    <x v="6"/>
  </r>
  <r>
    <x v="14"/>
    <s v="card"/>
    <n v="35.76"/>
    <x v="7"/>
    <x v="0"/>
    <s v="Feb"/>
    <n v="4"/>
    <n v="2"/>
    <x v="356"/>
    <x v="11"/>
    <x v="6"/>
  </r>
  <r>
    <x v="0"/>
    <s v="card"/>
    <n v="21.06"/>
    <x v="6"/>
    <x v="0"/>
    <s v="Feb"/>
    <n v="4"/>
    <n v="2"/>
    <x v="356"/>
    <x v="11"/>
    <x v="6"/>
  </r>
  <r>
    <x v="7"/>
    <s v="card"/>
    <n v="35.76"/>
    <x v="4"/>
    <x v="0"/>
    <s v="Feb"/>
    <n v="4"/>
    <n v="2"/>
    <x v="356"/>
    <x v="11"/>
    <x v="6"/>
  </r>
  <r>
    <x v="1"/>
    <s v="card"/>
    <n v="35.76"/>
    <x v="4"/>
    <x v="1"/>
    <s v="Feb"/>
    <n v="4"/>
    <n v="2"/>
    <x v="356"/>
    <x v="11"/>
    <x v="6"/>
  </r>
  <r>
    <x v="2"/>
    <s v="card"/>
    <n v="30.86"/>
    <x v="3"/>
    <x v="1"/>
    <s v="Feb"/>
    <n v="4"/>
    <n v="2"/>
    <x v="356"/>
    <x v="11"/>
    <x v="6"/>
  </r>
  <r>
    <x v="8"/>
    <s v="card"/>
    <n v="25.96"/>
    <x v="2"/>
    <x v="1"/>
    <s v="Feb"/>
    <n v="4"/>
    <n v="2"/>
    <x v="356"/>
    <x v="11"/>
    <x v="6"/>
  </r>
  <r>
    <x v="8"/>
    <s v="card"/>
    <n v="35.76"/>
    <x v="0"/>
    <x v="1"/>
    <s v="Feb"/>
    <n v="4"/>
    <n v="2"/>
    <x v="356"/>
    <x v="11"/>
    <x v="6"/>
  </r>
  <r>
    <x v="3"/>
    <s v="card"/>
    <n v="25.96"/>
    <x v="2"/>
    <x v="1"/>
    <s v="Feb"/>
    <n v="4"/>
    <n v="2"/>
    <x v="356"/>
    <x v="11"/>
    <x v="6"/>
  </r>
  <r>
    <x v="4"/>
    <s v="card"/>
    <n v="25.96"/>
    <x v="2"/>
    <x v="1"/>
    <s v="Feb"/>
    <n v="4"/>
    <n v="2"/>
    <x v="356"/>
    <x v="11"/>
    <x v="6"/>
  </r>
  <r>
    <x v="9"/>
    <s v="card"/>
    <n v="25.96"/>
    <x v="2"/>
    <x v="2"/>
    <s v="Feb"/>
    <n v="4"/>
    <n v="2"/>
    <x v="356"/>
    <x v="11"/>
    <x v="6"/>
  </r>
  <r>
    <x v="9"/>
    <s v="card"/>
    <n v="25.96"/>
    <x v="2"/>
    <x v="2"/>
    <s v="Feb"/>
    <n v="4"/>
    <n v="2"/>
    <x v="356"/>
    <x v="11"/>
    <x v="6"/>
  </r>
  <r>
    <x v="9"/>
    <s v="card"/>
    <n v="35.76"/>
    <x v="0"/>
    <x v="2"/>
    <s v="Feb"/>
    <n v="4"/>
    <n v="2"/>
    <x v="356"/>
    <x v="11"/>
    <x v="6"/>
  </r>
  <r>
    <x v="5"/>
    <s v="card"/>
    <n v="35.76"/>
    <x v="0"/>
    <x v="2"/>
    <s v="Feb"/>
    <n v="4"/>
    <n v="2"/>
    <x v="356"/>
    <x v="11"/>
    <x v="6"/>
  </r>
  <r>
    <x v="5"/>
    <s v="card"/>
    <n v="35.76"/>
    <x v="7"/>
    <x v="2"/>
    <s v="Feb"/>
    <n v="4"/>
    <n v="2"/>
    <x v="356"/>
    <x v="11"/>
    <x v="6"/>
  </r>
  <r>
    <x v="5"/>
    <s v="card"/>
    <n v="35.76"/>
    <x v="4"/>
    <x v="2"/>
    <s v="Feb"/>
    <n v="4"/>
    <n v="2"/>
    <x v="356"/>
    <x v="11"/>
    <x v="6"/>
  </r>
  <r>
    <x v="5"/>
    <s v="card"/>
    <n v="35.76"/>
    <x v="4"/>
    <x v="2"/>
    <s v="Feb"/>
    <n v="4"/>
    <n v="2"/>
    <x v="356"/>
    <x v="11"/>
    <x v="6"/>
  </r>
  <r>
    <x v="6"/>
    <s v="card"/>
    <n v="35.76"/>
    <x v="0"/>
    <x v="2"/>
    <s v="Feb"/>
    <n v="4"/>
    <n v="2"/>
    <x v="356"/>
    <x v="11"/>
    <x v="6"/>
  </r>
  <r>
    <x v="11"/>
    <s v="card"/>
    <n v="35.76"/>
    <x v="7"/>
    <x v="2"/>
    <s v="Feb"/>
    <n v="4"/>
    <n v="2"/>
    <x v="356"/>
    <x v="11"/>
    <x v="6"/>
  </r>
  <r>
    <x v="16"/>
    <s v="card"/>
    <n v="30.86"/>
    <x v="3"/>
    <x v="0"/>
    <s v="Feb"/>
    <n v="5"/>
    <n v="2"/>
    <x v="357"/>
    <x v="11"/>
    <x v="0"/>
  </r>
  <r>
    <x v="16"/>
    <s v="card"/>
    <n v="30.86"/>
    <x v="3"/>
    <x v="0"/>
    <s v="Feb"/>
    <n v="5"/>
    <n v="2"/>
    <x v="357"/>
    <x v="11"/>
    <x v="0"/>
  </r>
  <r>
    <x v="14"/>
    <s v="card"/>
    <n v="35.76"/>
    <x v="7"/>
    <x v="0"/>
    <s v="Feb"/>
    <n v="5"/>
    <n v="2"/>
    <x v="357"/>
    <x v="11"/>
    <x v="0"/>
  </r>
  <r>
    <x v="12"/>
    <s v="card"/>
    <n v="21.06"/>
    <x v="6"/>
    <x v="0"/>
    <s v="Feb"/>
    <n v="5"/>
    <n v="2"/>
    <x v="357"/>
    <x v="11"/>
    <x v="0"/>
  </r>
  <r>
    <x v="10"/>
    <s v="card"/>
    <n v="30.86"/>
    <x v="3"/>
    <x v="0"/>
    <s v="Feb"/>
    <n v="5"/>
    <n v="2"/>
    <x v="357"/>
    <x v="11"/>
    <x v="0"/>
  </r>
  <r>
    <x v="8"/>
    <s v="card"/>
    <n v="25.96"/>
    <x v="2"/>
    <x v="1"/>
    <s v="Feb"/>
    <n v="5"/>
    <n v="2"/>
    <x v="357"/>
    <x v="11"/>
    <x v="0"/>
  </r>
  <r>
    <x v="8"/>
    <s v="card"/>
    <n v="25.96"/>
    <x v="2"/>
    <x v="1"/>
    <s v="Feb"/>
    <n v="5"/>
    <n v="2"/>
    <x v="357"/>
    <x v="11"/>
    <x v="0"/>
  </r>
  <r>
    <x v="8"/>
    <s v="card"/>
    <n v="25.96"/>
    <x v="2"/>
    <x v="1"/>
    <s v="Feb"/>
    <n v="5"/>
    <n v="2"/>
    <x v="357"/>
    <x v="11"/>
    <x v="0"/>
  </r>
  <r>
    <x v="8"/>
    <s v="card"/>
    <n v="35.76"/>
    <x v="0"/>
    <x v="1"/>
    <s v="Feb"/>
    <n v="5"/>
    <n v="2"/>
    <x v="357"/>
    <x v="11"/>
    <x v="0"/>
  </r>
  <r>
    <x v="3"/>
    <s v="card"/>
    <n v="25.96"/>
    <x v="2"/>
    <x v="1"/>
    <s v="Feb"/>
    <n v="5"/>
    <n v="2"/>
    <x v="357"/>
    <x v="11"/>
    <x v="0"/>
  </r>
  <r>
    <x v="4"/>
    <s v="card"/>
    <n v="35.76"/>
    <x v="4"/>
    <x v="1"/>
    <s v="Feb"/>
    <n v="5"/>
    <n v="2"/>
    <x v="357"/>
    <x v="11"/>
    <x v="0"/>
  </r>
  <r>
    <x v="4"/>
    <s v="card"/>
    <n v="25.96"/>
    <x v="2"/>
    <x v="1"/>
    <s v="Feb"/>
    <n v="5"/>
    <n v="2"/>
    <x v="357"/>
    <x v="11"/>
    <x v="0"/>
  </r>
  <r>
    <x v="9"/>
    <s v="card"/>
    <n v="35.76"/>
    <x v="0"/>
    <x v="2"/>
    <s v="Feb"/>
    <n v="5"/>
    <n v="2"/>
    <x v="357"/>
    <x v="11"/>
    <x v="0"/>
  </r>
  <r>
    <x v="9"/>
    <s v="card"/>
    <n v="30.86"/>
    <x v="3"/>
    <x v="2"/>
    <s v="Feb"/>
    <n v="5"/>
    <n v="2"/>
    <x v="357"/>
    <x v="11"/>
    <x v="0"/>
  </r>
  <r>
    <x v="9"/>
    <s v="card"/>
    <n v="25.96"/>
    <x v="2"/>
    <x v="2"/>
    <s v="Feb"/>
    <n v="5"/>
    <n v="2"/>
    <x v="357"/>
    <x v="11"/>
    <x v="0"/>
  </r>
  <r>
    <x v="9"/>
    <s v="card"/>
    <n v="25.96"/>
    <x v="2"/>
    <x v="2"/>
    <s v="Feb"/>
    <n v="5"/>
    <n v="2"/>
    <x v="357"/>
    <x v="11"/>
    <x v="0"/>
  </r>
  <r>
    <x v="5"/>
    <s v="card"/>
    <n v="35.76"/>
    <x v="0"/>
    <x v="2"/>
    <s v="Feb"/>
    <n v="5"/>
    <n v="2"/>
    <x v="357"/>
    <x v="11"/>
    <x v="0"/>
  </r>
  <r>
    <x v="0"/>
    <s v="card"/>
    <n v="35.76"/>
    <x v="7"/>
    <x v="0"/>
    <s v="Mar"/>
    <n v="6"/>
    <n v="3"/>
    <x v="358"/>
    <x v="12"/>
    <x v="1"/>
  </r>
  <r>
    <x v="7"/>
    <s v="card"/>
    <n v="25.96"/>
    <x v="2"/>
    <x v="0"/>
    <s v="Mar"/>
    <n v="6"/>
    <n v="3"/>
    <x v="358"/>
    <x v="12"/>
    <x v="1"/>
  </r>
  <r>
    <x v="7"/>
    <s v="card"/>
    <n v="25.96"/>
    <x v="2"/>
    <x v="0"/>
    <s v="Mar"/>
    <n v="6"/>
    <n v="3"/>
    <x v="358"/>
    <x v="12"/>
    <x v="1"/>
  </r>
  <r>
    <x v="8"/>
    <s v="card"/>
    <n v="35.76"/>
    <x v="0"/>
    <x v="1"/>
    <s v="Mar"/>
    <n v="6"/>
    <n v="3"/>
    <x v="358"/>
    <x v="12"/>
    <x v="1"/>
  </r>
  <r>
    <x v="3"/>
    <s v="card"/>
    <n v="25.96"/>
    <x v="2"/>
    <x v="1"/>
    <s v="Mar"/>
    <n v="6"/>
    <n v="3"/>
    <x v="358"/>
    <x v="12"/>
    <x v="1"/>
  </r>
  <r>
    <x v="3"/>
    <s v="card"/>
    <n v="30.86"/>
    <x v="3"/>
    <x v="1"/>
    <s v="Mar"/>
    <n v="6"/>
    <n v="3"/>
    <x v="358"/>
    <x v="12"/>
    <x v="1"/>
  </r>
  <r>
    <x v="4"/>
    <s v="card"/>
    <n v="35.76"/>
    <x v="7"/>
    <x v="1"/>
    <s v="Mar"/>
    <n v="6"/>
    <n v="3"/>
    <x v="358"/>
    <x v="12"/>
    <x v="1"/>
  </r>
  <r>
    <x v="9"/>
    <s v="card"/>
    <n v="25.96"/>
    <x v="2"/>
    <x v="2"/>
    <s v="Mar"/>
    <n v="6"/>
    <n v="3"/>
    <x v="358"/>
    <x v="12"/>
    <x v="1"/>
  </r>
  <r>
    <x v="10"/>
    <s v="card"/>
    <n v="35.76"/>
    <x v="4"/>
    <x v="0"/>
    <s v="Mar"/>
    <n v="7"/>
    <n v="3"/>
    <x v="359"/>
    <x v="12"/>
    <x v="2"/>
  </r>
  <r>
    <x v="1"/>
    <s v="card"/>
    <n v="35.76"/>
    <x v="0"/>
    <x v="1"/>
    <s v="Mar"/>
    <n v="7"/>
    <n v="3"/>
    <x v="359"/>
    <x v="12"/>
    <x v="2"/>
  </r>
  <r>
    <x v="2"/>
    <s v="card"/>
    <n v="30.86"/>
    <x v="3"/>
    <x v="1"/>
    <s v="Mar"/>
    <n v="7"/>
    <n v="3"/>
    <x v="359"/>
    <x v="12"/>
    <x v="2"/>
  </r>
  <r>
    <x v="3"/>
    <s v="card"/>
    <n v="30.86"/>
    <x v="3"/>
    <x v="1"/>
    <s v="Mar"/>
    <n v="7"/>
    <n v="3"/>
    <x v="359"/>
    <x v="12"/>
    <x v="2"/>
  </r>
  <r>
    <x v="3"/>
    <s v="card"/>
    <n v="25.96"/>
    <x v="2"/>
    <x v="1"/>
    <s v="Mar"/>
    <n v="7"/>
    <n v="3"/>
    <x v="359"/>
    <x v="12"/>
    <x v="2"/>
  </r>
  <r>
    <x v="3"/>
    <s v="card"/>
    <n v="25.96"/>
    <x v="2"/>
    <x v="1"/>
    <s v="Mar"/>
    <n v="7"/>
    <n v="3"/>
    <x v="359"/>
    <x v="12"/>
    <x v="2"/>
  </r>
  <r>
    <x v="12"/>
    <s v="card"/>
    <n v="35.76"/>
    <x v="7"/>
    <x v="0"/>
    <s v="Mar"/>
    <n v="1"/>
    <n v="3"/>
    <x v="360"/>
    <x v="12"/>
    <x v="3"/>
  </r>
  <r>
    <x v="10"/>
    <s v="card"/>
    <n v="35.76"/>
    <x v="4"/>
    <x v="0"/>
    <s v="Mar"/>
    <n v="1"/>
    <n v="3"/>
    <x v="360"/>
    <x v="12"/>
    <x v="3"/>
  </r>
  <r>
    <x v="10"/>
    <s v="card"/>
    <n v="35.76"/>
    <x v="0"/>
    <x v="0"/>
    <s v="Mar"/>
    <n v="1"/>
    <n v="3"/>
    <x v="360"/>
    <x v="12"/>
    <x v="3"/>
  </r>
  <r>
    <x v="0"/>
    <s v="card"/>
    <n v="35.76"/>
    <x v="1"/>
    <x v="0"/>
    <s v="Mar"/>
    <n v="1"/>
    <n v="3"/>
    <x v="360"/>
    <x v="12"/>
    <x v="3"/>
  </r>
  <r>
    <x v="0"/>
    <s v="card"/>
    <n v="35.76"/>
    <x v="1"/>
    <x v="0"/>
    <s v="Mar"/>
    <n v="1"/>
    <n v="3"/>
    <x v="360"/>
    <x v="12"/>
    <x v="3"/>
  </r>
  <r>
    <x v="1"/>
    <s v="card"/>
    <n v="35.76"/>
    <x v="7"/>
    <x v="1"/>
    <s v="Mar"/>
    <n v="1"/>
    <n v="3"/>
    <x v="360"/>
    <x v="12"/>
    <x v="3"/>
  </r>
  <r>
    <x v="3"/>
    <s v="card"/>
    <n v="35.76"/>
    <x v="0"/>
    <x v="1"/>
    <s v="Mar"/>
    <n v="1"/>
    <n v="3"/>
    <x v="360"/>
    <x v="12"/>
    <x v="3"/>
  </r>
  <r>
    <x v="3"/>
    <s v="card"/>
    <n v="25.96"/>
    <x v="2"/>
    <x v="1"/>
    <s v="Mar"/>
    <n v="1"/>
    <n v="3"/>
    <x v="360"/>
    <x v="12"/>
    <x v="3"/>
  </r>
  <r>
    <x v="4"/>
    <s v="card"/>
    <n v="35.76"/>
    <x v="4"/>
    <x v="1"/>
    <s v="Mar"/>
    <n v="1"/>
    <n v="3"/>
    <x v="360"/>
    <x v="12"/>
    <x v="3"/>
  </r>
  <r>
    <x v="4"/>
    <s v="card"/>
    <n v="35.76"/>
    <x v="0"/>
    <x v="1"/>
    <s v="Mar"/>
    <n v="1"/>
    <n v="3"/>
    <x v="360"/>
    <x v="12"/>
    <x v="3"/>
  </r>
  <r>
    <x v="4"/>
    <s v="card"/>
    <n v="35.76"/>
    <x v="0"/>
    <x v="1"/>
    <s v="Mar"/>
    <n v="1"/>
    <n v="3"/>
    <x v="360"/>
    <x v="12"/>
    <x v="3"/>
  </r>
  <r>
    <x v="4"/>
    <s v="card"/>
    <n v="35.76"/>
    <x v="7"/>
    <x v="1"/>
    <s v="Mar"/>
    <n v="1"/>
    <n v="3"/>
    <x v="360"/>
    <x v="12"/>
    <x v="3"/>
  </r>
  <r>
    <x v="4"/>
    <s v="card"/>
    <n v="35.76"/>
    <x v="7"/>
    <x v="1"/>
    <s v="Mar"/>
    <n v="1"/>
    <n v="3"/>
    <x v="360"/>
    <x v="12"/>
    <x v="3"/>
  </r>
  <r>
    <x v="4"/>
    <s v="card"/>
    <n v="25.96"/>
    <x v="2"/>
    <x v="1"/>
    <s v="Mar"/>
    <n v="1"/>
    <n v="3"/>
    <x v="360"/>
    <x v="12"/>
    <x v="3"/>
  </r>
  <r>
    <x v="9"/>
    <s v="card"/>
    <n v="30.86"/>
    <x v="3"/>
    <x v="2"/>
    <s v="Mar"/>
    <n v="1"/>
    <n v="3"/>
    <x v="360"/>
    <x v="12"/>
    <x v="3"/>
  </r>
  <r>
    <x v="9"/>
    <s v="card"/>
    <n v="25.96"/>
    <x v="2"/>
    <x v="2"/>
    <s v="Mar"/>
    <n v="1"/>
    <n v="3"/>
    <x v="360"/>
    <x v="12"/>
    <x v="3"/>
  </r>
  <r>
    <x v="9"/>
    <s v="card"/>
    <n v="35.76"/>
    <x v="1"/>
    <x v="2"/>
    <s v="Mar"/>
    <n v="1"/>
    <n v="3"/>
    <x v="360"/>
    <x v="12"/>
    <x v="3"/>
  </r>
  <r>
    <x v="9"/>
    <s v="card"/>
    <n v="25.96"/>
    <x v="2"/>
    <x v="2"/>
    <s v="Mar"/>
    <n v="1"/>
    <n v="3"/>
    <x v="360"/>
    <x v="12"/>
    <x v="3"/>
  </r>
  <r>
    <x v="9"/>
    <s v="card"/>
    <n v="35.76"/>
    <x v="1"/>
    <x v="2"/>
    <s v="Mar"/>
    <n v="1"/>
    <n v="3"/>
    <x v="360"/>
    <x v="12"/>
    <x v="3"/>
  </r>
  <r>
    <x v="9"/>
    <s v="card"/>
    <n v="35.76"/>
    <x v="1"/>
    <x v="2"/>
    <s v="Mar"/>
    <n v="1"/>
    <n v="3"/>
    <x v="360"/>
    <x v="12"/>
    <x v="3"/>
  </r>
  <r>
    <x v="5"/>
    <s v="card"/>
    <n v="30.86"/>
    <x v="3"/>
    <x v="2"/>
    <s v="Mar"/>
    <n v="1"/>
    <n v="3"/>
    <x v="360"/>
    <x v="12"/>
    <x v="3"/>
  </r>
  <r>
    <x v="5"/>
    <s v="card"/>
    <n v="35.76"/>
    <x v="0"/>
    <x v="2"/>
    <s v="Mar"/>
    <n v="1"/>
    <n v="3"/>
    <x v="360"/>
    <x v="12"/>
    <x v="3"/>
  </r>
  <r>
    <x v="14"/>
    <s v="card"/>
    <n v="35.76"/>
    <x v="7"/>
    <x v="0"/>
    <s v="Mar"/>
    <n v="2"/>
    <n v="3"/>
    <x v="361"/>
    <x v="12"/>
    <x v="4"/>
  </r>
  <r>
    <x v="14"/>
    <s v="card"/>
    <n v="25.96"/>
    <x v="2"/>
    <x v="0"/>
    <s v="Mar"/>
    <n v="2"/>
    <n v="3"/>
    <x v="361"/>
    <x v="12"/>
    <x v="4"/>
  </r>
  <r>
    <x v="12"/>
    <s v="card"/>
    <n v="30.86"/>
    <x v="3"/>
    <x v="0"/>
    <s v="Mar"/>
    <n v="2"/>
    <n v="3"/>
    <x v="361"/>
    <x v="12"/>
    <x v="4"/>
  </r>
  <r>
    <x v="10"/>
    <s v="card"/>
    <n v="25.96"/>
    <x v="2"/>
    <x v="0"/>
    <s v="Mar"/>
    <n v="2"/>
    <n v="3"/>
    <x v="361"/>
    <x v="12"/>
    <x v="4"/>
  </r>
  <r>
    <x v="10"/>
    <s v="card"/>
    <n v="25.96"/>
    <x v="2"/>
    <x v="0"/>
    <s v="Mar"/>
    <n v="2"/>
    <n v="3"/>
    <x v="361"/>
    <x v="12"/>
    <x v="4"/>
  </r>
  <r>
    <x v="10"/>
    <s v="card"/>
    <n v="25.96"/>
    <x v="2"/>
    <x v="0"/>
    <s v="Mar"/>
    <n v="2"/>
    <n v="3"/>
    <x v="361"/>
    <x v="12"/>
    <x v="4"/>
  </r>
  <r>
    <x v="7"/>
    <s v="card"/>
    <n v="30.86"/>
    <x v="3"/>
    <x v="0"/>
    <s v="Mar"/>
    <n v="2"/>
    <n v="3"/>
    <x v="361"/>
    <x v="12"/>
    <x v="4"/>
  </r>
  <r>
    <x v="7"/>
    <s v="card"/>
    <n v="25.96"/>
    <x v="2"/>
    <x v="0"/>
    <s v="Mar"/>
    <n v="2"/>
    <n v="3"/>
    <x v="361"/>
    <x v="12"/>
    <x v="4"/>
  </r>
  <r>
    <x v="7"/>
    <s v="card"/>
    <n v="25.96"/>
    <x v="2"/>
    <x v="0"/>
    <s v="Mar"/>
    <n v="2"/>
    <n v="3"/>
    <x v="361"/>
    <x v="12"/>
    <x v="4"/>
  </r>
  <r>
    <x v="7"/>
    <s v="card"/>
    <n v="25.96"/>
    <x v="2"/>
    <x v="0"/>
    <s v="Mar"/>
    <n v="2"/>
    <n v="3"/>
    <x v="361"/>
    <x v="12"/>
    <x v="4"/>
  </r>
  <r>
    <x v="7"/>
    <s v="card"/>
    <n v="25.96"/>
    <x v="2"/>
    <x v="0"/>
    <s v="Mar"/>
    <n v="2"/>
    <n v="3"/>
    <x v="361"/>
    <x v="12"/>
    <x v="4"/>
  </r>
  <r>
    <x v="1"/>
    <s v="card"/>
    <n v="35.76"/>
    <x v="4"/>
    <x v="1"/>
    <s v="Mar"/>
    <n v="2"/>
    <n v="3"/>
    <x v="361"/>
    <x v="12"/>
    <x v="4"/>
  </r>
  <r>
    <x v="4"/>
    <s v="card"/>
    <n v="25.96"/>
    <x v="2"/>
    <x v="1"/>
    <s v="Mar"/>
    <n v="2"/>
    <n v="3"/>
    <x v="361"/>
    <x v="12"/>
    <x v="4"/>
  </r>
  <r>
    <x v="5"/>
    <s v="card"/>
    <n v="35.76"/>
    <x v="4"/>
    <x v="2"/>
    <s v="Mar"/>
    <n v="2"/>
    <n v="3"/>
    <x v="361"/>
    <x v="12"/>
    <x v="4"/>
  </r>
  <r>
    <x v="6"/>
    <s v="card"/>
    <n v="35.76"/>
    <x v="0"/>
    <x v="2"/>
    <s v="Mar"/>
    <n v="2"/>
    <n v="3"/>
    <x v="361"/>
    <x v="12"/>
    <x v="4"/>
  </r>
  <r>
    <x v="11"/>
    <s v="card"/>
    <n v="35.76"/>
    <x v="0"/>
    <x v="2"/>
    <s v="Mar"/>
    <n v="2"/>
    <n v="3"/>
    <x v="361"/>
    <x v="12"/>
    <x v="4"/>
  </r>
  <r>
    <x v="12"/>
    <s v="card"/>
    <n v="30.86"/>
    <x v="3"/>
    <x v="0"/>
    <s v="Mar"/>
    <n v="3"/>
    <n v="3"/>
    <x v="362"/>
    <x v="12"/>
    <x v="5"/>
  </r>
  <r>
    <x v="10"/>
    <s v="card"/>
    <n v="25.96"/>
    <x v="2"/>
    <x v="0"/>
    <s v="Mar"/>
    <n v="3"/>
    <n v="3"/>
    <x v="362"/>
    <x v="12"/>
    <x v="5"/>
  </r>
  <r>
    <x v="0"/>
    <s v="card"/>
    <n v="25.96"/>
    <x v="2"/>
    <x v="0"/>
    <s v="Mar"/>
    <n v="3"/>
    <n v="3"/>
    <x v="362"/>
    <x v="12"/>
    <x v="5"/>
  </r>
  <r>
    <x v="0"/>
    <s v="card"/>
    <n v="25.96"/>
    <x v="2"/>
    <x v="0"/>
    <s v="Mar"/>
    <n v="3"/>
    <n v="3"/>
    <x v="362"/>
    <x v="12"/>
    <x v="5"/>
  </r>
  <r>
    <x v="0"/>
    <s v="card"/>
    <n v="35.76"/>
    <x v="7"/>
    <x v="0"/>
    <s v="Mar"/>
    <n v="3"/>
    <n v="3"/>
    <x v="362"/>
    <x v="12"/>
    <x v="5"/>
  </r>
  <r>
    <x v="0"/>
    <s v="card"/>
    <n v="30.86"/>
    <x v="3"/>
    <x v="0"/>
    <s v="Mar"/>
    <n v="3"/>
    <n v="3"/>
    <x v="362"/>
    <x v="12"/>
    <x v="5"/>
  </r>
  <r>
    <x v="7"/>
    <s v="card"/>
    <n v="35.76"/>
    <x v="7"/>
    <x v="0"/>
    <s v="Mar"/>
    <n v="3"/>
    <n v="3"/>
    <x v="362"/>
    <x v="12"/>
    <x v="5"/>
  </r>
  <r>
    <x v="7"/>
    <s v="card"/>
    <n v="35.76"/>
    <x v="4"/>
    <x v="0"/>
    <s v="Mar"/>
    <n v="3"/>
    <n v="3"/>
    <x v="362"/>
    <x v="12"/>
    <x v="5"/>
  </r>
  <r>
    <x v="7"/>
    <s v="card"/>
    <n v="25.96"/>
    <x v="2"/>
    <x v="0"/>
    <s v="Mar"/>
    <n v="3"/>
    <n v="3"/>
    <x v="362"/>
    <x v="12"/>
    <x v="5"/>
  </r>
  <r>
    <x v="7"/>
    <s v="card"/>
    <n v="25.96"/>
    <x v="2"/>
    <x v="0"/>
    <s v="Mar"/>
    <n v="3"/>
    <n v="3"/>
    <x v="362"/>
    <x v="12"/>
    <x v="5"/>
  </r>
  <r>
    <x v="1"/>
    <s v="card"/>
    <n v="25.96"/>
    <x v="2"/>
    <x v="1"/>
    <s v="Mar"/>
    <n v="3"/>
    <n v="3"/>
    <x v="362"/>
    <x v="12"/>
    <x v="5"/>
  </r>
  <r>
    <x v="3"/>
    <s v="card"/>
    <n v="35.76"/>
    <x v="0"/>
    <x v="1"/>
    <s v="Mar"/>
    <n v="3"/>
    <n v="3"/>
    <x v="362"/>
    <x v="12"/>
    <x v="5"/>
  </r>
  <r>
    <x v="3"/>
    <s v="card"/>
    <n v="35.76"/>
    <x v="0"/>
    <x v="1"/>
    <s v="Mar"/>
    <n v="3"/>
    <n v="3"/>
    <x v="362"/>
    <x v="12"/>
    <x v="5"/>
  </r>
  <r>
    <x v="3"/>
    <s v="card"/>
    <n v="35.76"/>
    <x v="1"/>
    <x v="1"/>
    <s v="Mar"/>
    <n v="3"/>
    <n v="3"/>
    <x v="362"/>
    <x v="12"/>
    <x v="5"/>
  </r>
  <r>
    <x v="9"/>
    <s v="card"/>
    <n v="30.86"/>
    <x v="3"/>
    <x v="2"/>
    <s v="Mar"/>
    <n v="3"/>
    <n v="3"/>
    <x v="362"/>
    <x v="12"/>
    <x v="5"/>
  </r>
  <r>
    <x v="9"/>
    <s v="card"/>
    <n v="21.06"/>
    <x v="6"/>
    <x v="2"/>
    <s v="Mar"/>
    <n v="3"/>
    <n v="3"/>
    <x v="362"/>
    <x v="12"/>
    <x v="5"/>
  </r>
  <r>
    <x v="9"/>
    <s v="card"/>
    <n v="35.76"/>
    <x v="0"/>
    <x v="2"/>
    <s v="Mar"/>
    <n v="3"/>
    <n v="3"/>
    <x v="362"/>
    <x v="12"/>
    <x v="5"/>
  </r>
  <r>
    <x v="5"/>
    <s v="card"/>
    <n v="35.76"/>
    <x v="7"/>
    <x v="2"/>
    <s v="Mar"/>
    <n v="3"/>
    <n v="3"/>
    <x v="362"/>
    <x v="12"/>
    <x v="5"/>
  </r>
  <r>
    <x v="6"/>
    <s v="card"/>
    <n v="35.76"/>
    <x v="4"/>
    <x v="2"/>
    <s v="Mar"/>
    <n v="3"/>
    <n v="3"/>
    <x v="362"/>
    <x v="12"/>
    <x v="5"/>
  </r>
  <r>
    <x v="10"/>
    <s v="card"/>
    <n v="35.76"/>
    <x v="1"/>
    <x v="0"/>
    <s v="Mar"/>
    <n v="4"/>
    <n v="3"/>
    <x v="363"/>
    <x v="12"/>
    <x v="6"/>
  </r>
  <r>
    <x v="10"/>
    <s v="card"/>
    <n v="21.06"/>
    <x v="6"/>
    <x v="0"/>
    <s v="Mar"/>
    <n v="4"/>
    <n v="3"/>
    <x v="363"/>
    <x v="12"/>
    <x v="6"/>
  </r>
  <r>
    <x v="0"/>
    <s v="card"/>
    <n v="30.86"/>
    <x v="3"/>
    <x v="0"/>
    <s v="Mar"/>
    <n v="4"/>
    <n v="3"/>
    <x v="363"/>
    <x v="12"/>
    <x v="6"/>
  </r>
  <r>
    <x v="0"/>
    <s v="card"/>
    <n v="25.96"/>
    <x v="2"/>
    <x v="0"/>
    <s v="Mar"/>
    <n v="4"/>
    <n v="3"/>
    <x v="363"/>
    <x v="12"/>
    <x v="6"/>
  </r>
  <r>
    <x v="0"/>
    <s v="card"/>
    <n v="25.96"/>
    <x v="2"/>
    <x v="0"/>
    <s v="Mar"/>
    <n v="4"/>
    <n v="3"/>
    <x v="363"/>
    <x v="12"/>
    <x v="6"/>
  </r>
  <r>
    <x v="7"/>
    <s v="card"/>
    <n v="25.96"/>
    <x v="2"/>
    <x v="0"/>
    <s v="Mar"/>
    <n v="4"/>
    <n v="3"/>
    <x v="363"/>
    <x v="12"/>
    <x v="6"/>
  </r>
  <r>
    <x v="7"/>
    <s v="card"/>
    <n v="35.76"/>
    <x v="7"/>
    <x v="0"/>
    <s v="Mar"/>
    <n v="4"/>
    <n v="3"/>
    <x v="363"/>
    <x v="12"/>
    <x v="6"/>
  </r>
  <r>
    <x v="2"/>
    <s v="card"/>
    <n v="35.76"/>
    <x v="0"/>
    <x v="1"/>
    <s v="Mar"/>
    <n v="4"/>
    <n v="3"/>
    <x v="363"/>
    <x v="12"/>
    <x v="6"/>
  </r>
  <r>
    <x v="4"/>
    <s v="card"/>
    <n v="30.86"/>
    <x v="3"/>
    <x v="1"/>
    <s v="Mar"/>
    <n v="4"/>
    <n v="3"/>
    <x v="363"/>
    <x v="12"/>
    <x v="6"/>
  </r>
  <r>
    <x v="9"/>
    <s v="card"/>
    <n v="35.76"/>
    <x v="4"/>
    <x v="2"/>
    <s v="Mar"/>
    <n v="4"/>
    <n v="3"/>
    <x v="363"/>
    <x v="12"/>
    <x v="6"/>
  </r>
  <r>
    <x v="5"/>
    <s v="card"/>
    <n v="35.76"/>
    <x v="7"/>
    <x v="2"/>
    <s v="Mar"/>
    <n v="4"/>
    <n v="3"/>
    <x v="363"/>
    <x v="12"/>
    <x v="6"/>
  </r>
  <r>
    <x v="6"/>
    <s v="card"/>
    <n v="30.86"/>
    <x v="3"/>
    <x v="2"/>
    <s v="Mar"/>
    <n v="4"/>
    <n v="3"/>
    <x v="363"/>
    <x v="12"/>
    <x v="6"/>
  </r>
  <r>
    <x v="14"/>
    <s v="card"/>
    <n v="35.76"/>
    <x v="7"/>
    <x v="0"/>
    <s v="Mar"/>
    <n v="5"/>
    <n v="3"/>
    <x v="364"/>
    <x v="12"/>
    <x v="0"/>
  </r>
  <r>
    <x v="12"/>
    <s v="card"/>
    <n v="25.96"/>
    <x v="2"/>
    <x v="0"/>
    <s v="Mar"/>
    <n v="5"/>
    <n v="3"/>
    <x v="364"/>
    <x v="12"/>
    <x v="0"/>
  </r>
  <r>
    <x v="12"/>
    <s v="card"/>
    <n v="25.96"/>
    <x v="2"/>
    <x v="0"/>
    <s v="Mar"/>
    <n v="5"/>
    <n v="3"/>
    <x v="364"/>
    <x v="12"/>
    <x v="0"/>
  </r>
  <r>
    <x v="10"/>
    <s v="card"/>
    <n v="25.96"/>
    <x v="2"/>
    <x v="0"/>
    <s v="Mar"/>
    <n v="5"/>
    <n v="3"/>
    <x v="364"/>
    <x v="12"/>
    <x v="0"/>
  </r>
  <r>
    <x v="0"/>
    <s v="card"/>
    <n v="35.76"/>
    <x v="1"/>
    <x v="0"/>
    <s v="Mar"/>
    <n v="5"/>
    <n v="3"/>
    <x v="364"/>
    <x v="12"/>
    <x v="0"/>
  </r>
  <r>
    <x v="0"/>
    <s v="card"/>
    <n v="30.86"/>
    <x v="3"/>
    <x v="0"/>
    <s v="Mar"/>
    <n v="5"/>
    <n v="3"/>
    <x v="364"/>
    <x v="12"/>
    <x v="0"/>
  </r>
  <r>
    <x v="0"/>
    <s v="card"/>
    <n v="30.86"/>
    <x v="3"/>
    <x v="0"/>
    <s v="Mar"/>
    <n v="5"/>
    <n v="3"/>
    <x v="364"/>
    <x v="12"/>
    <x v="0"/>
  </r>
  <r>
    <x v="0"/>
    <s v="card"/>
    <n v="35.76"/>
    <x v="4"/>
    <x v="0"/>
    <s v="Mar"/>
    <n v="5"/>
    <n v="3"/>
    <x v="364"/>
    <x v="12"/>
    <x v="0"/>
  </r>
  <r>
    <x v="7"/>
    <s v="card"/>
    <n v="35.76"/>
    <x v="4"/>
    <x v="0"/>
    <s v="Mar"/>
    <n v="5"/>
    <n v="3"/>
    <x v="364"/>
    <x v="12"/>
    <x v="0"/>
  </r>
  <r>
    <x v="1"/>
    <s v="card"/>
    <n v="30.86"/>
    <x v="3"/>
    <x v="1"/>
    <s v="Mar"/>
    <n v="5"/>
    <n v="3"/>
    <x v="364"/>
    <x v="12"/>
    <x v="0"/>
  </r>
  <r>
    <x v="2"/>
    <s v="card"/>
    <n v="35.76"/>
    <x v="1"/>
    <x v="1"/>
    <s v="Mar"/>
    <n v="5"/>
    <n v="3"/>
    <x v="364"/>
    <x v="12"/>
    <x v="0"/>
  </r>
  <r>
    <x v="2"/>
    <s v="card"/>
    <n v="25.96"/>
    <x v="2"/>
    <x v="1"/>
    <s v="Mar"/>
    <n v="5"/>
    <n v="3"/>
    <x v="364"/>
    <x v="12"/>
    <x v="0"/>
  </r>
  <r>
    <x v="8"/>
    <s v="card"/>
    <n v="35.76"/>
    <x v="7"/>
    <x v="1"/>
    <s v="Mar"/>
    <n v="5"/>
    <n v="3"/>
    <x v="364"/>
    <x v="12"/>
    <x v="0"/>
  </r>
  <r>
    <x v="3"/>
    <s v="card"/>
    <n v="35.76"/>
    <x v="0"/>
    <x v="1"/>
    <s v="Mar"/>
    <n v="5"/>
    <n v="3"/>
    <x v="364"/>
    <x v="12"/>
    <x v="0"/>
  </r>
  <r>
    <x v="3"/>
    <s v="card"/>
    <n v="35.76"/>
    <x v="0"/>
    <x v="1"/>
    <s v="Mar"/>
    <n v="5"/>
    <n v="3"/>
    <x v="364"/>
    <x v="12"/>
    <x v="0"/>
  </r>
  <r>
    <x v="9"/>
    <s v="card"/>
    <n v="35.76"/>
    <x v="0"/>
    <x v="2"/>
    <s v="Mar"/>
    <n v="5"/>
    <n v="3"/>
    <x v="364"/>
    <x v="12"/>
    <x v="0"/>
  </r>
  <r>
    <x v="9"/>
    <s v="card"/>
    <n v="35.76"/>
    <x v="1"/>
    <x v="2"/>
    <s v="Mar"/>
    <n v="5"/>
    <n v="3"/>
    <x v="364"/>
    <x v="12"/>
    <x v="0"/>
  </r>
  <r>
    <x v="10"/>
    <s v="card"/>
    <n v="30.86"/>
    <x v="3"/>
    <x v="0"/>
    <s v="Mar"/>
    <n v="6"/>
    <n v="3"/>
    <x v="365"/>
    <x v="12"/>
    <x v="1"/>
  </r>
  <r>
    <x v="10"/>
    <s v="card"/>
    <n v="30.86"/>
    <x v="3"/>
    <x v="0"/>
    <s v="Mar"/>
    <n v="6"/>
    <n v="3"/>
    <x v="365"/>
    <x v="12"/>
    <x v="1"/>
  </r>
  <r>
    <x v="0"/>
    <s v="card"/>
    <n v="25.96"/>
    <x v="2"/>
    <x v="0"/>
    <s v="Mar"/>
    <n v="6"/>
    <n v="3"/>
    <x v="365"/>
    <x v="12"/>
    <x v="1"/>
  </r>
  <r>
    <x v="7"/>
    <s v="card"/>
    <n v="25.96"/>
    <x v="2"/>
    <x v="0"/>
    <s v="Mar"/>
    <n v="6"/>
    <n v="3"/>
    <x v="365"/>
    <x v="12"/>
    <x v="1"/>
  </r>
  <r>
    <x v="7"/>
    <s v="card"/>
    <n v="25.96"/>
    <x v="2"/>
    <x v="0"/>
    <s v="Mar"/>
    <n v="6"/>
    <n v="3"/>
    <x v="365"/>
    <x v="12"/>
    <x v="1"/>
  </r>
  <r>
    <x v="1"/>
    <s v="card"/>
    <n v="30.86"/>
    <x v="3"/>
    <x v="1"/>
    <s v="Mar"/>
    <n v="6"/>
    <n v="3"/>
    <x v="365"/>
    <x v="12"/>
    <x v="1"/>
  </r>
  <r>
    <x v="1"/>
    <s v="card"/>
    <n v="25.96"/>
    <x v="2"/>
    <x v="1"/>
    <s v="Mar"/>
    <n v="6"/>
    <n v="3"/>
    <x v="365"/>
    <x v="12"/>
    <x v="1"/>
  </r>
  <r>
    <x v="2"/>
    <s v="card"/>
    <n v="35.76"/>
    <x v="7"/>
    <x v="1"/>
    <s v="Mar"/>
    <n v="6"/>
    <n v="3"/>
    <x v="365"/>
    <x v="12"/>
    <x v="1"/>
  </r>
  <r>
    <x v="10"/>
    <s v="card"/>
    <n v="21.06"/>
    <x v="6"/>
    <x v="0"/>
    <s v="Mar"/>
    <n v="7"/>
    <n v="3"/>
    <x v="366"/>
    <x v="12"/>
    <x v="2"/>
  </r>
  <r>
    <x v="7"/>
    <s v="card"/>
    <n v="30.86"/>
    <x v="3"/>
    <x v="0"/>
    <s v="Mar"/>
    <n v="7"/>
    <n v="3"/>
    <x v="366"/>
    <x v="12"/>
    <x v="2"/>
  </r>
  <r>
    <x v="2"/>
    <s v="card"/>
    <n v="35.76"/>
    <x v="7"/>
    <x v="1"/>
    <s v="Mar"/>
    <n v="7"/>
    <n v="3"/>
    <x v="366"/>
    <x v="12"/>
    <x v="2"/>
  </r>
  <r>
    <x v="8"/>
    <s v="card"/>
    <n v="25.96"/>
    <x v="2"/>
    <x v="1"/>
    <s v="Mar"/>
    <n v="7"/>
    <n v="3"/>
    <x v="366"/>
    <x v="12"/>
    <x v="2"/>
  </r>
  <r>
    <x v="3"/>
    <s v="card"/>
    <n v="35.76"/>
    <x v="7"/>
    <x v="1"/>
    <s v="Mar"/>
    <n v="7"/>
    <n v="3"/>
    <x v="366"/>
    <x v="12"/>
    <x v="2"/>
  </r>
  <r>
    <x v="3"/>
    <s v="card"/>
    <n v="25.96"/>
    <x v="2"/>
    <x v="1"/>
    <s v="Mar"/>
    <n v="7"/>
    <n v="3"/>
    <x v="366"/>
    <x v="12"/>
    <x v="2"/>
  </r>
  <r>
    <x v="3"/>
    <s v="card"/>
    <n v="30.86"/>
    <x v="3"/>
    <x v="1"/>
    <s v="Mar"/>
    <n v="7"/>
    <n v="3"/>
    <x v="366"/>
    <x v="12"/>
    <x v="2"/>
  </r>
  <r>
    <x v="3"/>
    <s v="card"/>
    <n v="35.76"/>
    <x v="4"/>
    <x v="1"/>
    <s v="Mar"/>
    <n v="7"/>
    <n v="3"/>
    <x v="366"/>
    <x v="12"/>
    <x v="2"/>
  </r>
  <r>
    <x v="12"/>
    <s v="card"/>
    <n v="25.96"/>
    <x v="2"/>
    <x v="0"/>
    <s v="Mar"/>
    <n v="1"/>
    <n v="3"/>
    <x v="367"/>
    <x v="12"/>
    <x v="3"/>
  </r>
  <r>
    <x v="12"/>
    <s v="card"/>
    <n v="35.76"/>
    <x v="0"/>
    <x v="0"/>
    <s v="Mar"/>
    <n v="1"/>
    <n v="3"/>
    <x v="367"/>
    <x v="12"/>
    <x v="3"/>
  </r>
  <r>
    <x v="10"/>
    <s v="card"/>
    <n v="30.86"/>
    <x v="3"/>
    <x v="0"/>
    <s v="Mar"/>
    <n v="1"/>
    <n v="3"/>
    <x v="367"/>
    <x v="12"/>
    <x v="3"/>
  </r>
  <r>
    <x v="10"/>
    <s v="card"/>
    <n v="35.76"/>
    <x v="1"/>
    <x v="0"/>
    <s v="Mar"/>
    <n v="1"/>
    <n v="3"/>
    <x v="367"/>
    <x v="12"/>
    <x v="3"/>
  </r>
  <r>
    <x v="10"/>
    <s v="card"/>
    <n v="35.76"/>
    <x v="4"/>
    <x v="0"/>
    <s v="Mar"/>
    <n v="1"/>
    <n v="3"/>
    <x v="367"/>
    <x v="12"/>
    <x v="3"/>
  </r>
  <r>
    <x v="0"/>
    <s v="card"/>
    <n v="35.76"/>
    <x v="1"/>
    <x v="0"/>
    <s v="Mar"/>
    <n v="1"/>
    <n v="3"/>
    <x v="367"/>
    <x v="12"/>
    <x v="3"/>
  </r>
  <r>
    <x v="1"/>
    <s v="card"/>
    <n v="25.96"/>
    <x v="2"/>
    <x v="1"/>
    <s v="Mar"/>
    <n v="1"/>
    <n v="3"/>
    <x v="367"/>
    <x v="12"/>
    <x v="3"/>
  </r>
  <r>
    <x v="3"/>
    <s v="card"/>
    <n v="25.96"/>
    <x v="2"/>
    <x v="1"/>
    <s v="Mar"/>
    <n v="1"/>
    <n v="3"/>
    <x v="367"/>
    <x v="12"/>
    <x v="3"/>
  </r>
  <r>
    <x v="3"/>
    <s v="card"/>
    <n v="35.76"/>
    <x v="1"/>
    <x v="1"/>
    <s v="Mar"/>
    <n v="1"/>
    <n v="3"/>
    <x v="367"/>
    <x v="12"/>
    <x v="3"/>
  </r>
  <r>
    <x v="4"/>
    <s v="card"/>
    <n v="35.76"/>
    <x v="0"/>
    <x v="1"/>
    <s v="Mar"/>
    <n v="1"/>
    <n v="3"/>
    <x v="367"/>
    <x v="12"/>
    <x v="3"/>
  </r>
  <r>
    <x v="4"/>
    <s v="card"/>
    <n v="35.76"/>
    <x v="0"/>
    <x v="1"/>
    <s v="Mar"/>
    <n v="1"/>
    <n v="3"/>
    <x v="367"/>
    <x v="12"/>
    <x v="3"/>
  </r>
  <r>
    <x v="4"/>
    <s v="card"/>
    <n v="35.76"/>
    <x v="7"/>
    <x v="1"/>
    <s v="Mar"/>
    <n v="1"/>
    <n v="3"/>
    <x v="367"/>
    <x v="12"/>
    <x v="3"/>
  </r>
  <r>
    <x v="4"/>
    <s v="card"/>
    <n v="30.86"/>
    <x v="3"/>
    <x v="1"/>
    <s v="Mar"/>
    <n v="1"/>
    <n v="3"/>
    <x v="367"/>
    <x v="12"/>
    <x v="3"/>
  </r>
  <r>
    <x v="5"/>
    <s v="card"/>
    <n v="25.96"/>
    <x v="2"/>
    <x v="2"/>
    <s v="Mar"/>
    <n v="1"/>
    <n v="3"/>
    <x v="367"/>
    <x v="12"/>
    <x v="3"/>
  </r>
  <r>
    <x v="5"/>
    <s v="card"/>
    <n v="35.76"/>
    <x v="0"/>
    <x v="2"/>
    <s v="Mar"/>
    <n v="1"/>
    <n v="3"/>
    <x v="367"/>
    <x v="12"/>
    <x v="3"/>
  </r>
  <r>
    <x v="5"/>
    <s v="card"/>
    <n v="35.76"/>
    <x v="0"/>
    <x v="2"/>
    <s v="Mar"/>
    <n v="1"/>
    <n v="3"/>
    <x v="367"/>
    <x v="12"/>
    <x v="3"/>
  </r>
  <r>
    <x v="6"/>
    <s v="card"/>
    <n v="30.86"/>
    <x v="3"/>
    <x v="2"/>
    <s v="Mar"/>
    <n v="1"/>
    <n v="3"/>
    <x v="367"/>
    <x v="12"/>
    <x v="3"/>
  </r>
  <r>
    <x v="12"/>
    <s v="card"/>
    <n v="25.96"/>
    <x v="2"/>
    <x v="0"/>
    <s v="Mar"/>
    <n v="2"/>
    <n v="3"/>
    <x v="368"/>
    <x v="12"/>
    <x v="4"/>
  </r>
  <r>
    <x v="10"/>
    <s v="card"/>
    <n v="35.76"/>
    <x v="7"/>
    <x v="0"/>
    <s v="Mar"/>
    <n v="2"/>
    <n v="3"/>
    <x v="368"/>
    <x v="12"/>
    <x v="4"/>
  </r>
  <r>
    <x v="10"/>
    <s v="card"/>
    <n v="35.76"/>
    <x v="0"/>
    <x v="0"/>
    <s v="Mar"/>
    <n v="2"/>
    <n v="3"/>
    <x v="368"/>
    <x v="12"/>
    <x v="4"/>
  </r>
  <r>
    <x v="0"/>
    <s v="card"/>
    <n v="25.96"/>
    <x v="2"/>
    <x v="0"/>
    <s v="Mar"/>
    <n v="2"/>
    <n v="3"/>
    <x v="368"/>
    <x v="12"/>
    <x v="4"/>
  </r>
  <r>
    <x v="1"/>
    <s v="card"/>
    <n v="25.96"/>
    <x v="2"/>
    <x v="1"/>
    <s v="Mar"/>
    <n v="2"/>
    <n v="3"/>
    <x v="368"/>
    <x v="12"/>
    <x v="4"/>
  </r>
  <r>
    <x v="2"/>
    <s v="card"/>
    <n v="25.96"/>
    <x v="2"/>
    <x v="1"/>
    <s v="Mar"/>
    <n v="2"/>
    <n v="3"/>
    <x v="368"/>
    <x v="12"/>
    <x v="4"/>
  </r>
  <r>
    <x v="4"/>
    <s v="card"/>
    <n v="35.76"/>
    <x v="1"/>
    <x v="1"/>
    <s v="Mar"/>
    <n v="2"/>
    <n v="3"/>
    <x v="368"/>
    <x v="12"/>
    <x v="4"/>
  </r>
  <r>
    <x v="4"/>
    <s v="card"/>
    <n v="35.76"/>
    <x v="4"/>
    <x v="1"/>
    <s v="Mar"/>
    <n v="2"/>
    <n v="3"/>
    <x v="368"/>
    <x v="12"/>
    <x v="4"/>
  </r>
  <r>
    <x v="4"/>
    <s v="card"/>
    <n v="35.76"/>
    <x v="1"/>
    <x v="1"/>
    <s v="Mar"/>
    <n v="2"/>
    <n v="3"/>
    <x v="368"/>
    <x v="12"/>
    <x v="4"/>
  </r>
  <r>
    <x v="9"/>
    <s v="card"/>
    <n v="35.76"/>
    <x v="7"/>
    <x v="2"/>
    <s v="Mar"/>
    <n v="2"/>
    <n v="3"/>
    <x v="368"/>
    <x v="12"/>
    <x v="4"/>
  </r>
  <r>
    <x v="5"/>
    <s v="card"/>
    <n v="30.86"/>
    <x v="3"/>
    <x v="2"/>
    <s v="Mar"/>
    <n v="2"/>
    <n v="3"/>
    <x v="368"/>
    <x v="12"/>
    <x v="4"/>
  </r>
  <r>
    <x v="6"/>
    <s v="card"/>
    <n v="35.76"/>
    <x v="0"/>
    <x v="2"/>
    <s v="Mar"/>
    <n v="2"/>
    <n v="3"/>
    <x v="368"/>
    <x v="12"/>
    <x v="4"/>
  </r>
  <r>
    <x v="11"/>
    <s v="card"/>
    <n v="35.76"/>
    <x v="4"/>
    <x v="2"/>
    <s v="Mar"/>
    <n v="2"/>
    <n v="3"/>
    <x v="368"/>
    <x v="12"/>
    <x v="4"/>
  </r>
  <r>
    <x v="7"/>
    <s v="card"/>
    <n v="35.76"/>
    <x v="4"/>
    <x v="0"/>
    <s v="Mar"/>
    <n v="3"/>
    <n v="3"/>
    <x v="369"/>
    <x v="12"/>
    <x v="5"/>
  </r>
  <r>
    <x v="7"/>
    <s v="card"/>
    <n v="30.86"/>
    <x v="3"/>
    <x v="0"/>
    <s v="Mar"/>
    <n v="3"/>
    <n v="3"/>
    <x v="369"/>
    <x v="12"/>
    <x v="5"/>
  </r>
  <r>
    <x v="7"/>
    <s v="card"/>
    <n v="35.76"/>
    <x v="7"/>
    <x v="0"/>
    <s v="Mar"/>
    <n v="3"/>
    <n v="3"/>
    <x v="369"/>
    <x v="12"/>
    <x v="5"/>
  </r>
  <r>
    <x v="7"/>
    <s v="card"/>
    <n v="25.96"/>
    <x v="2"/>
    <x v="0"/>
    <s v="Mar"/>
    <n v="3"/>
    <n v="3"/>
    <x v="369"/>
    <x v="12"/>
    <x v="5"/>
  </r>
  <r>
    <x v="7"/>
    <s v="card"/>
    <n v="25.96"/>
    <x v="2"/>
    <x v="0"/>
    <s v="Mar"/>
    <n v="3"/>
    <n v="3"/>
    <x v="369"/>
    <x v="12"/>
    <x v="5"/>
  </r>
  <r>
    <x v="1"/>
    <s v="card"/>
    <n v="25.96"/>
    <x v="2"/>
    <x v="1"/>
    <s v="Mar"/>
    <n v="3"/>
    <n v="3"/>
    <x v="369"/>
    <x v="12"/>
    <x v="5"/>
  </r>
  <r>
    <x v="1"/>
    <s v="card"/>
    <n v="35.76"/>
    <x v="1"/>
    <x v="1"/>
    <s v="Mar"/>
    <n v="3"/>
    <n v="3"/>
    <x v="369"/>
    <x v="12"/>
    <x v="5"/>
  </r>
  <r>
    <x v="2"/>
    <s v="card"/>
    <n v="35.76"/>
    <x v="0"/>
    <x v="1"/>
    <s v="Mar"/>
    <n v="3"/>
    <n v="3"/>
    <x v="369"/>
    <x v="12"/>
    <x v="5"/>
  </r>
  <r>
    <x v="2"/>
    <s v="card"/>
    <n v="35.76"/>
    <x v="0"/>
    <x v="1"/>
    <s v="Mar"/>
    <n v="3"/>
    <n v="3"/>
    <x v="369"/>
    <x v="12"/>
    <x v="5"/>
  </r>
  <r>
    <x v="4"/>
    <s v="card"/>
    <n v="35.76"/>
    <x v="7"/>
    <x v="1"/>
    <s v="Mar"/>
    <n v="3"/>
    <n v="3"/>
    <x v="369"/>
    <x v="12"/>
    <x v="5"/>
  </r>
  <r>
    <x v="4"/>
    <s v="card"/>
    <n v="35.76"/>
    <x v="0"/>
    <x v="1"/>
    <s v="Mar"/>
    <n v="3"/>
    <n v="3"/>
    <x v="369"/>
    <x v="12"/>
    <x v="5"/>
  </r>
  <r>
    <x v="4"/>
    <s v="card"/>
    <n v="35.76"/>
    <x v="0"/>
    <x v="1"/>
    <s v="Mar"/>
    <n v="3"/>
    <n v="3"/>
    <x v="369"/>
    <x v="12"/>
    <x v="5"/>
  </r>
  <r>
    <x v="5"/>
    <s v="card"/>
    <n v="25.96"/>
    <x v="2"/>
    <x v="2"/>
    <s v="Mar"/>
    <n v="3"/>
    <n v="3"/>
    <x v="369"/>
    <x v="12"/>
    <x v="5"/>
  </r>
  <r>
    <x v="5"/>
    <s v="card"/>
    <n v="35.76"/>
    <x v="4"/>
    <x v="2"/>
    <s v="Mar"/>
    <n v="3"/>
    <n v="3"/>
    <x v="369"/>
    <x v="12"/>
    <x v="5"/>
  </r>
  <r>
    <x v="5"/>
    <s v="card"/>
    <n v="25.96"/>
    <x v="2"/>
    <x v="2"/>
    <s v="Mar"/>
    <n v="3"/>
    <n v="3"/>
    <x v="369"/>
    <x v="12"/>
    <x v="5"/>
  </r>
  <r>
    <x v="5"/>
    <s v="card"/>
    <n v="35.76"/>
    <x v="7"/>
    <x v="2"/>
    <s v="Mar"/>
    <n v="3"/>
    <n v="3"/>
    <x v="369"/>
    <x v="12"/>
    <x v="5"/>
  </r>
  <r>
    <x v="5"/>
    <s v="card"/>
    <n v="25.96"/>
    <x v="2"/>
    <x v="2"/>
    <s v="Mar"/>
    <n v="3"/>
    <n v="3"/>
    <x v="369"/>
    <x v="12"/>
    <x v="5"/>
  </r>
  <r>
    <x v="14"/>
    <s v="card"/>
    <n v="35.76"/>
    <x v="7"/>
    <x v="0"/>
    <s v="Mar"/>
    <n v="4"/>
    <n v="3"/>
    <x v="370"/>
    <x v="12"/>
    <x v="6"/>
  </r>
  <r>
    <x v="12"/>
    <s v="card"/>
    <n v="30.86"/>
    <x v="3"/>
    <x v="0"/>
    <s v="Mar"/>
    <n v="4"/>
    <n v="3"/>
    <x v="370"/>
    <x v="12"/>
    <x v="6"/>
  </r>
  <r>
    <x v="10"/>
    <s v="card"/>
    <n v="30.86"/>
    <x v="3"/>
    <x v="0"/>
    <s v="Mar"/>
    <n v="4"/>
    <n v="3"/>
    <x v="370"/>
    <x v="12"/>
    <x v="6"/>
  </r>
  <r>
    <x v="10"/>
    <s v="card"/>
    <n v="35.76"/>
    <x v="0"/>
    <x v="0"/>
    <s v="Mar"/>
    <n v="4"/>
    <n v="3"/>
    <x v="370"/>
    <x v="12"/>
    <x v="6"/>
  </r>
  <r>
    <x v="10"/>
    <s v="card"/>
    <n v="21.06"/>
    <x v="6"/>
    <x v="0"/>
    <s v="Mar"/>
    <n v="4"/>
    <n v="3"/>
    <x v="370"/>
    <x v="12"/>
    <x v="6"/>
  </r>
  <r>
    <x v="10"/>
    <s v="card"/>
    <n v="25.96"/>
    <x v="2"/>
    <x v="0"/>
    <s v="Mar"/>
    <n v="4"/>
    <n v="3"/>
    <x v="370"/>
    <x v="12"/>
    <x v="6"/>
  </r>
  <r>
    <x v="10"/>
    <s v="card"/>
    <n v="30.86"/>
    <x v="3"/>
    <x v="0"/>
    <s v="Mar"/>
    <n v="4"/>
    <n v="3"/>
    <x v="370"/>
    <x v="12"/>
    <x v="6"/>
  </r>
  <r>
    <x v="7"/>
    <s v="card"/>
    <n v="25.96"/>
    <x v="2"/>
    <x v="0"/>
    <s v="Mar"/>
    <n v="4"/>
    <n v="3"/>
    <x v="370"/>
    <x v="12"/>
    <x v="6"/>
  </r>
  <r>
    <x v="1"/>
    <s v="card"/>
    <n v="35.76"/>
    <x v="0"/>
    <x v="1"/>
    <s v="Mar"/>
    <n v="4"/>
    <n v="3"/>
    <x v="370"/>
    <x v="12"/>
    <x v="6"/>
  </r>
  <r>
    <x v="8"/>
    <s v="card"/>
    <n v="30.86"/>
    <x v="3"/>
    <x v="1"/>
    <s v="Mar"/>
    <n v="4"/>
    <n v="3"/>
    <x v="370"/>
    <x v="12"/>
    <x v="6"/>
  </r>
  <r>
    <x v="8"/>
    <s v="card"/>
    <n v="25.96"/>
    <x v="2"/>
    <x v="1"/>
    <s v="Mar"/>
    <n v="4"/>
    <n v="3"/>
    <x v="370"/>
    <x v="12"/>
    <x v="6"/>
  </r>
  <r>
    <x v="5"/>
    <s v="card"/>
    <n v="35.76"/>
    <x v="7"/>
    <x v="2"/>
    <s v="Mar"/>
    <n v="4"/>
    <n v="3"/>
    <x v="370"/>
    <x v="12"/>
    <x v="6"/>
  </r>
  <r>
    <x v="14"/>
    <s v="card"/>
    <n v="25.96"/>
    <x v="2"/>
    <x v="0"/>
    <s v="Mar"/>
    <n v="5"/>
    <n v="3"/>
    <x v="371"/>
    <x v="12"/>
    <x v="0"/>
  </r>
  <r>
    <x v="12"/>
    <s v="card"/>
    <n v="30.86"/>
    <x v="3"/>
    <x v="0"/>
    <s v="Mar"/>
    <n v="5"/>
    <n v="3"/>
    <x v="371"/>
    <x v="12"/>
    <x v="0"/>
  </r>
  <r>
    <x v="12"/>
    <s v="card"/>
    <n v="25.96"/>
    <x v="2"/>
    <x v="0"/>
    <s v="Mar"/>
    <n v="5"/>
    <n v="3"/>
    <x v="371"/>
    <x v="12"/>
    <x v="0"/>
  </r>
  <r>
    <x v="10"/>
    <s v="card"/>
    <n v="35.76"/>
    <x v="0"/>
    <x v="0"/>
    <s v="Mar"/>
    <n v="5"/>
    <n v="3"/>
    <x v="371"/>
    <x v="12"/>
    <x v="0"/>
  </r>
  <r>
    <x v="10"/>
    <s v="card"/>
    <n v="21.06"/>
    <x v="6"/>
    <x v="0"/>
    <s v="Mar"/>
    <n v="5"/>
    <n v="3"/>
    <x v="371"/>
    <x v="12"/>
    <x v="0"/>
  </r>
  <r>
    <x v="10"/>
    <s v="card"/>
    <n v="25.96"/>
    <x v="2"/>
    <x v="0"/>
    <s v="Mar"/>
    <n v="5"/>
    <n v="3"/>
    <x v="371"/>
    <x v="12"/>
    <x v="0"/>
  </r>
  <r>
    <x v="0"/>
    <s v="card"/>
    <n v="25.96"/>
    <x v="2"/>
    <x v="0"/>
    <s v="Mar"/>
    <n v="5"/>
    <n v="3"/>
    <x v="371"/>
    <x v="12"/>
    <x v="0"/>
  </r>
  <r>
    <x v="0"/>
    <s v="card"/>
    <n v="35.76"/>
    <x v="0"/>
    <x v="0"/>
    <s v="Mar"/>
    <n v="5"/>
    <n v="3"/>
    <x v="371"/>
    <x v="12"/>
    <x v="0"/>
  </r>
  <r>
    <x v="0"/>
    <s v="card"/>
    <n v="35.76"/>
    <x v="7"/>
    <x v="0"/>
    <s v="Mar"/>
    <n v="5"/>
    <n v="3"/>
    <x v="371"/>
    <x v="12"/>
    <x v="0"/>
  </r>
  <r>
    <x v="8"/>
    <s v="card"/>
    <n v="25.96"/>
    <x v="2"/>
    <x v="1"/>
    <s v="Mar"/>
    <n v="5"/>
    <n v="3"/>
    <x v="371"/>
    <x v="12"/>
    <x v="0"/>
  </r>
  <r>
    <x v="8"/>
    <s v="card"/>
    <n v="35.76"/>
    <x v="0"/>
    <x v="1"/>
    <s v="Mar"/>
    <n v="5"/>
    <n v="3"/>
    <x v="371"/>
    <x v="12"/>
    <x v="0"/>
  </r>
  <r>
    <x v="3"/>
    <s v="card"/>
    <n v="35.76"/>
    <x v="0"/>
    <x v="1"/>
    <s v="Mar"/>
    <n v="5"/>
    <n v="3"/>
    <x v="371"/>
    <x v="12"/>
    <x v="0"/>
  </r>
  <r>
    <x v="3"/>
    <s v="card"/>
    <n v="35.76"/>
    <x v="0"/>
    <x v="1"/>
    <s v="Mar"/>
    <n v="5"/>
    <n v="3"/>
    <x v="371"/>
    <x v="12"/>
    <x v="0"/>
  </r>
  <r>
    <x v="4"/>
    <s v="card"/>
    <n v="25.96"/>
    <x v="2"/>
    <x v="1"/>
    <s v="Mar"/>
    <n v="5"/>
    <n v="3"/>
    <x v="371"/>
    <x v="12"/>
    <x v="0"/>
  </r>
  <r>
    <x v="4"/>
    <s v="card"/>
    <n v="35.76"/>
    <x v="4"/>
    <x v="1"/>
    <s v="Mar"/>
    <n v="5"/>
    <n v="3"/>
    <x v="371"/>
    <x v="12"/>
    <x v="0"/>
  </r>
  <r>
    <x v="4"/>
    <s v="card"/>
    <n v="35.76"/>
    <x v="4"/>
    <x v="1"/>
    <s v="Mar"/>
    <n v="5"/>
    <n v="3"/>
    <x v="371"/>
    <x v="12"/>
    <x v="0"/>
  </r>
  <r>
    <x v="4"/>
    <s v="card"/>
    <n v="35.76"/>
    <x v="4"/>
    <x v="1"/>
    <s v="Mar"/>
    <n v="5"/>
    <n v="3"/>
    <x v="371"/>
    <x v="12"/>
    <x v="0"/>
  </r>
  <r>
    <x v="9"/>
    <s v="card"/>
    <n v="25.96"/>
    <x v="2"/>
    <x v="2"/>
    <s v="Mar"/>
    <n v="5"/>
    <n v="3"/>
    <x v="371"/>
    <x v="12"/>
    <x v="0"/>
  </r>
  <r>
    <x v="9"/>
    <s v="card"/>
    <n v="25.96"/>
    <x v="2"/>
    <x v="2"/>
    <s v="Mar"/>
    <n v="5"/>
    <n v="3"/>
    <x v="371"/>
    <x v="12"/>
    <x v="0"/>
  </r>
  <r>
    <x v="9"/>
    <s v="card"/>
    <n v="35.76"/>
    <x v="0"/>
    <x v="2"/>
    <s v="Mar"/>
    <n v="5"/>
    <n v="3"/>
    <x v="371"/>
    <x v="12"/>
    <x v="0"/>
  </r>
  <r>
    <x v="9"/>
    <s v="card"/>
    <n v="35.76"/>
    <x v="0"/>
    <x v="2"/>
    <s v="Mar"/>
    <n v="5"/>
    <n v="3"/>
    <x v="371"/>
    <x v="12"/>
    <x v="0"/>
  </r>
  <r>
    <x v="11"/>
    <s v="card"/>
    <n v="25.96"/>
    <x v="2"/>
    <x v="2"/>
    <s v="Mar"/>
    <n v="5"/>
    <n v="3"/>
    <x v="371"/>
    <x v="12"/>
    <x v="0"/>
  </r>
  <r>
    <x v="15"/>
    <s v="card"/>
    <n v="25.96"/>
    <x v="2"/>
    <x v="2"/>
    <s v="Mar"/>
    <n v="5"/>
    <n v="3"/>
    <x v="371"/>
    <x v="12"/>
    <x v="0"/>
  </r>
  <r>
    <x v="10"/>
    <s v="card"/>
    <n v="30.86"/>
    <x v="3"/>
    <x v="0"/>
    <s v="Mar"/>
    <n v="6"/>
    <n v="3"/>
    <x v="372"/>
    <x v="12"/>
    <x v="1"/>
  </r>
  <r>
    <x v="0"/>
    <s v="card"/>
    <n v="35.76"/>
    <x v="7"/>
    <x v="0"/>
    <s v="Mar"/>
    <n v="6"/>
    <n v="3"/>
    <x v="372"/>
    <x v="12"/>
    <x v="1"/>
  </r>
  <r>
    <x v="2"/>
    <s v="card"/>
    <n v="25.96"/>
    <x v="2"/>
    <x v="1"/>
    <s v="Mar"/>
    <n v="6"/>
    <n v="3"/>
    <x v="372"/>
    <x v="12"/>
    <x v="1"/>
  </r>
  <r>
    <x v="9"/>
    <s v="card"/>
    <n v="35.76"/>
    <x v="7"/>
    <x v="2"/>
    <s v="Mar"/>
    <n v="6"/>
    <n v="3"/>
    <x v="372"/>
    <x v="12"/>
    <x v="1"/>
  </r>
  <r>
    <x v="9"/>
    <s v="card"/>
    <n v="30.86"/>
    <x v="3"/>
    <x v="2"/>
    <s v="Mar"/>
    <n v="6"/>
    <n v="3"/>
    <x v="372"/>
    <x v="12"/>
    <x v="1"/>
  </r>
  <r>
    <x v="6"/>
    <s v="card"/>
    <n v="30.86"/>
    <x v="3"/>
    <x v="2"/>
    <s v="Mar"/>
    <n v="6"/>
    <n v="3"/>
    <x v="372"/>
    <x v="12"/>
    <x v="1"/>
  </r>
  <r>
    <x v="6"/>
    <s v="card"/>
    <n v="35.76"/>
    <x v="7"/>
    <x v="2"/>
    <s v="Mar"/>
    <n v="6"/>
    <n v="3"/>
    <x v="372"/>
    <x v="12"/>
    <x v="1"/>
  </r>
  <r>
    <x v="10"/>
    <s v="card"/>
    <n v="35.76"/>
    <x v="7"/>
    <x v="0"/>
    <s v="Mar"/>
    <n v="7"/>
    <n v="3"/>
    <x v="373"/>
    <x v="12"/>
    <x v="2"/>
  </r>
  <r>
    <x v="10"/>
    <s v="card"/>
    <n v="30.86"/>
    <x v="3"/>
    <x v="0"/>
    <s v="Mar"/>
    <n v="7"/>
    <n v="3"/>
    <x v="373"/>
    <x v="12"/>
    <x v="2"/>
  </r>
  <r>
    <x v="0"/>
    <s v="card"/>
    <n v="35.76"/>
    <x v="0"/>
    <x v="0"/>
    <s v="Mar"/>
    <n v="7"/>
    <n v="3"/>
    <x v="373"/>
    <x v="12"/>
    <x v="2"/>
  </r>
  <r>
    <x v="1"/>
    <s v="card"/>
    <n v="35.76"/>
    <x v="1"/>
    <x v="1"/>
    <s v="Mar"/>
    <n v="7"/>
    <n v="3"/>
    <x v="373"/>
    <x v="12"/>
    <x v="2"/>
  </r>
  <r>
    <x v="8"/>
    <s v="card"/>
    <n v="25.96"/>
    <x v="2"/>
    <x v="1"/>
    <s v="Mar"/>
    <n v="7"/>
    <n v="3"/>
    <x v="373"/>
    <x v="12"/>
    <x v="2"/>
  </r>
  <r>
    <x v="16"/>
    <s v="card"/>
    <n v="25.96"/>
    <x v="2"/>
    <x v="0"/>
    <s v="Mar"/>
    <n v="1"/>
    <n v="3"/>
    <x v="374"/>
    <x v="12"/>
    <x v="3"/>
  </r>
  <r>
    <x v="12"/>
    <s v="card"/>
    <n v="25.96"/>
    <x v="2"/>
    <x v="0"/>
    <s v="Mar"/>
    <n v="1"/>
    <n v="3"/>
    <x v="374"/>
    <x v="12"/>
    <x v="3"/>
  </r>
  <r>
    <x v="12"/>
    <s v="card"/>
    <n v="25.96"/>
    <x v="2"/>
    <x v="0"/>
    <s v="Mar"/>
    <n v="1"/>
    <n v="3"/>
    <x v="374"/>
    <x v="12"/>
    <x v="3"/>
  </r>
  <r>
    <x v="10"/>
    <s v="card"/>
    <n v="30.86"/>
    <x v="3"/>
    <x v="0"/>
    <s v="Mar"/>
    <n v="1"/>
    <n v="3"/>
    <x v="374"/>
    <x v="12"/>
    <x v="3"/>
  </r>
  <r>
    <x v="0"/>
    <s v="card"/>
    <n v="25.96"/>
    <x v="2"/>
    <x v="0"/>
    <s v="Mar"/>
    <n v="1"/>
    <n v="3"/>
    <x v="374"/>
    <x v="12"/>
    <x v="3"/>
  </r>
  <r>
    <x v="2"/>
    <s v="card"/>
    <n v="25.96"/>
    <x v="2"/>
    <x v="1"/>
    <s v="Mar"/>
    <n v="1"/>
    <n v="3"/>
    <x v="374"/>
    <x v="12"/>
    <x v="3"/>
  </r>
  <r>
    <x v="8"/>
    <s v="card"/>
    <n v="35.76"/>
    <x v="4"/>
    <x v="1"/>
    <s v="Mar"/>
    <n v="1"/>
    <n v="3"/>
    <x v="374"/>
    <x v="12"/>
    <x v="3"/>
  </r>
  <r>
    <x v="8"/>
    <s v="card"/>
    <n v="35.76"/>
    <x v="4"/>
    <x v="1"/>
    <s v="Mar"/>
    <n v="1"/>
    <n v="3"/>
    <x v="374"/>
    <x v="12"/>
    <x v="3"/>
  </r>
  <r>
    <x v="8"/>
    <s v="card"/>
    <n v="35.76"/>
    <x v="0"/>
    <x v="1"/>
    <s v="Mar"/>
    <n v="1"/>
    <n v="3"/>
    <x v="374"/>
    <x v="12"/>
    <x v="3"/>
  </r>
  <r>
    <x v="3"/>
    <s v="card"/>
    <n v="35.76"/>
    <x v="7"/>
    <x v="1"/>
    <s v="Mar"/>
    <n v="1"/>
    <n v="3"/>
    <x v="374"/>
    <x v="12"/>
    <x v="3"/>
  </r>
  <r>
    <x v="3"/>
    <s v="card"/>
    <n v="35.76"/>
    <x v="0"/>
    <x v="1"/>
    <s v="Mar"/>
    <n v="1"/>
    <n v="3"/>
    <x v="374"/>
    <x v="12"/>
    <x v="3"/>
  </r>
  <r>
    <x v="3"/>
    <s v="card"/>
    <n v="35.76"/>
    <x v="0"/>
    <x v="1"/>
    <s v="Mar"/>
    <n v="1"/>
    <n v="3"/>
    <x v="374"/>
    <x v="12"/>
    <x v="3"/>
  </r>
  <r>
    <x v="4"/>
    <s v="card"/>
    <n v="25.96"/>
    <x v="2"/>
    <x v="1"/>
    <s v="Mar"/>
    <n v="1"/>
    <n v="3"/>
    <x v="374"/>
    <x v="12"/>
    <x v="3"/>
  </r>
  <r>
    <x v="12"/>
    <s v="card"/>
    <n v="30.86"/>
    <x v="3"/>
    <x v="0"/>
    <s v="Mar"/>
    <n v="2"/>
    <n v="3"/>
    <x v="375"/>
    <x v="12"/>
    <x v="4"/>
  </r>
  <r>
    <x v="12"/>
    <s v="card"/>
    <n v="35.76"/>
    <x v="0"/>
    <x v="0"/>
    <s v="Mar"/>
    <n v="2"/>
    <n v="3"/>
    <x v="375"/>
    <x v="12"/>
    <x v="4"/>
  </r>
  <r>
    <x v="0"/>
    <s v="card"/>
    <n v="35.76"/>
    <x v="0"/>
    <x v="0"/>
    <s v="Mar"/>
    <n v="2"/>
    <n v="3"/>
    <x v="375"/>
    <x v="12"/>
    <x v="4"/>
  </r>
  <r>
    <x v="0"/>
    <s v="card"/>
    <n v="25.96"/>
    <x v="2"/>
    <x v="0"/>
    <s v="Mar"/>
    <n v="2"/>
    <n v="3"/>
    <x v="375"/>
    <x v="12"/>
    <x v="4"/>
  </r>
  <r>
    <x v="7"/>
    <s v="card"/>
    <n v="35.76"/>
    <x v="1"/>
    <x v="0"/>
    <s v="Mar"/>
    <n v="2"/>
    <n v="3"/>
    <x v="375"/>
    <x v="12"/>
    <x v="4"/>
  </r>
  <r>
    <x v="7"/>
    <s v="card"/>
    <n v="35.76"/>
    <x v="1"/>
    <x v="0"/>
    <s v="Mar"/>
    <n v="2"/>
    <n v="3"/>
    <x v="375"/>
    <x v="12"/>
    <x v="4"/>
  </r>
  <r>
    <x v="8"/>
    <s v="card"/>
    <n v="30.86"/>
    <x v="3"/>
    <x v="1"/>
    <s v="Mar"/>
    <n v="2"/>
    <n v="3"/>
    <x v="375"/>
    <x v="12"/>
    <x v="4"/>
  </r>
  <r>
    <x v="3"/>
    <s v="card"/>
    <n v="25.96"/>
    <x v="2"/>
    <x v="1"/>
    <s v="Mar"/>
    <n v="2"/>
    <n v="3"/>
    <x v="375"/>
    <x v="12"/>
    <x v="4"/>
  </r>
  <r>
    <x v="3"/>
    <s v="card"/>
    <n v="30.86"/>
    <x v="3"/>
    <x v="1"/>
    <s v="Mar"/>
    <n v="2"/>
    <n v="3"/>
    <x v="375"/>
    <x v="12"/>
    <x v="4"/>
  </r>
  <r>
    <x v="4"/>
    <s v="card"/>
    <n v="25.96"/>
    <x v="2"/>
    <x v="1"/>
    <s v="Mar"/>
    <n v="2"/>
    <n v="3"/>
    <x v="375"/>
    <x v="12"/>
    <x v="4"/>
  </r>
  <r>
    <x v="4"/>
    <s v="card"/>
    <n v="35.76"/>
    <x v="0"/>
    <x v="1"/>
    <s v="Mar"/>
    <n v="2"/>
    <n v="3"/>
    <x v="375"/>
    <x v="12"/>
    <x v="4"/>
  </r>
  <r>
    <x v="4"/>
    <s v="card"/>
    <n v="21.06"/>
    <x v="6"/>
    <x v="1"/>
    <s v="Mar"/>
    <n v="2"/>
    <n v="3"/>
    <x v="375"/>
    <x v="12"/>
    <x v="4"/>
  </r>
  <r>
    <x v="5"/>
    <s v="card"/>
    <n v="35.76"/>
    <x v="4"/>
    <x v="2"/>
    <s v="Mar"/>
    <n v="2"/>
    <n v="3"/>
    <x v="375"/>
    <x v="12"/>
    <x v="4"/>
  </r>
  <r>
    <x v="5"/>
    <s v="card"/>
    <n v="35.76"/>
    <x v="4"/>
    <x v="2"/>
    <s v="Mar"/>
    <n v="2"/>
    <n v="3"/>
    <x v="375"/>
    <x v="12"/>
    <x v="4"/>
  </r>
  <r>
    <x v="11"/>
    <s v="card"/>
    <n v="35.76"/>
    <x v="4"/>
    <x v="2"/>
    <s v="Mar"/>
    <n v="2"/>
    <n v="3"/>
    <x v="375"/>
    <x v="12"/>
    <x v="4"/>
  </r>
  <r>
    <x v="11"/>
    <s v="card"/>
    <n v="35.76"/>
    <x v="4"/>
    <x v="2"/>
    <s v="Mar"/>
    <n v="2"/>
    <n v="3"/>
    <x v="375"/>
    <x v="12"/>
    <x v="4"/>
  </r>
  <r>
    <x v="15"/>
    <s v="card"/>
    <n v="35.76"/>
    <x v="0"/>
    <x v="2"/>
    <s v="Mar"/>
    <n v="2"/>
    <n v="3"/>
    <x v="375"/>
    <x v="12"/>
    <x v="4"/>
  </r>
  <r>
    <x v="14"/>
    <s v="card"/>
    <n v="25.96"/>
    <x v="2"/>
    <x v="0"/>
    <s v="Mar"/>
    <n v="3"/>
    <n v="3"/>
    <x v="376"/>
    <x v="12"/>
    <x v="5"/>
  </r>
  <r>
    <x v="14"/>
    <s v="card"/>
    <n v="25.96"/>
    <x v="2"/>
    <x v="0"/>
    <s v="Mar"/>
    <n v="3"/>
    <n v="3"/>
    <x v="376"/>
    <x v="12"/>
    <x v="5"/>
  </r>
  <r>
    <x v="14"/>
    <s v="card"/>
    <n v="35.76"/>
    <x v="7"/>
    <x v="0"/>
    <s v="Mar"/>
    <n v="3"/>
    <n v="3"/>
    <x v="376"/>
    <x v="12"/>
    <x v="5"/>
  </r>
  <r>
    <x v="12"/>
    <s v="card"/>
    <n v="25.96"/>
    <x v="2"/>
    <x v="0"/>
    <s v="Mar"/>
    <n v="3"/>
    <n v="3"/>
    <x v="376"/>
    <x v="12"/>
    <x v="5"/>
  </r>
  <r>
    <x v="0"/>
    <s v="card"/>
    <n v="35.76"/>
    <x v="1"/>
    <x v="0"/>
    <s v="Mar"/>
    <n v="3"/>
    <n v="3"/>
    <x v="376"/>
    <x v="12"/>
    <x v="5"/>
  </r>
  <r>
    <x v="7"/>
    <s v="card"/>
    <n v="25.96"/>
    <x v="2"/>
    <x v="0"/>
    <s v="Mar"/>
    <n v="3"/>
    <n v="3"/>
    <x v="376"/>
    <x v="12"/>
    <x v="5"/>
  </r>
  <r>
    <x v="1"/>
    <s v="card"/>
    <n v="25.96"/>
    <x v="2"/>
    <x v="1"/>
    <s v="Mar"/>
    <n v="3"/>
    <n v="3"/>
    <x v="376"/>
    <x v="12"/>
    <x v="5"/>
  </r>
  <r>
    <x v="3"/>
    <s v="card"/>
    <n v="35.76"/>
    <x v="0"/>
    <x v="1"/>
    <s v="Mar"/>
    <n v="3"/>
    <n v="3"/>
    <x v="376"/>
    <x v="12"/>
    <x v="5"/>
  </r>
  <r>
    <x v="3"/>
    <s v="card"/>
    <n v="35.76"/>
    <x v="0"/>
    <x v="1"/>
    <s v="Mar"/>
    <n v="3"/>
    <n v="3"/>
    <x v="376"/>
    <x v="12"/>
    <x v="5"/>
  </r>
  <r>
    <x v="4"/>
    <s v="card"/>
    <n v="35.76"/>
    <x v="0"/>
    <x v="1"/>
    <s v="Mar"/>
    <n v="3"/>
    <n v="3"/>
    <x v="376"/>
    <x v="12"/>
    <x v="5"/>
  </r>
  <r>
    <x v="4"/>
    <s v="card"/>
    <n v="25.96"/>
    <x v="2"/>
    <x v="1"/>
    <s v="Mar"/>
    <n v="3"/>
    <n v="3"/>
    <x v="376"/>
    <x v="12"/>
    <x v="5"/>
  </r>
  <r>
    <x v="4"/>
    <s v="card"/>
    <n v="35.76"/>
    <x v="7"/>
    <x v="1"/>
    <s v="Mar"/>
    <n v="3"/>
    <n v="3"/>
    <x v="376"/>
    <x v="12"/>
    <x v="5"/>
  </r>
  <r>
    <x v="4"/>
    <s v="card"/>
    <n v="35.76"/>
    <x v="7"/>
    <x v="1"/>
    <s v="Mar"/>
    <n v="3"/>
    <n v="3"/>
    <x v="376"/>
    <x v="12"/>
    <x v="5"/>
  </r>
  <r>
    <x v="4"/>
    <s v="card"/>
    <n v="25.96"/>
    <x v="2"/>
    <x v="1"/>
    <s v="Mar"/>
    <n v="3"/>
    <n v="3"/>
    <x v="376"/>
    <x v="12"/>
    <x v="5"/>
  </r>
  <r>
    <x v="4"/>
    <s v="card"/>
    <n v="25.96"/>
    <x v="2"/>
    <x v="1"/>
    <s v="Mar"/>
    <n v="3"/>
    <n v="3"/>
    <x v="376"/>
    <x v="12"/>
    <x v="5"/>
  </r>
  <r>
    <x v="9"/>
    <s v="card"/>
    <n v="35.76"/>
    <x v="4"/>
    <x v="2"/>
    <s v="Mar"/>
    <n v="3"/>
    <n v="3"/>
    <x v="376"/>
    <x v="12"/>
    <x v="5"/>
  </r>
  <r>
    <x v="9"/>
    <s v="card"/>
    <n v="30.86"/>
    <x v="3"/>
    <x v="2"/>
    <s v="Mar"/>
    <n v="3"/>
    <n v="3"/>
    <x v="376"/>
    <x v="12"/>
    <x v="5"/>
  </r>
  <r>
    <x v="9"/>
    <s v="card"/>
    <n v="30.86"/>
    <x v="3"/>
    <x v="2"/>
    <s v="Mar"/>
    <n v="3"/>
    <n v="3"/>
    <x v="376"/>
    <x v="12"/>
    <x v="5"/>
  </r>
  <r>
    <x v="5"/>
    <s v="card"/>
    <n v="25.96"/>
    <x v="5"/>
    <x v="2"/>
    <s v="Mar"/>
    <n v="3"/>
    <n v="3"/>
    <x v="376"/>
    <x v="12"/>
    <x v="5"/>
  </r>
  <r>
    <x v="5"/>
    <s v="card"/>
    <n v="21.06"/>
    <x v="6"/>
    <x v="2"/>
    <s v="Mar"/>
    <n v="3"/>
    <n v="3"/>
    <x v="376"/>
    <x v="12"/>
    <x v="5"/>
  </r>
  <r>
    <x v="5"/>
    <s v="card"/>
    <n v="21.06"/>
    <x v="6"/>
    <x v="2"/>
    <s v="Mar"/>
    <n v="3"/>
    <n v="3"/>
    <x v="376"/>
    <x v="12"/>
    <x v="5"/>
  </r>
  <r>
    <x v="12"/>
    <s v="card"/>
    <n v="30.86"/>
    <x v="3"/>
    <x v="0"/>
    <s v="Mar"/>
    <n v="4"/>
    <n v="3"/>
    <x v="377"/>
    <x v="12"/>
    <x v="6"/>
  </r>
  <r>
    <x v="10"/>
    <s v="card"/>
    <n v="30.86"/>
    <x v="3"/>
    <x v="0"/>
    <s v="Mar"/>
    <n v="4"/>
    <n v="3"/>
    <x v="377"/>
    <x v="12"/>
    <x v="6"/>
  </r>
  <r>
    <x v="0"/>
    <s v="card"/>
    <n v="30.86"/>
    <x v="3"/>
    <x v="0"/>
    <s v="Mar"/>
    <n v="4"/>
    <n v="3"/>
    <x v="377"/>
    <x v="12"/>
    <x v="6"/>
  </r>
  <r>
    <x v="0"/>
    <s v="card"/>
    <n v="25.96"/>
    <x v="2"/>
    <x v="0"/>
    <s v="Mar"/>
    <n v="4"/>
    <n v="3"/>
    <x v="377"/>
    <x v="12"/>
    <x v="6"/>
  </r>
  <r>
    <x v="0"/>
    <s v="card"/>
    <n v="25.96"/>
    <x v="2"/>
    <x v="0"/>
    <s v="Mar"/>
    <n v="4"/>
    <n v="3"/>
    <x v="377"/>
    <x v="12"/>
    <x v="6"/>
  </r>
  <r>
    <x v="1"/>
    <s v="card"/>
    <n v="25.96"/>
    <x v="2"/>
    <x v="1"/>
    <s v="Mar"/>
    <n v="4"/>
    <n v="3"/>
    <x v="377"/>
    <x v="12"/>
    <x v="6"/>
  </r>
  <r>
    <x v="8"/>
    <s v="card"/>
    <n v="25.96"/>
    <x v="2"/>
    <x v="1"/>
    <s v="Mar"/>
    <n v="4"/>
    <n v="3"/>
    <x v="377"/>
    <x v="12"/>
    <x v="6"/>
  </r>
  <r>
    <x v="8"/>
    <s v="card"/>
    <n v="25.96"/>
    <x v="2"/>
    <x v="1"/>
    <s v="Mar"/>
    <n v="4"/>
    <n v="3"/>
    <x v="377"/>
    <x v="12"/>
    <x v="6"/>
  </r>
  <r>
    <x v="8"/>
    <s v="card"/>
    <n v="21.06"/>
    <x v="6"/>
    <x v="1"/>
    <s v="Mar"/>
    <n v="4"/>
    <n v="3"/>
    <x v="377"/>
    <x v="12"/>
    <x v="6"/>
  </r>
  <r>
    <x v="8"/>
    <s v="card"/>
    <n v="25.96"/>
    <x v="5"/>
    <x v="1"/>
    <s v="Mar"/>
    <n v="4"/>
    <n v="3"/>
    <x v="377"/>
    <x v="12"/>
    <x v="6"/>
  </r>
  <r>
    <x v="8"/>
    <s v="card"/>
    <n v="35.76"/>
    <x v="7"/>
    <x v="1"/>
    <s v="Mar"/>
    <n v="4"/>
    <n v="3"/>
    <x v="377"/>
    <x v="12"/>
    <x v="6"/>
  </r>
  <r>
    <x v="8"/>
    <s v="card"/>
    <n v="35.76"/>
    <x v="7"/>
    <x v="1"/>
    <s v="Mar"/>
    <n v="4"/>
    <n v="3"/>
    <x v="377"/>
    <x v="12"/>
    <x v="6"/>
  </r>
  <r>
    <x v="3"/>
    <s v="card"/>
    <n v="25.96"/>
    <x v="2"/>
    <x v="1"/>
    <s v="Mar"/>
    <n v="4"/>
    <n v="3"/>
    <x v="377"/>
    <x v="12"/>
    <x v="6"/>
  </r>
  <r>
    <x v="3"/>
    <s v="card"/>
    <n v="25.96"/>
    <x v="2"/>
    <x v="1"/>
    <s v="Mar"/>
    <n v="4"/>
    <n v="3"/>
    <x v="377"/>
    <x v="12"/>
    <x v="6"/>
  </r>
  <r>
    <x v="4"/>
    <s v="card"/>
    <n v="35.76"/>
    <x v="7"/>
    <x v="1"/>
    <s v="Mar"/>
    <n v="4"/>
    <n v="3"/>
    <x v="377"/>
    <x v="12"/>
    <x v="6"/>
  </r>
  <r>
    <x v="9"/>
    <s v="card"/>
    <n v="25.96"/>
    <x v="2"/>
    <x v="2"/>
    <s v="Mar"/>
    <n v="4"/>
    <n v="3"/>
    <x v="377"/>
    <x v="12"/>
    <x v="6"/>
  </r>
  <r>
    <x v="5"/>
    <s v="card"/>
    <n v="35.76"/>
    <x v="1"/>
    <x v="2"/>
    <s v="Mar"/>
    <n v="4"/>
    <n v="3"/>
    <x v="377"/>
    <x v="12"/>
    <x v="6"/>
  </r>
  <r>
    <x v="6"/>
    <s v="card"/>
    <n v="35.76"/>
    <x v="4"/>
    <x v="2"/>
    <s v="Mar"/>
    <n v="4"/>
    <n v="3"/>
    <x v="377"/>
    <x v="12"/>
    <x v="6"/>
  </r>
  <r>
    <x v="6"/>
    <s v="card"/>
    <n v="35.76"/>
    <x v="7"/>
    <x v="2"/>
    <s v="Mar"/>
    <n v="4"/>
    <n v="3"/>
    <x v="377"/>
    <x v="12"/>
    <x v="6"/>
  </r>
  <r>
    <x v="15"/>
    <s v="card"/>
    <n v="35.76"/>
    <x v="0"/>
    <x v="2"/>
    <s v="Mar"/>
    <n v="4"/>
    <n v="3"/>
    <x v="377"/>
    <x v="12"/>
    <x v="6"/>
  </r>
  <r>
    <x v="14"/>
    <s v="card"/>
    <n v="30.86"/>
    <x v="3"/>
    <x v="0"/>
    <s v="Mar"/>
    <n v="5"/>
    <n v="3"/>
    <x v="378"/>
    <x v="12"/>
    <x v="0"/>
  </r>
  <r>
    <x v="14"/>
    <s v="card"/>
    <n v="30.86"/>
    <x v="3"/>
    <x v="0"/>
    <s v="Mar"/>
    <n v="5"/>
    <n v="3"/>
    <x v="378"/>
    <x v="12"/>
    <x v="0"/>
  </r>
  <r>
    <x v="12"/>
    <s v="card"/>
    <n v="25.96"/>
    <x v="2"/>
    <x v="0"/>
    <s v="Mar"/>
    <n v="5"/>
    <n v="3"/>
    <x v="378"/>
    <x v="12"/>
    <x v="0"/>
  </r>
  <r>
    <x v="12"/>
    <s v="card"/>
    <n v="25.96"/>
    <x v="2"/>
    <x v="0"/>
    <s v="Mar"/>
    <n v="5"/>
    <n v="3"/>
    <x v="378"/>
    <x v="12"/>
    <x v="0"/>
  </r>
  <r>
    <x v="12"/>
    <s v="card"/>
    <n v="25.96"/>
    <x v="2"/>
    <x v="0"/>
    <s v="Mar"/>
    <n v="5"/>
    <n v="3"/>
    <x v="378"/>
    <x v="12"/>
    <x v="0"/>
  </r>
  <r>
    <x v="12"/>
    <s v="card"/>
    <n v="35.76"/>
    <x v="7"/>
    <x v="0"/>
    <s v="Mar"/>
    <n v="5"/>
    <n v="3"/>
    <x v="378"/>
    <x v="12"/>
    <x v="0"/>
  </r>
  <r>
    <x v="7"/>
    <s v="card"/>
    <n v="25.96"/>
    <x v="2"/>
    <x v="0"/>
    <s v="Mar"/>
    <n v="5"/>
    <n v="3"/>
    <x v="378"/>
    <x v="12"/>
    <x v="0"/>
  </r>
  <r>
    <x v="7"/>
    <s v="card"/>
    <n v="35.76"/>
    <x v="0"/>
    <x v="0"/>
    <s v="Mar"/>
    <n v="5"/>
    <n v="3"/>
    <x v="378"/>
    <x v="12"/>
    <x v="0"/>
  </r>
  <r>
    <x v="2"/>
    <s v="card"/>
    <n v="25.96"/>
    <x v="2"/>
    <x v="1"/>
    <s v="Mar"/>
    <n v="5"/>
    <n v="3"/>
    <x v="378"/>
    <x v="12"/>
    <x v="0"/>
  </r>
  <r>
    <x v="2"/>
    <s v="card"/>
    <n v="35.76"/>
    <x v="0"/>
    <x v="1"/>
    <s v="Mar"/>
    <n v="5"/>
    <n v="3"/>
    <x v="378"/>
    <x v="12"/>
    <x v="0"/>
  </r>
  <r>
    <x v="8"/>
    <s v="card"/>
    <n v="35.76"/>
    <x v="7"/>
    <x v="1"/>
    <s v="Mar"/>
    <n v="5"/>
    <n v="3"/>
    <x v="378"/>
    <x v="12"/>
    <x v="0"/>
  </r>
  <r>
    <x v="3"/>
    <s v="card"/>
    <n v="35.76"/>
    <x v="7"/>
    <x v="1"/>
    <s v="Mar"/>
    <n v="5"/>
    <n v="3"/>
    <x v="378"/>
    <x v="12"/>
    <x v="0"/>
  </r>
  <r>
    <x v="3"/>
    <s v="card"/>
    <n v="25.96"/>
    <x v="2"/>
    <x v="1"/>
    <s v="Mar"/>
    <n v="5"/>
    <n v="3"/>
    <x v="378"/>
    <x v="12"/>
    <x v="0"/>
  </r>
  <r>
    <x v="3"/>
    <s v="card"/>
    <n v="35.76"/>
    <x v="0"/>
    <x v="1"/>
    <s v="Mar"/>
    <n v="5"/>
    <n v="3"/>
    <x v="378"/>
    <x v="12"/>
    <x v="0"/>
  </r>
  <r>
    <x v="3"/>
    <s v="card"/>
    <n v="35.76"/>
    <x v="7"/>
    <x v="1"/>
    <s v="Mar"/>
    <n v="5"/>
    <n v="3"/>
    <x v="378"/>
    <x v="12"/>
    <x v="0"/>
  </r>
  <r>
    <x v="9"/>
    <s v="card"/>
    <n v="35.76"/>
    <x v="1"/>
    <x v="2"/>
    <s v="Mar"/>
    <n v="5"/>
    <n v="3"/>
    <x v="378"/>
    <x v="12"/>
    <x v="0"/>
  </r>
  <r>
    <x v="9"/>
    <s v="card"/>
    <n v="35.76"/>
    <x v="0"/>
    <x v="2"/>
    <s v="Mar"/>
    <n v="5"/>
    <n v="3"/>
    <x v="378"/>
    <x v="12"/>
    <x v="0"/>
  </r>
  <r>
    <x v="9"/>
    <s v="card"/>
    <n v="35.76"/>
    <x v="0"/>
    <x v="2"/>
    <s v="Mar"/>
    <n v="5"/>
    <n v="3"/>
    <x v="378"/>
    <x v="12"/>
    <x v="0"/>
  </r>
  <r>
    <x v="5"/>
    <s v="card"/>
    <n v="35.76"/>
    <x v="0"/>
    <x v="2"/>
    <s v="Mar"/>
    <n v="5"/>
    <n v="3"/>
    <x v="378"/>
    <x v="12"/>
    <x v="0"/>
  </r>
  <r>
    <x v="5"/>
    <s v="card"/>
    <n v="25.96"/>
    <x v="2"/>
    <x v="2"/>
    <s v="Mar"/>
    <n v="5"/>
    <n v="3"/>
    <x v="378"/>
    <x v="12"/>
    <x v="0"/>
  </r>
  <r>
    <x v="10"/>
    <s v="card"/>
    <n v="30.86"/>
    <x v="3"/>
    <x v="0"/>
    <s v="Mar"/>
    <n v="6"/>
    <n v="3"/>
    <x v="379"/>
    <x v="12"/>
    <x v="1"/>
  </r>
  <r>
    <x v="0"/>
    <s v="card"/>
    <n v="30.86"/>
    <x v="3"/>
    <x v="0"/>
    <s v="Mar"/>
    <n v="6"/>
    <n v="3"/>
    <x v="379"/>
    <x v="12"/>
    <x v="1"/>
  </r>
  <r>
    <x v="7"/>
    <s v="card"/>
    <n v="35.76"/>
    <x v="1"/>
    <x v="0"/>
    <s v="Mar"/>
    <n v="6"/>
    <n v="3"/>
    <x v="379"/>
    <x v="12"/>
    <x v="1"/>
  </r>
  <r>
    <x v="7"/>
    <s v="card"/>
    <n v="35.76"/>
    <x v="4"/>
    <x v="0"/>
    <s v="Mar"/>
    <n v="6"/>
    <n v="3"/>
    <x v="379"/>
    <x v="12"/>
    <x v="1"/>
  </r>
  <r>
    <x v="1"/>
    <s v="card"/>
    <n v="30.86"/>
    <x v="3"/>
    <x v="1"/>
    <s v="Mar"/>
    <n v="6"/>
    <n v="3"/>
    <x v="379"/>
    <x v="12"/>
    <x v="1"/>
  </r>
  <r>
    <x v="1"/>
    <s v="card"/>
    <n v="25.96"/>
    <x v="2"/>
    <x v="1"/>
    <s v="Mar"/>
    <n v="6"/>
    <n v="3"/>
    <x v="379"/>
    <x v="12"/>
    <x v="1"/>
  </r>
  <r>
    <x v="2"/>
    <s v="card"/>
    <n v="25.96"/>
    <x v="2"/>
    <x v="1"/>
    <s v="Mar"/>
    <n v="6"/>
    <n v="3"/>
    <x v="379"/>
    <x v="12"/>
    <x v="1"/>
  </r>
  <r>
    <x v="2"/>
    <s v="card"/>
    <n v="30.86"/>
    <x v="3"/>
    <x v="1"/>
    <s v="Mar"/>
    <n v="6"/>
    <n v="3"/>
    <x v="379"/>
    <x v="12"/>
    <x v="1"/>
  </r>
  <r>
    <x v="3"/>
    <s v="card"/>
    <n v="21.06"/>
    <x v="6"/>
    <x v="1"/>
    <s v="Mar"/>
    <n v="6"/>
    <n v="3"/>
    <x v="379"/>
    <x v="12"/>
    <x v="1"/>
  </r>
  <r>
    <x v="4"/>
    <s v="card"/>
    <n v="35.76"/>
    <x v="0"/>
    <x v="1"/>
    <s v="Mar"/>
    <n v="6"/>
    <n v="3"/>
    <x v="379"/>
    <x v="12"/>
    <x v="1"/>
  </r>
  <r>
    <x v="9"/>
    <s v="card"/>
    <n v="30.86"/>
    <x v="3"/>
    <x v="2"/>
    <s v="Mar"/>
    <n v="6"/>
    <n v="3"/>
    <x v="379"/>
    <x v="12"/>
    <x v="1"/>
  </r>
  <r>
    <x v="6"/>
    <s v="card"/>
    <n v="30.86"/>
    <x v="3"/>
    <x v="2"/>
    <s v="Mar"/>
    <n v="6"/>
    <n v="3"/>
    <x v="379"/>
    <x v="12"/>
    <x v="1"/>
  </r>
  <r>
    <x v="0"/>
    <s v="card"/>
    <n v="35.76"/>
    <x v="0"/>
    <x v="0"/>
    <s v="Mar"/>
    <n v="7"/>
    <n v="3"/>
    <x v="380"/>
    <x v="12"/>
    <x v="2"/>
  </r>
  <r>
    <x v="0"/>
    <s v="card"/>
    <n v="35.76"/>
    <x v="7"/>
    <x v="0"/>
    <s v="Mar"/>
    <n v="7"/>
    <n v="3"/>
    <x v="380"/>
    <x v="12"/>
    <x v="2"/>
  </r>
  <r>
    <x v="8"/>
    <s v="card"/>
    <n v="35.76"/>
    <x v="4"/>
    <x v="1"/>
    <s v="Mar"/>
    <n v="7"/>
    <n v="3"/>
    <x v="380"/>
    <x v="12"/>
    <x v="2"/>
  </r>
  <r>
    <x v="8"/>
    <s v="card"/>
    <n v="35.76"/>
    <x v="4"/>
    <x v="1"/>
    <s v="Mar"/>
    <n v="7"/>
    <n v="3"/>
    <x v="380"/>
    <x v="12"/>
    <x v="2"/>
  </r>
  <r>
    <x v="3"/>
    <s v="card"/>
    <n v="25.96"/>
    <x v="2"/>
    <x v="1"/>
    <s v="Mar"/>
    <n v="7"/>
    <n v="3"/>
    <x v="380"/>
    <x v="12"/>
    <x v="2"/>
  </r>
  <r>
    <x v="5"/>
    <s v="card"/>
    <n v="35.76"/>
    <x v="0"/>
    <x v="2"/>
    <s v="Mar"/>
    <n v="7"/>
    <n v="3"/>
    <x v="380"/>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78AED-833D-4244-9F8E-7776A549E84F}" name="Sales Trends by Month"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B100:C114" firstHeaderRow="1" firstDataRow="1" firstDataCol="1"/>
  <pivotFields count="13">
    <pivotField showAll="0"/>
    <pivotField showAll="0"/>
    <pivotField dataField="1" showAll="0"/>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axis="axisRow" showAll="0">
      <items count="14">
        <item x="0"/>
        <item x="1"/>
        <item x="2"/>
        <item x="3"/>
        <item x="4"/>
        <item x="5"/>
        <item x="6"/>
        <item x="7"/>
        <item x="8"/>
        <item x="9"/>
        <item x="10"/>
        <item x="11"/>
        <item x="1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money" fld="2" baseField="0" baseItem="0" numFmtId="166"/>
  </dataFields>
  <formats count="4">
    <format dxfId="220">
      <pivotArea type="all" dataOnly="0" outline="0" fieldPosition="0"/>
    </format>
    <format dxfId="219">
      <pivotArea outline="0" collapsedLevelsAreSubtotals="1" fieldPosition="0"/>
    </format>
    <format dxfId="218">
      <pivotArea dataOnly="0" labelOnly="1" outline="0" axis="axisValues" fieldPosition="0"/>
    </format>
    <format dxfId="217">
      <pivotArea outline="0" fieldPosition="0">
        <references count="1">
          <reference field="429496729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B37F8-9F00-4F41-BA2E-720FD10303E1}" name="Peak Hou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1:D23" firstHeaderRow="0" firstDataRow="1" firstDataCol="1"/>
  <pivotFields count="13">
    <pivotField axis="axisRow" showAll="0" measureFilter="1" sortType="descending">
      <items count="18">
        <item x="16"/>
        <item x="14"/>
        <item x="12"/>
        <item x="10"/>
        <item x="0"/>
        <item x="7"/>
        <item x="1"/>
        <item x="2"/>
        <item x="8"/>
        <item x="3"/>
        <item x="4"/>
        <item x="9"/>
        <item x="5"/>
        <item x="6"/>
        <item x="11"/>
        <item x="15"/>
        <item x="13"/>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0"/>
  </rowFields>
  <rowItems count="2">
    <i>
      <x v="4"/>
    </i>
    <i t="grand">
      <x/>
    </i>
  </rowItems>
  <colFields count="1">
    <field x="-2"/>
  </colFields>
  <colItems count="2">
    <i>
      <x/>
    </i>
    <i i="1">
      <x v="1"/>
    </i>
  </colItems>
  <dataFields count="2">
    <dataField name="Count of cash_type" fld="1" subtotal="count" baseField="0" baseItem="0"/>
    <dataField name="Sum of money" fld="2" baseField="0" baseItem="0"/>
  </dataFields>
  <formats count="3">
    <format dxfId="223">
      <pivotArea type="all" dataOnly="0" outline="0" fieldPosition="0"/>
    </format>
    <format dxfId="222">
      <pivotArea outline="0" collapsedLevelsAreSubtotals="1" fieldPosition="0"/>
    </format>
    <format dxfId="221">
      <pivotArea dataOnly="0" labelOnly="1" outline="0" axis="axisValues" fieldPosition="0"/>
    </format>
  </formats>
  <pivotTableStyleInfo name="PivotStyleLight22" showRowHeaders="1" showColHeaders="1" showRowStripes="0" showColStripes="0" showLastColumn="1"/>
  <filters count="1">
    <filter fld="0"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EC83D3-1766-453E-9272-9A2FE74E0AA2}" name="Best Selling Produc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D18" firstHeaderRow="0" firstDataRow="1" firstDataCol="1"/>
  <pivotFields count="13">
    <pivotField showAll="0"/>
    <pivotField dataField="1"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9">
    <i>
      <x v="7"/>
    </i>
    <i>
      <x v="1"/>
    </i>
    <i>
      <x v="2"/>
    </i>
    <i>
      <x/>
    </i>
    <i>
      <x v="6"/>
    </i>
    <i>
      <x v="3"/>
    </i>
    <i>
      <x v="4"/>
    </i>
    <i>
      <x v="5"/>
    </i>
    <i t="grand">
      <x/>
    </i>
  </rowItems>
  <colFields count="1">
    <field x="-2"/>
  </colFields>
  <colItems count="2">
    <i>
      <x/>
    </i>
    <i i="1">
      <x v="1"/>
    </i>
  </colItems>
  <dataFields count="2">
    <dataField name="Total Revenue" fld="2" showDataAs="percentOfTotal" baseField="0" baseItem="0" numFmtId="165"/>
    <dataField name="Count of cash_type" fld="1" subtotal="count" baseField="0" baseItem="0"/>
  </dataFields>
  <formats count="4">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outline="0" fieldPosition="0">
        <references count="1">
          <reference field="4294967294" count="1">
            <x v="0"/>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76D20-861A-4386-BFFD-2C7290FCDFF5}" name="Revenue by Time of Da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70:C74" firstHeaderRow="1" firstDataRow="1" firstDataCol="1"/>
  <pivotFields count="13">
    <pivotField showAll="0"/>
    <pivotField showAll="0"/>
    <pivotField dataField="1" showAll="0"/>
    <pivotField showAll="0">
      <items count="9">
        <item x="2"/>
        <item x="3"/>
        <item x="7"/>
        <item x="4"/>
        <item x="5"/>
        <item x="6"/>
        <item x="1"/>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4">
    <i>
      <x v="2"/>
    </i>
    <i>
      <x v="1"/>
    </i>
    <i>
      <x/>
    </i>
    <i t="grand">
      <x/>
    </i>
  </rowItems>
  <colItems count="1">
    <i/>
  </colItems>
  <dataFields count="1">
    <dataField name="Sum of money" fld="2" showDataAs="percentOfTotal" baseField="0" baseItem="0" numFmtId="10"/>
  </dataFields>
  <formats count="4">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outline="0" fieldPosition="0">
        <references count="1">
          <reference field="4294967294" count="1">
            <x v="0"/>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CD64B-C976-44C7-99A2-644077797135}" name="KPI Car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C6" firstHeaderRow="0" firstDataRow="1" firstDataCol="0"/>
  <pivotFields count="13">
    <pivotField showAll="0"/>
    <pivotField dataField="1" showAll="0"/>
    <pivotField dataField="1" showAll="0"/>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2">
    <i>
      <x/>
    </i>
    <i i="1">
      <x v="1"/>
    </i>
  </colItems>
  <dataFields count="2">
    <dataField name="Total Revenue" fld="2" baseField="0" baseItem="0" numFmtId="166"/>
    <dataField name="Total Transaction" fld="1" subtotal="count" baseField="0" baseItem="0"/>
  </dataFields>
  <formats count="4">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outline="0" fieldPosition="0">
        <references count="1">
          <reference field="4294967294" count="1">
            <x v="0"/>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32D05D-69ED-4554-B4FE-4BE6D1019D26}" name="Revenue by Hou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B47:C65" firstHeaderRow="1" firstDataRow="1" firstDataCol="1"/>
  <pivotFields count="13">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2" baseField="0" baseItem="0" numFmtId="167"/>
  </dataFields>
  <formats count="4">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FC4679-2914-4870-812A-54A16DA69F34}" name="Top 5 Product by 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89:C98" firstHeaderRow="1" firstDataRow="1" firstDataCol="1"/>
  <pivotFields count="13">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9">
    <i>
      <x v="7"/>
    </i>
    <i>
      <x v="1"/>
    </i>
    <i>
      <x v="2"/>
    </i>
    <i>
      <x/>
    </i>
    <i>
      <x v="6"/>
    </i>
    <i>
      <x v="3"/>
    </i>
    <i>
      <x v="4"/>
    </i>
    <i>
      <x v="5"/>
    </i>
    <i t="grand">
      <x/>
    </i>
  </rowItems>
  <colItems count="1">
    <i/>
  </colItems>
  <dataFields count="1">
    <dataField name="Sum of money" fld="2" baseField="0" baseItem="0" numFmtId="166"/>
  </dataFields>
  <formats count="4">
    <format dxfId="243">
      <pivotArea type="all" dataOnly="0" outline="0" fieldPosition="0"/>
    </format>
    <format dxfId="242">
      <pivotArea outline="0" collapsedLevelsAreSubtotals="1" fieldPosition="0"/>
    </format>
    <format dxfId="241">
      <pivotArea dataOnly="0" labelOnly="1" outline="0" axis="axisValues" fieldPosition="0"/>
    </format>
    <format dxfId="240">
      <pivotArea outline="0" fieldPosition="0">
        <references count="1">
          <reference field="4294967294" count="1">
            <x v="0"/>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3D123E-466F-4485-9FE3-D590AA6FC6D9}" name="Revenue by Day of Week"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29:C37" firstHeaderRow="1" firstDataRow="1" firstDataCol="1"/>
  <pivotFields count="13">
    <pivotField showAll="0"/>
    <pivotField showAll="0"/>
    <pivotField dataField="1" showAll="0"/>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axis="axisRow" showAll="0">
      <items count="8">
        <item x="3"/>
        <item x="4"/>
        <item x="5"/>
        <item x="6"/>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8">
    <i>
      <x/>
    </i>
    <i>
      <x v="1"/>
    </i>
    <i>
      <x v="2"/>
    </i>
    <i>
      <x v="3"/>
    </i>
    <i>
      <x v="4"/>
    </i>
    <i>
      <x v="5"/>
    </i>
    <i>
      <x v="6"/>
    </i>
    <i t="grand">
      <x/>
    </i>
  </rowItems>
  <colItems count="1">
    <i/>
  </colItems>
  <dataFields count="1">
    <dataField name="Sum of money" fld="2" baseField="0" baseItem="0" numFmtId="166"/>
  </dataFields>
  <formats count="4">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ACB233B0-74D2-453A-99A5-0ADF1519C147}" sourceName="coffee_name">
  <pivotTables>
    <pivotTable tabId="3" name="KPI Card"/>
    <pivotTable tabId="3" name="Best Selling Product"/>
    <pivotTable tabId="3" name="Peak Hour"/>
    <pivotTable tabId="3" name="Sales Trends by Month"/>
    <pivotTable tabId="3" name="Revenue by Day of Week"/>
    <pivotTable tabId="3" name="Revenue by Hour"/>
    <pivotTable tabId="3" name="Revenue by Time of Day"/>
    <pivotTable tabId="3" name="Top 5 Product by Revenue"/>
  </pivotTables>
  <data>
    <tabular pivotCacheId="1674797973">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05CF9EF7-3A03-4D91-972B-02CD2C609466}" sourceName="Time_of_Day">
  <pivotTables>
    <pivotTable tabId="3" name="KPI Card"/>
    <pivotTable tabId="3" name="Best Selling Product"/>
    <pivotTable tabId="3" name="Peak Hour"/>
    <pivotTable tabId="3" name="Revenue by Day of Week"/>
    <pivotTable tabId="3" name="Revenue by Hour"/>
    <pivotTable tabId="3" name="Revenue by Time of Day"/>
    <pivotTable tabId="3" name="Top 5 Product by Revenue"/>
    <pivotTable tabId="3" name="Sales Trends by Month"/>
  </pivotTables>
  <data>
    <tabular pivotCacheId="16747979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D8AB70AB-BE50-4857-BB5E-15B7C9A2D421}" cache="Slicer_coffee_name" caption="coffee_name" rowHeight="241300"/>
  <slicer name="Time_of_Day" xr10:uid="{2986914E-A46A-4E35-B85B-FCF047CC5D79}" cache="Slicer_Time_of_Day" caption="Time_of_Da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1361680F-5B06-4689-A03F-51DF564238A2}" cache="Slicer_coffee_name" caption="coffee_name" style="Slicer Style 1" rowHeight="241300"/>
  <slicer name="Time_of_Day 1" xr10:uid="{909654CE-42AA-444E-80E8-05EED627388E}" cache="Slicer_Time_of_Day" caption="Time_of_Da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30FC2-6B60-4519-B575-CC316A344418}" name="Table1" displayName="Table1" ref="A1:K3548" totalsRowShown="0">
  <autoFilter ref="A1:K3548" xr:uid="{CB530FC2-6B60-4519-B575-CC316A344418}"/>
  <tableColumns count="11">
    <tableColumn id="1" xr3:uid="{1B44E843-98A5-4759-8B01-FB4687C40DB7}" name="hour_of_day"/>
    <tableColumn id="2" xr3:uid="{7606AEFF-6ACB-4B69-98F0-41A797577F2A}" name="cash_type"/>
    <tableColumn id="3" xr3:uid="{31ED6658-E79A-4384-BCA2-A1A6C3422D1F}" name="money"/>
    <tableColumn id="4" xr3:uid="{9EF1E32E-EE67-4CDD-90F0-ABC6803174B9}" name="coffee_name"/>
    <tableColumn id="5" xr3:uid="{509503CB-D6D1-42DF-8655-CECE0FBE4F35}" name="Time_of_Day"/>
    <tableColumn id="7" xr3:uid="{65EF7405-FF5E-4840-A1AD-6DAFFED21289}" name="Month_name"/>
    <tableColumn id="8" xr3:uid="{62F04937-9BE9-4320-BA51-AE6A723C5DF4}" name="Weekdaysort"/>
    <tableColumn id="9" xr3:uid="{431B614D-5D82-4652-9213-AA5189FCB4D8}" name="Monthsort"/>
    <tableColumn id="10" xr3:uid="{370A93BD-8DCA-40FC-9648-DF7193718C2A}" name="Date"/>
    <tableColumn id="12" xr3:uid="{38D66F62-688C-4DEE-A535-905627C88050}" name="Month_Year" dataDxfId="249">
      <calculatedColumnFormula>TEXT(Table1[[#This Row],[Date]],"[$-en-US]mmm yyyy")</calculatedColumnFormula>
    </tableColumn>
    <tableColumn id="11" xr3:uid="{0A200EBF-EACB-429C-8C5C-428A4ACFAED5}" name="Weekdays" dataDxfId="248">
      <calculatedColumnFormula>TEXT(Table1[[#This Row],[Date]],"[$-en-US]ddd")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1EA0-1EF2-4771-977F-291F02C82B94}">
  <dimension ref="A1:A3548"/>
  <sheetViews>
    <sheetView workbookViewId="0"/>
  </sheetViews>
  <sheetFormatPr defaultRowHeight="15" x14ac:dyDescent="0.25"/>
  <cols>
    <col min="1" max="16384" width="9.140625" style="1"/>
  </cols>
  <sheetData>
    <row r="1" spans="1:1" x14ac:dyDescent="0.25">
      <c r="A1" s="1" t="s">
        <v>40</v>
      </c>
    </row>
    <row r="2" spans="1:1" x14ac:dyDescent="0.25">
      <c r="A2" s="1" t="s">
        <v>41</v>
      </c>
    </row>
    <row r="3" spans="1:1" x14ac:dyDescent="0.25">
      <c r="A3" s="1" t="s">
        <v>42</v>
      </c>
    </row>
    <row r="4" spans="1:1" x14ac:dyDescent="0.25">
      <c r="A4" s="1" t="s">
        <v>43</v>
      </c>
    </row>
    <row r="5" spans="1:1" x14ac:dyDescent="0.25">
      <c r="A5" s="1" t="s">
        <v>44</v>
      </c>
    </row>
    <row r="6" spans="1:1" x14ac:dyDescent="0.25">
      <c r="A6" s="1" t="s">
        <v>45</v>
      </c>
    </row>
    <row r="7" spans="1:1" x14ac:dyDescent="0.25">
      <c r="A7" s="1" t="s">
        <v>46</v>
      </c>
    </row>
    <row r="8" spans="1:1" x14ac:dyDescent="0.25">
      <c r="A8" s="1" t="s">
        <v>47</v>
      </c>
    </row>
    <row r="9" spans="1:1" x14ac:dyDescent="0.25">
      <c r="A9" s="1" t="s">
        <v>48</v>
      </c>
    </row>
    <row r="10" spans="1:1" x14ac:dyDescent="0.25">
      <c r="A10" s="1" t="s">
        <v>49</v>
      </c>
    </row>
    <row r="11" spans="1:1" x14ac:dyDescent="0.25">
      <c r="A11" s="1" t="s">
        <v>50</v>
      </c>
    </row>
    <row r="12" spans="1:1" x14ac:dyDescent="0.25">
      <c r="A12" s="1" t="s">
        <v>51</v>
      </c>
    </row>
    <row r="13" spans="1:1" x14ac:dyDescent="0.25">
      <c r="A13" s="1" t="s">
        <v>52</v>
      </c>
    </row>
    <row r="14" spans="1:1" x14ac:dyDescent="0.25">
      <c r="A14" s="1" t="s">
        <v>53</v>
      </c>
    </row>
    <row r="15" spans="1:1" x14ac:dyDescent="0.25">
      <c r="A15" s="1" t="s">
        <v>54</v>
      </c>
    </row>
    <row r="16" spans="1:1" x14ac:dyDescent="0.25">
      <c r="A16" s="1" t="s">
        <v>55</v>
      </c>
    </row>
    <row r="17" spans="1:1" x14ac:dyDescent="0.25">
      <c r="A17" s="1" t="s">
        <v>56</v>
      </c>
    </row>
    <row r="18" spans="1:1" x14ac:dyDescent="0.25">
      <c r="A18" s="1" t="s">
        <v>57</v>
      </c>
    </row>
    <row r="19" spans="1:1" x14ac:dyDescent="0.25">
      <c r="A19" s="1" t="s">
        <v>58</v>
      </c>
    </row>
    <row r="20" spans="1:1" x14ac:dyDescent="0.25">
      <c r="A20" s="1" t="s">
        <v>59</v>
      </c>
    </row>
    <row r="21" spans="1:1" x14ac:dyDescent="0.25">
      <c r="A21" s="1" t="s">
        <v>60</v>
      </c>
    </row>
    <row r="22" spans="1:1" x14ac:dyDescent="0.25">
      <c r="A22" s="1" t="s">
        <v>61</v>
      </c>
    </row>
    <row r="23" spans="1:1" x14ac:dyDescent="0.25">
      <c r="A23" s="1" t="s">
        <v>62</v>
      </c>
    </row>
    <row r="24" spans="1:1" x14ac:dyDescent="0.25">
      <c r="A24" s="1" t="s">
        <v>63</v>
      </c>
    </row>
    <row r="25" spans="1:1" x14ac:dyDescent="0.25">
      <c r="A25" s="1" t="s">
        <v>64</v>
      </c>
    </row>
    <row r="26" spans="1:1" x14ac:dyDescent="0.25">
      <c r="A26" s="1" t="s">
        <v>65</v>
      </c>
    </row>
    <row r="27" spans="1:1" x14ac:dyDescent="0.25">
      <c r="A27" s="1" t="s">
        <v>66</v>
      </c>
    </row>
    <row r="28" spans="1:1" x14ac:dyDescent="0.25">
      <c r="A28" s="1" t="s">
        <v>67</v>
      </c>
    </row>
    <row r="29" spans="1:1" x14ac:dyDescent="0.25">
      <c r="A29" s="1" t="s">
        <v>68</v>
      </c>
    </row>
    <row r="30" spans="1:1" x14ac:dyDescent="0.25">
      <c r="A30" s="1" t="s">
        <v>69</v>
      </c>
    </row>
    <row r="31" spans="1:1" x14ac:dyDescent="0.25">
      <c r="A31" s="1" t="s">
        <v>70</v>
      </c>
    </row>
    <row r="32" spans="1:1" x14ac:dyDescent="0.25">
      <c r="A32" s="1" t="s">
        <v>71</v>
      </c>
    </row>
    <row r="33" spans="1:1" x14ac:dyDescent="0.25">
      <c r="A33" s="1" t="s">
        <v>72</v>
      </c>
    </row>
    <row r="34" spans="1:1" x14ac:dyDescent="0.25">
      <c r="A34" s="1" t="s">
        <v>73</v>
      </c>
    </row>
    <row r="35" spans="1:1" x14ac:dyDescent="0.25">
      <c r="A35" s="1" t="s">
        <v>74</v>
      </c>
    </row>
    <row r="36" spans="1:1" x14ac:dyDescent="0.25">
      <c r="A36" s="1" t="s">
        <v>75</v>
      </c>
    </row>
    <row r="37" spans="1:1" x14ac:dyDescent="0.25">
      <c r="A37" s="1" t="s">
        <v>76</v>
      </c>
    </row>
    <row r="38" spans="1:1" x14ac:dyDescent="0.25">
      <c r="A38" s="1" t="s">
        <v>77</v>
      </c>
    </row>
    <row r="39" spans="1:1" x14ac:dyDescent="0.25">
      <c r="A39" s="1" t="s">
        <v>78</v>
      </c>
    </row>
    <row r="40" spans="1:1" x14ac:dyDescent="0.25">
      <c r="A40" s="1" t="s">
        <v>79</v>
      </c>
    </row>
    <row r="41" spans="1:1" x14ac:dyDescent="0.25">
      <c r="A41" s="1" t="s">
        <v>80</v>
      </c>
    </row>
    <row r="42" spans="1:1" x14ac:dyDescent="0.25">
      <c r="A42" s="1" t="s">
        <v>81</v>
      </c>
    </row>
    <row r="43" spans="1:1" x14ac:dyDescent="0.25">
      <c r="A43" s="1" t="s">
        <v>82</v>
      </c>
    </row>
    <row r="44" spans="1:1" x14ac:dyDescent="0.25">
      <c r="A44" s="1" t="s">
        <v>83</v>
      </c>
    </row>
    <row r="45" spans="1:1" x14ac:dyDescent="0.25">
      <c r="A45" s="1" t="s">
        <v>84</v>
      </c>
    </row>
    <row r="46" spans="1:1" x14ac:dyDescent="0.25">
      <c r="A46" s="1" t="s">
        <v>85</v>
      </c>
    </row>
    <row r="47" spans="1:1" x14ac:dyDescent="0.25">
      <c r="A47" s="1" t="s">
        <v>86</v>
      </c>
    </row>
    <row r="48" spans="1:1" x14ac:dyDescent="0.25">
      <c r="A48" s="1" t="s">
        <v>87</v>
      </c>
    </row>
    <row r="49" spans="1:1" x14ac:dyDescent="0.25">
      <c r="A49" s="1" t="s">
        <v>88</v>
      </c>
    </row>
    <row r="50" spans="1:1" x14ac:dyDescent="0.25">
      <c r="A50" s="1" t="s">
        <v>89</v>
      </c>
    </row>
    <row r="51" spans="1:1" x14ac:dyDescent="0.25">
      <c r="A51" s="1" t="s">
        <v>90</v>
      </c>
    </row>
    <row r="52" spans="1:1" x14ac:dyDescent="0.25">
      <c r="A52" s="1" t="s">
        <v>91</v>
      </c>
    </row>
    <row r="53" spans="1:1" x14ac:dyDescent="0.25">
      <c r="A53" s="1" t="s">
        <v>92</v>
      </c>
    </row>
    <row r="54" spans="1:1" x14ac:dyDescent="0.25">
      <c r="A54" s="1" t="s">
        <v>93</v>
      </c>
    </row>
    <row r="55" spans="1:1" x14ac:dyDescent="0.25">
      <c r="A55" s="1" t="s">
        <v>94</v>
      </c>
    </row>
    <row r="56" spans="1:1" x14ac:dyDescent="0.25">
      <c r="A56" s="1" t="s">
        <v>95</v>
      </c>
    </row>
    <row r="57" spans="1:1" x14ac:dyDescent="0.25">
      <c r="A57" s="1" t="s">
        <v>96</v>
      </c>
    </row>
    <row r="58" spans="1:1" x14ac:dyDescent="0.25">
      <c r="A58" s="1" t="s">
        <v>97</v>
      </c>
    </row>
    <row r="59" spans="1:1" x14ac:dyDescent="0.25">
      <c r="A59" s="1" t="s">
        <v>98</v>
      </c>
    </row>
    <row r="60" spans="1:1" x14ac:dyDescent="0.25">
      <c r="A60" s="1" t="s">
        <v>99</v>
      </c>
    </row>
    <row r="61" spans="1:1" x14ac:dyDescent="0.25">
      <c r="A61" s="1" t="s">
        <v>100</v>
      </c>
    </row>
    <row r="62" spans="1:1" x14ac:dyDescent="0.25">
      <c r="A62" s="1" t="s">
        <v>101</v>
      </c>
    </row>
    <row r="63" spans="1:1" x14ac:dyDescent="0.25">
      <c r="A63" s="1" t="s">
        <v>102</v>
      </c>
    </row>
    <row r="64" spans="1:1" x14ac:dyDescent="0.25">
      <c r="A64" s="1" t="s">
        <v>103</v>
      </c>
    </row>
    <row r="65" spans="1:1" x14ac:dyDescent="0.25">
      <c r="A65" s="1" t="s">
        <v>104</v>
      </c>
    </row>
    <row r="66" spans="1:1" x14ac:dyDescent="0.25">
      <c r="A66" s="1" t="s">
        <v>105</v>
      </c>
    </row>
    <row r="67" spans="1:1" x14ac:dyDescent="0.25">
      <c r="A67" s="1" t="s">
        <v>106</v>
      </c>
    </row>
    <row r="68" spans="1:1" x14ac:dyDescent="0.25">
      <c r="A68" s="1" t="s">
        <v>107</v>
      </c>
    </row>
    <row r="69" spans="1:1" x14ac:dyDescent="0.25">
      <c r="A69" s="1" t="s">
        <v>108</v>
      </c>
    </row>
    <row r="70" spans="1:1" x14ac:dyDescent="0.25">
      <c r="A70" s="1" t="s">
        <v>109</v>
      </c>
    </row>
    <row r="71" spans="1:1" x14ac:dyDescent="0.25">
      <c r="A71" s="1" t="s">
        <v>110</v>
      </c>
    </row>
    <row r="72" spans="1:1" x14ac:dyDescent="0.25">
      <c r="A72" s="1" t="s">
        <v>111</v>
      </c>
    </row>
    <row r="73" spans="1:1" x14ac:dyDescent="0.25">
      <c r="A73" s="1" t="s">
        <v>112</v>
      </c>
    </row>
    <row r="74" spans="1:1" x14ac:dyDescent="0.25">
      <c r="A74" s="1" t="s">
        <v>113</v>
      </c>
    </row>
    <row r="75" spans="1:1" x14ac:dyDescent="0.25">
      <c r="A75" s="1" t="s">
        <v>114</v>
      </c>
    </row>
    <row r="76" spans="1:1" x14ac:dyDescent="0.25">
      <c r="A76" s="1" t="s">
        <v>115</v>
      </c>
    </row>
    <row r="77" spans="1:1" x14ac:dyDescent="0.25">
      <c r="A77" s="1" t="s">
        <v>116</v>
      </c>
    </row>
    <row r="78" spans="1:1" x14ac:dyDescent="0.25">
      <c r="A78" s="1" t="s">
        <v>117</v>
      </c>
    </row>
    <row r="79" spans="1:1" x14ac:dyDescent="0.25">
      <c r="A79" s="1" t="s">
        <v>118</v>
      </c>
    </row>
    <row r="80" spans="1:1" x14ac:dyDescent="0.25">
      <c r="A80" s="1" t="s">
        <v>119</v>
      </c>
    </row>
    <row r="81" spans="1:1" x14ac:dyDescent="0.25">
      <c r="A81" s="1" t="s">
        <v>120</v>
      </c>
    </row>
    <row r="82" spans="1:1" x14ac:dyDescent="0.25">
      <c r="A82" s="1" t="s">
        <v>121</v>
      </c>
    </row>
    <row r="83" spans="1:1" x14ac:dyDescent="0.25">
      <c r="A83" s="1" t="s">
        <v>122</v>
      </c>
    </row>
    <row r="84" spans="1:1" x14ac:dyDescent="0.25">
      <c r="A84" s="1" t="s">
        <v>123</v>
      </c>
    </row>
    <row r="85" spans="1:1" x14ac:dyDescent="0.25">
      <c r="A85" s="1" t="s">
        <v>124</v>
      </c>
    </row>
    <row r="86" spans="1:1" x14ac:dyDescent="0.25">
      <c r="A86" s="1" t="s">
        <v>125</v>
      </c>
    </row>
    <row r="87" spans="1:1" x14ac:dyDescent="0.25">
      <c r="A87" s="1" t="s">
        <v>126</v>
      </c>
    </row>
    <row r="88" spans="1:1" x14ac:dyDescent="0.25">
      <c r="A88" s="1" t="s">
        <v>127</v>
      </c>
    </row>
    <row r="89" spans="1:1" x14ac:dyDescent="0.25">
      <c r="A89" s="1" t="s">
        <v>128</v>
      </c>
    </row>
    <row r="90" spans="1:1" x14ac:dyDescent="0.25">
      <c r="A90" s="1" t="s">
        <v>129</v>
      </c>
    </row>
    <row r="91" spans="1:1" x14ac:dyDescent="0.25">
      <c r="A91" s="1" t="s">
        <v>130</v>
      </c>
    </row>
    <row r="92" spans="1:1" x14ac:dyDescent="0.25">
      <c r="A92" s="1" t="s">
        <v>131</v>
      </c>
    </row>
    <row r="93" spans="1:1" x14ac:dyDescent="0.25">
      <c r="A93" s="1" t="s">
        <v>132</v>
      </c>
    </row>
    <row r="94" spans="1:1" x14ac:dyDescent="0.25">
      <c r="A94" s="1" t="s">
        <v>133</v>
      </c>
    </row>
    <row r="95" spans="1:1" x14ac:dyDescent="0.25">
      <c r="A95" s="1" t="s">
        <v>134</v>
      </c>
    </row>
    <row r="96" spans="1:1" x14ac:dyDescent="0.25">
      <c r="A96" s="1" t="s">
        <v>135</v>
      </c>
    </row>
    <row r="97" spans="1:1" x14ac:dyDescent="0.25">
      <c r="A97" s="1" t="s">
        <v>136</v>
      </c>
    </row>
    <row r="98" spans="1:1" x14ac:dyDescent="0.25">
      <c r="A98" s="1" t="s">
        <v>137</v>
      </c>
    </row>
    <row r="99" spans="1:1" x14ac:dyDescent="0.25">
      <c r="A99" s="1" t="s">
        <v>138</v>
      </c>
    </row>
    <row r="100" spans="1:1" x14ac:dyDescent="0.25">
      <c r="A100" s="1" t="s">
        <v>139</v>
      </c>
    </row>
    <row r="101" spans="1:1" x14ac:dyDescent="0.25">
      <c r="A101" s="1" t="s">
        <v>140</v>
      </c>
    </row>
    <row r="102" spans="1:1" x14ac:dyDescent="0.25">
      <c r="A102" s="1" t="s">
        <v>141</v>
      </c>
    </row>
    <row r="103" spans="1:1" x14ac:dyDescent="0.25">
      <c r="A103" s="1" t="s">
        <v>142</v>
      </c>
    </row>
    <row r="104" spans="1:1" x14ac:dyDescent="0.25">
      <c r="A104" s="1" t="s">
        <v>143</v>
      </c>
    </row>
    <row r="105" spans="1:1" x14ac:dyDescent="0.25">
      <c r="A105" s="1" t="s">
        <v>144</v>
      </c>
    </row>
    <row r="106" spans="1:1" x14ac:dyDescent="0.25">
      <c r="A106" s="1" t="s">
        <v>145</v>
      </c>
    </row>
    <row r="107" spans="1:1" x14ac:dyDescent="0.25">
      <c r="A107" s="1" t="s">
        <v>146</v>
      </c>
    </row>
    <row r="108" spans="1:1" x14ac:dyDescent="0.25">
      <c r="A108" s="1" t="s">
        <v>147</v>
      </c>
    </row>
    <row r="109" spans="1:1" x14ac:dyDescent="0.25">
      <c r="A109" s="1" t="s">
        <v>148</v>
      </c>
    </row>
    <row r="110" spans="1:1" x14ac:dyDescent="0.25">
      <c r="A110" s="1" t="s">
        <v>149</v>
      </c>
    </row>
    <row r="111" spans="1:1" x14ac:dyDescent="0.25">
      <c r="A111" s="1" t="s">
        <v>150</v>
      </c>
    </row>
    <row r="112" spans="1:1" x14ac:dyDescent="0.25">
      <c r="A112" s="1" t="s">
        <v>151</v>
      </c>
    </row>
    <row r="113" spans="1:1" x14ac:dyDescent="0.25">
      <c r="A113" s="1" t="s">
        <v>152</v>
      </c>
    </row>
    <row r="114" spans="1:1" x14ac:dyDescent="0.25">
      <c r="A114" s="1" t="s">
        <v>153</v>
      </c>
    </row>
    <row r="115" spans="1:1" x14ac:dyDescent="0.25">
      <c r="A115" s="1" t="s">
        <v>154</v>
      </c>
    </row>
    <row r="116" spans="1:1" x14ac:dyDescent="0.25">
      <c r="A116" s="1" t="s">
        <v>155</v>
      </c>
    </row>
    <row r="117" spans="1:1" x14ac:dyDescent="0.25">
      <c r="A117" s="1" t="s">
        <v>156</v>
      </c>
    </row>
    <row r="118" spans="1:1" x14ac:dyDescent="0.25">
      <c r="A118" s="1" t="s">
        <v>157</v>
      </c>
    </row>
    <row r="119" spans="1:1" x14ac:dyDescent="0.25">
      <c r="A119" s="1" t="s">
        <v>158</v>
      </c>
    </row>
    <row r="120" spans="1:1" x14ac:dyDescent="0.25">
      <c r="A120" s="1" t="s">
        <v>159</v>
      </c>
    </row>
    <row r="121" spans="1:1" x14ac:dyDescent="0.25">
      <c r="A121" s="1" t="s">
        <v>160</v>
      </c>
    </row>
    <row r="122" spans="1:1" x14ac:dyDescent="0.25">
      <c r="A122" s="1" t="s">
        <v>161</v>
      </c>
    </row>
    <row r="123" spans="1:1" x14ac:dyDescent="0.25">
      <c r="A123" s="1" t="s">
        <v>162</v>
      </c>
    </row>
    <row r="124" spans="1:1" x14ac:dyDescent="0.25">
      <c r="A124" s="1" t="s">
        <v>163</v>
      </c>
    </row>
    <row r="125" spans="1:1" x14ac:dyDescent="0.25">
      <c r="A125" s="1" t="s">
        <v>164</v>
      </c>
    </row>
    <row r="126" spans="1:1" x14ac:dyDescent="0.25">
      <c r="A126" s="1" t="s">
        <v>165</v>
      </c>
    </row>
    <row r="127" spans="1:1" x14ac:dyDescent="0.25">
      <c r="A127" s="1" t="s">
        <v>166</v>
      </c>
    </row>
    <row r="128" spans="1:1" x14ac:dyDescent="0.25">
      <c r="A128" s="1" t="s">
        <v>167</v>
      </c>
    </row>
    <row r="129" spans="1:1" x14ac:dyDescent="0.25">
      <c r="A129" s="1" t="s">
        <v>168</v>
      </c>
    </row>
    <row r="130" spans="1:1" x14ac:dyDescent="0.25">
      <c r="A130" s="1" t="s">
        <v>169</v>
      </c>
    </row>
    <row r="131" spans="1:1" x14ac:dyDescent="0.25">
      <c r="A131" s="1" t="s">
        <v>170</v>
      </c>
    </row>
    <row r="132" spans="1:1" x14ac:dyDescent="0.25">
      <c r="A132" s="1" t="s">
        <v>171</v>
      </c>
    </row>
    <row r="133" spans="1:1" x14ac:dyDescent="0.25">
      <c r="A133" s="1" t="s">
        <v>172</v>
      </c>
    </row>
    <row r="134" spans="1:1" x14ac:dyDescent="0.25">
      <c r="A134" s="1" t="s">
        <v>173</v>
      </c>
    </row>
    <row r="135" spans="1:1" x14ac:dyDescent="0.25">
      <c r="A135" s="1" t="s">
        <v>174</v>
      </c>
    </row>
    <row r="136" spans="1:1" x14ac:dyDescent="0.25">
      <c r="A136" s="1" t="s">
        <v>175</v>
      </c>
    </row>
    <row r="137" spans="1:1" x14ac:dyDescent="0.25">
      <c r="A137" s="1" t="s">
        <v>176</v>
      </c>
    </row>
    <row r="138" spans="1:1" x14ac:dyDescent="0.25">
      <c r="A138" s="1" t="s">
        <v>177</v>
      </c>
    </row>
    <row r="139" spans="1:1" x14ac:dyDescent="0.25">
      <c r="A139" s="1" t="s">
        <v>178</v>
      </c>
    </row>
    <row r="140" spans="1:1" x14ac:dyDescent="0.25">
      <c r="A140" s="1" t="s">
        <v>179</v>
      </c>
    </row>
    <row r="141" spans="1:1" x14ac:dyDescent="0.25">
      <c r="A141" s="1" t="s">
        <v>180</v>
      </c>
    </row>
    <row r="142" spans="1:1" x14ac:dyDescent="0.25">
      <c r="A142" s="1" t="s">
        <v>181</v>
      </c>
    </row>
    <row r="143" spans="1:1" x14ac:dyDescent="0.25">
      <c r="A143" s="1" t="s">
        <v>182</v>
      </c>
    </row>
    <row r="144" spans="1:1" x14ac:dyDescent="0.25">
      <c r="A144" s="1" t="s">
        <v>183</v>
      </c>
    </row>
    <row r="145" spans="1:1" x14ac:dyDescent="0.25">
      <c r="A145" s="1" t="s">
        <v>184</v>
      </c>
    </row>
    <row r="146" spans="1:1" x14ac:dyDescent="0.25">
      <c r="A146" s="1" t="s">
        <v>185</v>
      </c>
    </row>
    <row r="147" spans="1:1" x14ac:dyDescent="0.25">
      <c r="A147" s="1" t="s">
        <v>186</v>
      </c>
    </row>
    <row r="148" spans="1:1" x14ac:dyDescent="0.25">
      <c r="A148" s="1" t="s">
        <v>187</v>
      </c>
    </row>
    <row r="149" spans="1:1" x14ac:dyDescent="0.25">
      <c r="A149" s="1" t="s">
        <v>188</v>
      </c>
    </row>
    <row r="150" spans="1:1" x14ac:dyDescent="0.25">
      <c r="A150" s="1" t="s">
        <v>189</v>
      </c>
    </row>
    <row r="151" spans="1:1" x14ac:dyDescent="0.25">
      <c r="A151" s="1" t="s">
        <v>190</v>
      </c>
    </row>
    <row r="152" spans="1:1" x14ac:dyDescent="0.25">
      <c r="A152" s="1" t="s">
        <v>191</v>
      </c>
    </row>
    <row r="153" spans="1:1" x14ac:dyDescent="0.25">
      <c r="A153" s="1" t="s">
        <v>192</v>
      </c>
    </row>
    <row r="154" spans="1:1" x14ac:dyDescent="0.25">
      <c r="A154" s="1" t="s">
        <v>193</v>
      </c>
    </row>
    <row r="155" spans="1:1" x14ac:dyDescent="0.25">
      <c r="A155" s="1" t="s">
        <v>194</v>
      </c>
    </row>
    <row r="156" spans="1:1" x14ac:dyDescent="0.25">
      <c r="A156" s="1" t="s">
        <v>195</v>
      </c>
    </row>
    <row r="157" spans="1:1" x14ac:dyDescent="0.25">
      <c r="A157" s="1" t="s">
        <v>196</v>
      </c>
    </row>
    <row r="158" spans="1:1" x14ac:dyDescent="0.25">
      <c r="A158" s="1" t="s">
        <v>197</v>
      </c>
    </row>
    <row r="159" spans="1:1" x14ac:dyDescent="0.25">
      <c r="A159" s="1" t="s">
        <v>198</v>
      </c>
    </row>
    <row r="160" spans="1:1" x14ac:dyDescent="0.25">
      <c r="A160" s="1" t="s">
        <v>199</v>
      </c>
    </row>
    <row r="161" spans="1:1" x14ac:dyDescent="0.25">
      <c r="A161" s="1" t="s">
        <v>200</v>
      </c>
    </row>
    <row r="162" spans="1:1" x14ac:dyDescent="0.25">
      <c r="A162" s="1" t="s">
        <v>201</v>
      </c>
    </row>
    <row r="163" spans="1:1" x14ac:dyDescent="0.25">
      <c r="A163" s="1" t="s">
        <v>202</v>
      </c>
    </row>
    <row r="164" spans="1:1" x14ac:dyDescent="0.25">
      <c r="A164" s="1" t="s">
        <v>203</v>
      </c>
    </row>
    <row r="165" spans="1:1" x14ac:dyDescent="0.25">
      <c r="A165" s="1" t="s">
        <v>204</v>
      </c>
    </row>
    <row r="166" spans="1:1" x14ac:dyDescent="0.25">
      <c r="A166" s="1" t="s">
        <v>205</v>
      </c>
    </row>
    <row r="167" spans="1:1" x14ac:dyDescent="0.25">
      <c r="A167" s="1" t="s">
        <v>206</v>
      </c>
    </row>
    <row r="168" spans="1:1" x14ac:dyDescent="0.25">
      <c r="A168" s="1" t="s">
        <v>207</v>
      </c>
    </row>
    <row r="169" spans="1:1" x14ac:dyDescent="0.25">
      <c r="A169" s="1" t="s">
        <v>208</v>
      </c>
    </row>
    <row r="170" spans="1:1" x14ac:dyDescent="0.25">
      <c r="A170" s="1" t="s">
        <v>209</v>
      </c>
    </row>
    <row r="171" spans="1:1" x14ac:dyDescent="0.25">
      <c r="A171" s="1" t="s">
        <v>210</v>
      </c>
    </row>
    <row r="172" spans="1:1" x14ac:dyDescent="0.25">
      <c r="A172" s="1" t="s">
        <v>211</v>
      </c>
    </row>
    <row r="173" spans="1:1" x14ac:dyDescent="0.25">
      <c r="A173" s="1" t="s">
        <v>212</v>
      </c>
    </row>
    <row r="174" spans="1:1" x14ac:dyDescent="0.25">
      <c r="A174" s="1" t="s">
        <v>213</v>
      </c>
    </row>
    <row r="175" spans="1:1" x14ac:dyDescent="0.25">
      <c r="A175" s="1" t="s">
        <v>214</v>
      </c>
    </row>
    <row r="176" spans="1:1" x14ac:dyDescent="0.25">
      <c r="A176" s="1" t="s">
        <v>215</v>
      </c>
    </row>
    <row r="177" spans="1:1" x14ac:dyDescent="0.25">
      <c r="A177" s="1" t="s">
        <v>216</v>
      </c>
    </row>
    <row r="178" spans="1:1" x14ac:dyDescent="0.25">
      <c r="A178" s="1" t="s">
        <v>217</v>
      </c>
    </row>
    <row r="179" spans="1:1" x14ac:dyDescent="0.25">
      <c r="A179" s="1" t="s">
        <v>218</v>
      </c>
    </row>
    <row r="180" spans="1:1" x14ac:dyDescent="0.25">
      <c r="A180" s="1" t="s">
        <v>219</v>
      </c>
    </row>
    <row r="181" spans="1:1" x14ac:dyDescent="0.25">
      <c r="A181" s="1" t="s">
        <v>220</v>
      </c>
    </row>
    <row r="182" spans="1:1" x14ac:dyDescent="0.25">
      <c r="A182" s="1" t="s">
        <v>221</v>
      </c>
    </row>
    <row r="183" spans="1:1" x14ac:dyDescent="0.25">
      <c r="A183" s="1" t="s">
        <v>222</v>
      </c>
    </row>
    <row r="184" spans="1:1" x14ac:dyDescent="0.25">
      <c r="A184" s="1" t="s">
        <v>223</v>
      </c>
    </row>
    <row r="185" spans="1:1" x14ac:dyDescent="0.25">
      <c r="A185" s="1" t="s">
        <v>224</v>
      </c>
    </row>
    <row r="186" spans="1:1" x14ac:dyDescent="0.25">
      <c r="A186" s="1" t="s">
        <v>225</v>
      </c>
    </row>
    <row r="187" spans="1:1" x14ac:dyDescent="0.25">
      <c r="A187" s="1" t="s">
        <v>226</v>
      </c>
    </row>
    <row r="188" spans="1:1" x14ac:dyDescent="0.25">
      <c r="A188" s="1" t="s">
        <v>227</v>
      </c>
    </row>
    <row r="189" spans="1:1" x14ac:dyDescent="0.25">
      <c r="A189" s="1" t="s">
        <v>228</v>
      </c>
    </row>
    <row r="190" spans="1:1" x14ac:dyDescent="0.25">
      <c r="A190" s="1" t="s">
        <v>229</v>
      </c>
    </row>
    <row r="191" spans="1:1" x14ac:dyDescent="0.25">
      <c r="A191" s="1" t="s">
        <v>230</v>
      </c>
    </row>
    <row r="192" spans="1:1" x14ac:dyDescent="0.25">
      <c r="A192" s="1" t="s">
        <v>231</v>
      </c>
    </row>
    <row r="193" spans="1:1" x14ac:dyDescent="0.25">
      <c r="A193" s="1" t="s">
        <v>232</v>
      </c>
    </row>
    <row r="194" spans="1:1" x14ac:dyDescent="0.25">
      <c r="A194" s="1" t="s">
        <v>233</v>
      </c>
    </row>
    <row r="195" spans="1:1" x14ac:dyDescent="0.25">
      <c r="A195" s="1" t="s">
        <v>234</v>
      </c>
    </row>
    <row r="196" spans="1:1" x14ac:dyDescent="0.25">
      <c r="A196" s="1" t="s">
        <v>235</v>
      </c>
    </row>
    <row r="197" spans="1:1" x14ac:dyDescent="0.25">
      <c r="A197" s="1" t="s">
        <v>236</v>
      </c>
    </row>
    <row r="198" spans="1:1" x14ac:dyDescent="0.25">
      <c r="A198" s="1" t="s">
        <v>237</v>
      </c>
    </row>
    <row r="199" spans="1:1" x14ac:dyDescent="0.25">
      <c r="A199" s="1" t="s">
        <v>238</v>
      </c>
    </row>
    <row r="200" spans="1:1" x14ac:dyDescent="0.25">
      <c r="A200" s="1" t="s">
        <v>239</v>
      </c>
    </row>
    <row r="201" spans="1:1" x14ac:dyDescent="0.25">
      <c r="A201" s="1" t="s">
        <v>240</v>
      </c>
    </row>
    <row r="202" spans="1:1" x14ac:dyDescent="0.25">
      <c r="A202" s="1" t="s">
        <v>241</v>
      </c>
    </row>
    <row r="203" spans="1:1" x14ac:dyDescent="0.25">
      <c r="A203" s="1" t="s">
        <v>242</v>
      </c>
    </row>
    <row r="204" spans="1:1" x14ac:dyDescent="0.25">
      <c r="A204" s="1" t="s">
        <v>243</v>
      </c>
    </row>
    <row r="205" spans="1:1" x14ac:dyDescent="0.25">
      <c r="A205" s="1" t="s">
        <v>244</v>
      </c>
    </row>
    <row r="206" spans="1:1" x14ac:dyDescent="0.25">
      <c r="A206" s="1" t="s">
        <v>245</v>
      </c>
    </row>
    <row r="207" spans="1:1" x14ac:dyDescent="0.25">
      <c r="A207" s="1" t="s">
        <v>246</v>
      </c>
    </row>
    <row r="208" spans="1:1" x14ac:dyDescent="0.25">
      <c r="A208" s="1" t="s">
        <v>247</v>
      </c>
    </row>
    <row r="209" spans="1:1" x14ac:dyDescent="0.25">
      <c r="A209" s="1" t="s">
        <v>248</v>
      </c>
    </row>
    <row r="210" spans="1:1" x14ac:dyDescent="0.25">
      <c r="A210" s="1" t="s">
        <v>249</v>
      </c>
    </row>
    <row r="211" spans="1:1" x14ac:dyDescent="0.25">
      <c r="A211" s="1" t="s">
        <v>250</v>
      </c>
    </row>
    <row r="212" spans="1:1" x14ac:dyDescent="0.25">
      <c r="A212" s="1" t="s">
        <v>251</v>
      </c>
    </row>
    <row r="213" spans="1:1" x14ac:dyDescent="0.25">
      <c r="A213" s="1" t="s">
        <v>252</v>
      </c>
    </row>
    <row r="214" spans="1:1" x14ac:dyDescent="0.25">
      <c r="A214" s="1" t="s">
        <v>253</v>
      </c>
    </row>
    <row r="215" spans="1:1" x14ac:dyDescent="0.25">
      <c r="A215" s="1" t="s">
        <v>254</v>
      </c>
    </row>
    <row r="216" spans="1:1" x14ac:dyDescent="0.25">
      <c r="A216" s="1" t="s">
        <v>255</v>
      </c>
    </row>
    <row r="217" spans="1:1" x14ac:dyDescent="0.25">
      <c r="A217" s="1" t="s">
        <v>256</v>
      </c>
    </row>
    <row r="218" spans="1:1" x14ac:dyDescent="0.25">
      <c r="A218" s="1" t="s">
        <v>257</v>
      </c>
    </row>
    <row r="219" spans="1:1" x14ac:dyDescent="0.25">
      <c r="A219" s="1" t="s">
        <v>258</v>
      </c>
    </row>
    <row r="220" spans="1:1" x14ac:dyDescent="0.25">
      <c r="A220" s="1" t="s">
        <v>259</v>
      </c>
    </row>
    <row r="221" spans="1:1" x14ac:dyDescent="0.25">
      <c r="A221" s="1" t="s">
        <v>260</v>
      </c>
    </row>
    <row r="222" spans="1:1" x14ac:dyDescent="0.25">
      <c r="A222" s="1" t="s">
        <v>261</v>
      </c>
    </row>
    <row r="223" spans="1:1" x14ac:dyDescent="0.25">
      <c r="A223" s="1" t="s">
        <v>262</v>
      </c>
    </row>
    <row r="224" spans="1:1" x14ac:dyDescent="0.25">
      <c r="A224" s="1" t="s">
        <v>263</v>
      </c>
    </row>
    <row r="225" spans="1:1" x14ac:dyDescent="0.25">
      <c r="A225" s="1" t="s">
        <v>264</v>
      </c>
    </row>
    <row r="226" spans="1:1" x14ac:dyDescent="0.25">
      <c r="A226" s="1" t="s">
        <v>265</v>
      </c>
    </row>
    <row r="227" spans="1:1" x14ac:dyDescent="0.25">
      <c r="A227" s="1" t="s">
        <v>266</v>
      </c>
    </row>
    <row r="228" spans="1:1" x14ac:dyDescent="0.25">
      <c r="A228" s="1" t="s">
        <v>267</v>
      </c>
    </row>
    <row r="229" spans="1:1" x14ac:dyDescent="0.25">
      <c r="A229" s="1" t="s">
        <v>268</v>
      </c>
    </row>
    <row r="230" spans="1:1" x14ac:dyDescent="0.25">
      <c r="A230" s="1" t="s">
        <v>269</v>
      </c>
    </row>
    <row r="231" spans="1:1" x14ac:dyDescent="0.25">
      <c r="A231" s="1" t="s">
        <v>270</v>
      </c>
    </row>
    <row r="232" spans="1:1" x14ac:dyDescent="0.25">
      <c r="A232" s="1" t="s">
        <v>271</v>
      </c>
    </row>
    <row r="233" spans="1:1" x14ac:dyDescent="0.25">
      <c r="A233" s="1" t="s">
        <v>272</v>
      </c>
    </row>
    <row r="234" spans="1:1" x14ac:dyDescent="0.25">
      <c r="A234" s="1" t="s">
        <v>273</v>
      </c>
    </row>
    <row r="235" spans="1:1" x14ac:dyDescent="0.25">
      <c r="A235" s="1" t="s">
        <v>274</v>
      </c>
    </row>
    <row r="236" spans="1:1" x14ac:dyDescent="0.25">
      <c r="A236" s="1" t="s">
        <v>275</v>
      </c>
    </row>
    <row r="237" spans="1:1" x14ac:dyDescent="0.25">
      <c r="A237" s="1" t="s">
        <v>276</v>
      </c>
    </row>
    <row r="238" spans="1:1" x14ac:dyDescent="0.25">
      <c r="A238" s="1" t="s">
        <v>277</v>
      </c>
    </row>
    <row r="239" spans="1:1" x14ac:dyDescent="0.25">
      <c r="A239" s="1" t="s">
        <v>278</v>
      </c>
    </row>
    <row r="240" spans="1:1" x14ac:dyDescent="0.25">
      <c r="A240" s="1" t="s">
        <v>279</v>
      </c>
    </row>
    <row r="241" spans="1:1" x14ac:dyDescent="0.25">
      <c r="A241" s="1" t="s">
        <v>280</v>
      </c>
    </row>
    <row r="242" spans="1:1" x14ac:dyDescent="0.25">
      <c r="A242" s="1" t="s">
        <v>281</v>
      </c>
    </row>
    <row r="243" spans="1:1" x14ac:dyDescent="0.25">
      <c r="A243" s="1" t="s">
        <v>282</v>
      </c>
    </row>
    <row r="244" spans="1:1" x14ac:dyDescent="0.25">
      <c r="A244" s="1" t="s">
        <v>283</v>
      </c>
    </row>
    <row r="245" spans="1:1" x14ac:dyDescent="0.25">
      <c r="A245" s="1" t="s">
        <v>284</v>
      </c>
    </row>
    <row r="246" spans="1:1" x14ac:dyDescent="0.25">
      <c r="A246" s="1" t="s">
        <v>285</v>
      </c>
    </row>
    <row r="247" spans="1:1" x14ac:dyDescent="0.25">
      <c r="A247" s="1" t="s">
        <v>286</v>
      </c>
    </row>
    <row r="248" spans="1:1" x14ac:dyDescent="0.25">
      <c r="A248" s="1" t="s">
        <v>287</v>
      </c>
    </row>
    <row r="249" spans="1:1" x14ac:dyDescent="0.25">
      <c r="A249" s="1" t="s">
        <v>288</v>
      </c>
    </row>
    <row r="250" spans="1:1" x14ac:dyDescent="0.25">
      <c r="A250" s="1" t="s">
        <v>289</v>
      </c>
    </row>
    <row r="251" spans="1:1" x14ac:dyDescent="0.25">
      <c r="A251" s="1" t="s">
        <v>290</v>
      </c>
    </row>
    <row r="252" spans="1:1" x14ac:dyDescent="0.25">
      <c r="A252" s="1" t="s">
        <v>291</v>
      </c>
    </row>
    <row r="253" spans="1:1" x14ac:dyDescent="0.25">
      <c r="A253" s="1" t="s">
        <v>292</v>
      </c>
    </row>
    <row r="254" spans="1:1" x14ac:dyDescent="0.25">
      <c r="A254" s="1" t="s">
        <v>293</v>
      </c>
    </row>
    <row r="255" spans="1:1" x14ac:dyDescent="0.25">
      <c r="A255" s="1" t="s">
        <v>294</v>
      </c>
    </row>
    <row r="256" spans="1:1" x14ac:dyDescent="0.25">
      <c r="A256" s="1" t="s">
        <v>295</v>
      </c>
    </row>
    <row r="257" spans="1:1" x14ac:dyDescent="0.25">
      <c r="A257" s="1" t="s">
        <v>296</v>
      </c>
    </row>
    <row r="258" spans="1:1" x14ac:dyDescent="0.25">
      <c r="A258" s="1" t="s">
        <v>297</v>
      </c>
    </row>
    <row r="259" spans="1:1" x14ac:dyDescent="0.25">
      <c r="A259" s="1" t="s">
        <v>298</v>
      </c>
    </row>
    <row r="260" spans="1:1" x14ac:dyDescent="0.25">
      <c r="A260" s="1" t="s">
        <v>299</v>
      </c>
    </row>
    <row r="261" spans="1:1" x14ac:dyDescent="0.25">
      <c r="A261" s="1" t="s">
        <v>300</v>
      </c>
    </row>
    <row r="262" spans="1:1" x14ac:dyDescent="0.25">
      <c r="A262" s="1" t="s">
        <v>301</v>
      </c>
    </row>
    <row r="263" spans="1:1" x14ac:dyDescent="0.25">
      <c r="A263" s="1" t="s">
        <v>302</v>
      </c>
    </row>
    <row r="264" spans="1:1" x14ac:dyDescent="0.25">
      <c r="A264" s="1" t="s">
        <v>303</v>
      </c>
    </row>
    <row r="265" spans="1:1" x14ac:dyDescent="0.25">
      <c r="A265" s="1" t="s">
        <v>304</v>
      </c>
    </row>
    <row r="266" spans="1:1" x14ac:dyDescent="0.25">
      <c r="A266" s="1" t="s">
        <v>305</v>
      </c>
    </row>
    <row r="267" spans="1:1" x14ac:dyDescent="0.25">
      <c r="A267" s="1" t="s">
        <v>306</v>
      </c>
    </row>
    <row r="268" spans="1:1" x14ac:dyDescent="0.25">
      <c r="A268" s="1" t="s">
        <v>307</v>
      </c>
    </row>
    <row r="269" spans="1:1" x14ac:dyDescent="0.25">
      <c r="A269" s="1" t="s">
        <v>308</v>
      </c>
    </row>
    <row r="270" spans="1:1" x14ac:dyDescent="0.25">
      <c r="A270" s="1" t="s">
        <v>309</v>
      </c>
    </row>
    <row r="271" spans="1:1" x14ac:dyDescent="0.25">
      <c r="A271" s="1" t="s">
        <v>310</v>
      </c>
    </row>
    <row r="272" spans="1:1" x14ac:dyDescent="0.25">
      <c r="A272" s="1" t="s">
        <v>311</v>
      </c>
    </row>
    <row r="273" spans="1:1" x14ac:dyDescent="0.25">
      <c r="A273" s="1" t="s">
        <v>312</v>
      </c>
    </row>
    <row r="274" spans="1:1" x14ac:dyDescent="0.25">
      <c r="A274" s="1" t="s">
        <v>313</v>
      </c>
    </row>
    <row r="275" spans="1:1" x14ac:dyDescent="0.25">
      <c r="A275" s="1" t="s">
        <v>314</v>
      </c>
    </row>
    <row r="276" spans="1:1" x14ac:dyDescent="0.25">
      <c r="A276" s="1" t="s">
        <v>315</v>
      </c>
    </row>
    <row r="277" spans="1:1" x14ac:dyDescent="0.25">
      <c r="A277" s="1" t="s">
        <v>316</v>
      </c>
    </row>
    <row r="278" spans="1:1" x14ac:dyDescent="0.25">
      <c r="A278" s="1" t="s">
        <v>317</v>
      </c>
    </row>
    <row r="279" spans="1:1" x14ac:dyDescent="0.25">
      <c r="A279" s="1" t="s">
        <v>318</v>
      </c>
    </row>
    <row r="280" spans="1:1" x14ac:dyDescent="0.25">
      <c r="A280" s="1" t="s">
        <v>319</v>
      </c>
    </row>
    <row r="281" spans="1:1" x14ac:dyDescent="0.25">
      <c r="A281" s="1" t="s">
        <v>320</v>
      </c>
    </row>
    <row r="282" spans="1:1" x14ac:dyDescent="0.25">
      <c r="A282" s="1" t="s">
        <v>321</v>
      </c>
    </row>
    <row r="283" spans="1:1" x14ac:dyDescent="0.25">
      <c r="A283" s="1" t="s">
        <v>322</v>
      </c>
    </row>
    <row r="284" spans="1:1" x14ac:dyDescent="0.25">
      <c r="A284" s="1" t="s">
        <v>323</v>
      </c>
    </row>
    <row r="285" spans="1:1" x14ac:dyDescent="0.25">
      <c r="A285" s="1" t="s">
        <v>324</v>
      </c>
    </row>
    <row r="286" spans="1:1" x14ac:dyDescent="0.25">
      <c r="A286" s="1" t="s">
        <v>325</v>
      </c>
    </row>
    <row r="287" spans="1:1" x14ac:dyDescent="0.25">
      <c r="A287" s="1" t="s">
        <v>326</v>
      </c>
    </row>
    <row r="288" spans="1:1" x14ac:dyDescent="0.25">
      <c r="A288" s="1" t="s">
        <v>327</v>
      </c>
    </row>
    <row r="289" spans="1:1" x14ac:dyDescent="0.25">
      <c r="A289" s="1" t="s">
        <v>328</v>
      </c>
    </row>
    <row r="290" spans="1:1" x14ac:dyDescent="0.25">
      <c r="A290" s="1" t="s">
        <v>329</v>
      </c>
    </row>
    <row r="291" spans="1:1" x14ac:dyDescent="0.25">
      <c r="A291" s="1" t="s">
        <v>330</v>
      </c>
    </row>
    <row r="292" spans="1:1" x14ac:dyDescent="0.25">
      <c r="A292" s="1" t="s">
        <v>331</v>
      </c>
    </row>
    <row r="293" spans="1:1" x14ac:dyDescent="0.25">
      <c r="A293" s="1" t="s">
        <v>332</v>
      </c>
    </row>
    <row r="294" spans="1:1" x14ac:dyDescent="0.25">
      <c r="A294" s="1" t="s">
        <v>333</v>
      </c>
    </row>
    <row r="295" spans="1:1" x14ac:dyDescent="0.25">
      <c r="A295" s="1" t="s">
        <v>334</v>
      </c>
    </row>
    <row r="296" spans="1:1" x14ac:dyDescent="0.25">
      <c r="A296" s="1" t="s">
        <v>335</v>
      </c>
    </row>
    <row r="297" spans="1:1" x14ac:dyDescent="0.25">
      <c r="A297" s="1" t="s">
        <v>336</v>
      </c>
    </row>
    <row r="298" spans="1:1" x14ac:dyDescent="0.25">
      <c r="A298" s="1" t="s">
        <v>337</v>
      </c>
    </row>
    <row r="299" spans="1:1" x14ac:dyDescent="0.25">
      <c r="A299" s="1" t="s">
        <v>338</v>
      </c>
    </row>
    <row r="300" spans="1:1" x14ac:dyDescent="0.25">
      <c r="A300" s="1" t="s">
        <v>339</v>
      </c>
    </row>
    <row r="301" spans="1:1" x14ac:dyDescent="0.25">
      <c r="A301" s="1" t="s">
        <v>340</v>
      </c>
    </row>
    <row r="302" spans="1:1" x14ac:dyDescent="0.25">
      <c r="A302" s="1" t="s">
        <v>341</v>
      </c>
    </row>
    <row r="303" spans="1:1" x14ac:dyDescent="0.25">
      <c r="A303" s="1" t="s">
        <v>342</v>
      </c>
    </row>
    <row r="304" spans="1:1" x14ac:dyDescent="0.25">
      <c r="A304" s="1" t="s">
        <v>343</v>
      </c>
    </row>
    <row r="305" spans="1:1" x14ac:dyDescent="0.25">
      <c r="A305" s="1" t="s">
        <v>344</v>
      </c>
    </row>
    <row r="306" spans="1:1" x14ac:dyDescent="0.25">
      <c r="A306" s="1" t="s">
        <v>345</v>
      </c>
    </row>
    <row r="307" spans="1:1" x14ac:dyDescent="0.25">
      <c r="A307" s="1" t="s">
        <v>346</v>
      </c>
    </row>
    <row r="308" spans="1:1" x14ac:dyDescent="0.25">
      <c r="A308" s="1" t="s">
        <v>347</v>
      </c>
    </row>
    <row r="309" spans="1:1" x14ac:dyDescent="0.25">
      <c r="A309" s="1" t="s">
        <v>348</v>
      </c>
    </row>
    <row r="310" spans="1:1" x14ac:dyDescent="0.25">
      <c r="A310" s="1" t="s">
        <v>349</v>
      </c>
    </row>
    <row r="311" spans="1:1" x14ac:dyDescent="0.25">
      <c r="A311" s="1" t="s">
        <v>350</v>
      </c>
    </row>
    <row r="312" spans="1:1" x14ac:dyDescent="0.25">
      <c r="A312" s="1" t="s">
        <v>351</v>
      </c>
    </row>
    <row r="313" spans="1:1" x14ac:dyDescent="0.25">
      <c r="A313" s="1" t="s">
        <v>352</v>
      </c>
    </row>
    <row r="314" spans="1:1" x14ac:dyDescent="0.25">
      <c r="A314" s="1" t="s">
        <v>353</v>
      </c>
    </row>
    <row r="315" spans="1:1" x14ac:dyDescent="0.25">
      <c r="A315" s="1" t="s">
        <v>354</v>
      </c>
    </row>
    <row r="316" spans="1:1" x14ac:dyDescent="0.25">
      <c r="A316" s="1" t="s">
        <v>355</v>
      </c>
    </row>
    <row r="317" spans="1:1" x14ac:dyDescent="0.25">
      <c r="A317" s="1" t="s">
        <v>356</v>
      </c>
    </row>
    <row r="318" spans="1:1" x14ac:dyDescent="0.25">
      <c r="A318" s="1" t="s">
        <v>357</v>
      </c>
    </row>
    <row r="319" spans="1:1" x14ac:dyDescent="0.25">
      <c r="A319" s="1" t="s">
        <v>358</v>
      </c>
    </row>
    <row r="320" spans="1:1" x14ac:dyDescent="0.25">
      <c r="A320" s="1" t="s">
        <v>359</v>
      </c>
    </row>
    <row r="321" spans="1:1" x14ac:dyDescent="0.25">
      <c r="A321" s="1" t="s">
        <v>360</v>
      </c>
    </row>
    <row r="322" spans="1:1" x14ac:dyDescent="0.25">
      <c r="A322" s="1" t="s">
        <v>361</v>
      </c>
    </row>
    <row r="323" spans="1:1" x14ac:dyDescent="0.25">
      <c r="A323" s="1" t="s">
        <v>362</v>
      </c>
    </row>
    <row r="324" spans="1:1" x14ac:dyDescent="0.25">
      <c r="A324" s="1" t="s">
        <v>363</v>
      </c>
    </row>
    <row r="325" spans="1:1" x14ac:dyDescent="0.25">
      <c r="A325" s="1" t="s">
        <v>364</v>
      </c>
    </row>
    <row r="326" spans="1:1" x14ac:dyDescent="0.25">
      <c r="A326" s="1" t="s">
        <v>365</v>
      </c>
    </row>
    <row r="327" spans="1:1" x14ac:dyDescent="0.25">
      <c r="A327" s="1" t="s">
        <v>366</v>
      </c>
    </row>
    <row r="328" spans="1:1" x14ac:dyDescent="0.25">
      <c r="A328" s="1" t="s">
        <v>367</v>
      </c>
    </row>
    <row r="329" spans="1:1" x14ac:dyDescent="0.25">
      <c r="A329" s="1" t="s">
        <v>368</v>
      </c>
    </row>
    <row r="330" spans="1:1" x14ac:dyDescent="0.25">
      <c r="A330" s="1" t="s">
        <v>369</v>
      </c>
    </row>
    <row r="331" spans="1:1" x14ac:dyDescent="0.25">
      <c r="A331" s="1" t="s">
        <v>370</v>
      </c>
    </row>
    <row r="332" spans="1:1" x14ac:dyDescent="0.25">
      <c r="A332" s="1" t="s">
        <v>371</v>
      </c>
    </row>
    <row r="333" spans="1:1" x14ac:dyDescent="0.25">
      <c r="A333" s="1" t="s">
        <v>372</v>
      </c>
    </row>
    <row r="334" spans="1:1" x14ac:dyDescent="0.25">
      <c r="A334" s="1" t="s">
        <v>373</v>
      </c>
    </row>
    <row r="335" spans="1:1" x14ac:dyDescent="0.25">
      <c r="A335" s="1" t="s">
        <v>374</v>
      </c>
    </row>
    <row r="336" spans="1:1" x14ac:dyDescent="0.25">
      <c r="A336" s="1" t="s">
        <v>375</v>
      </c>
    </row>
    <row r="337" spans="1:1" x14ac:dyDescent="0.25">
      <c r="A337" s="1" t="s">
        <v>376</v>
      </c>
    </row>
    <row r="338" spans="1:1" x14ac:dyDescent="0.25">
      <c r="A338" s="1" t="s">
        <v>377</v>
      </c>
    </row>
    <row r="339" spans="1:1" x14ac:dyDescent="0.25">
      <c r="A339" s="1" t="s">
        <v>378</v>
      </c>
    </row>
    <row r="340" spans="1:1" x14ac:dyDescent="0.25">
      <c r="A340" s="1" t="s">
        <v>379</v>
      </c>
    </row>
    <row r="341" spans="1:1" x14ac:dyDescent="0.25">
      <c r="A341" s="1" t="s">
        <v>380</v>
      </c>
    </row>
    <row r="342" spans="1:1" x14ac:dyDescent="0.25">
      <c r="A342" s="1" t="s">
        <v>381</v>
      </c>
    </row>
    <row r="343" spans="1:1" x14ac:dyDescent="0.25">
      <c r="A343" s="1" t="s">
        <v>382</v>
      </c>
    </row>
    <row r="344" spans="1:1" x14ac:dyDescent="0.25">
      <c r="A344" s="1" t="s">
        <v>383</v>
      </c>
    </row>
    <row r="345" spans="1:1" x14ac:dyDescent="0.25">
      <c r="A345" s="1" t="s">
        <v>384</v>
      </c>
    </row>
    <row r="346" spans="1:1" x14ac:dyDescent="0.25">
      <c r="A346" s="1" t="s">
        <v>385</v>
      </c>
    </row>
    <row r="347" spans="1:1" x14ac:dyDescent="0.25">
      <c r="A347" s="1" t="s">
        <v>386</v>
      </c>
    </row>
    <row r="348" spans="1:1" x14ac:dyDescent="0.25">
      <c r="A348" s="1" t="s">
        <v>387</v>
      </c>
    </row>
    <row r="349" spans="1:1" x14ac:dyDescent="0.25">
      <c r="A349" s="1" t="s">
        <v>388</v>
      </c>
    </row>
    <row r="350" spans="1:1" x14ac:dyDescent="0.25">
      <c r="A350" s="1" t="s">
        <v>389</v>
      </c>
    </row>
    <row r="351" spans="1:1" x14ac:dyDescent="0.25">
      <c r="A351" s="1" t="s">
        <v>390</v>
      </c>
    </row>
    <row r="352" spans="1:1" x14ac:dyDescent="0.25">
      <c r="A352" s="1" t="s">
        <v>391</v>
      </c>
    </row>
    <row r="353" spans="1:1" x14ac:dyDescent="0.25">
      <c r="A353" s="1" t="s">
        <v>392</v>
      </c>
    </row>
    <row r="354" spans="1:1" x14ac:dyDescent="0.25">
      <c r="A354" s="1" t="s">
        <v>393</v>
      </c>
    </row>
    <row r="355" spans="1:1" x14ac:dyDescent="0.25">
      <c r="A355" s="1" t="s">
        <v>394</v>
      </c>
    </row>
    <row r="356" spans="1:1" x14ac:dyDescent="0.25">
      <c r="A356" s="1" t="s">
        <v>395</v>
      </c>
    </row>
    <row r="357" spans="1:1" x14ac:dyDescent="0.25">
      <c r="A357" s="1" t="s">
        <v>396</v>
      </c>
    </row>
    <row r="358" spans="1:1" x14ac:dyDescent="0.25">
      <c r="A358" s="1" t="s">
        <v>397</v>
      </c>
    </row>
    <row r="359" spans="1:1" x14ac:dyDescent="0.25">
      <c r="A359" s="1" t="s">
        <v>398</v>
      </c>
    </row>
    <row r="360" spans="1:1" x14ac:dyDescent="0.25">
      <c r="A360" s="1" t="s">
        <v>399</v>
      </c>
    </row>
    <row r="361" spans="1:1" x14ac:dyDescent="0.25">
      <c r="A361" s="1" t="s">
        <v>400</v>
      </c>
    </row>
    <row r="362" spans="1:1" x14ac:dyDescent="0.25">
      <c r="A362" s="1" t="s">
        <v>401</v>
      </c>
    </row>
    <row r="363" spans="1:1" x14ac:dyDescent="0.25">
      <c r="A363" s="1" t="s">
        <v>402</v>
      </c>
    </row>
    <row r="364" spans="1:1" x14ac:dyDescent="0.25">
      <c r="A364" s="1" t="s">
        <v>403</v>
      </c>
    </row>
    <row r="365" spans="1:1" x14ac:dyDescent="0.25">
      <c r="A365" s="1" t="s">
        <v>404</v>
      </c>
    </row>
    <row r="366" spans="1:1" x14ac:dyDescent="0.25">
      <c r="A366" s="1" t="s">
        <v>405</v>
      </c>
    </row>
    <row r="367" spans="1:1" x14ac:dyDescent="0.25">
      <c r="A367" s="1" t="s">
        <v>406</v>
      </c>
    </row>
    <row r="368" spans="1:1" x14ac:dyDescent="0.25">
      <c r="A368" s="1" t="s">
        <v>407</v>
      </c>
    </row>
    <row r="369" spans="1:1" x14ac:dyDescent="0.25">
      <c r="A369" s="1" t="s">
        <v>408</v>
      </c>
    </row>
    <row r="370" spans="1:1" x14ac:dyDescent="0.25">
      <c r="A370" s="1" t="s">
        <v>409</v>
      </c>
    </row>
    <row r="371" spans="1:1" x14ac:dyDescent="0.25">
      <c r="A371" s="1" t="s">
        <v>410</v>
      </c>
    </row>
    <row r="372" spans="1:1" x14ac:dyDescent="0.25">
      <c r="A372" s="1" t="s">
        <v>411</v>
      </c>
    </row>
    <row r="373" spans="1:1" x14ac:dyDescent="0.25">
      <c r="A373" s="1" t="s">
        <v>412</v>
      </c>
    </row>
    <row r="374" spans="1:1" x14ac:dyDescent="0.25">
      <c r="A374" s="1" t="s">
        <v>413</v>
      </c>
    </row>
    <row r="375" spans="1:1" x14ac:dyDescent="0.25">
      <c r="A375" s="1" t="s">
        <v>414</v>
      </c>
    </row>
    <row r="376" spans="1:1" x14ac:dyDescent="0.25">
      <c r="A376" s="1" t="s">
        <v>415</v>
      </c>
    </row>
    <row r="377" spans="1:1" x14ac:dyDescent="0.25">
      <c r="A377" s="1" t="s">
        <v>416</v>
      </c>
    </row>
    <row r="378" spans="1:1" x14ac:dyDescent="0.25">
      <c r="A378" s="1" t="s">
        <v>417</v>
      </c>
    </row>
    <row r="379" spans="1:1" x14ac:dyDescent="0.25">
      <c r="A379" s="1" t="s">
        <v>418</v>
      </c>
    </row>
    <row r="380" spans="1:1" x14ac:dyDescent="0.25">
      <c r="A380" s="1" t="s">
        <v>419</v>
      </c>
    </row>
    <row r="381" spans="1:1" x14ac:dyDescent="0.25">
      <c r="A381" s="1" t="s">
        <v>420</v>
      </c>
    </row>
    <row r="382" spans="1:1" x14ac:dyDescent="0.25">
      <c r="A382" s="1" t="s">
        <v>421</v>
      </c>
    </row>
    <row r="383" spans="1:1" x14ac:dyDescent="0.25">
      <c r="A383" s="1" t="s">
        <v>422</v>
      </c>
    </row>
    <row r="384" spans="1:1" x14ac:dyDescent="0.25">
      <c r="A384" s="1" t="s">
        <v>423</v>
      </c>
    </row>
    <row r="385" spans="1:1" x14ac:dyDescent="0.25">
      <c r="A385" s="1" t="s">
        <v>424</v>
      </c>
    </row>
    <row r="386" spans="1:1" x14ac:dyDescent="0.25">
      <c r="A386" s="1" t="s">
        <v>425</v>
      </c>
    </row>
    <row r="387" spans="1:1" x14ac:dyDescent="0.25">
      <c r="A387" s="1" t="s">
        <v>426</v>
      </c>
    </row>
    <row r="388" spans="1:1" x14ac:dyDescent="0.25">
      <c r="A388" s="1" t="s">
        <v>427</v>
      </c>
    </row>
    <row r="389" spans="1:1" x14ac:dyDescent="0.25">
      <c r="A389" s="1" t="s">
        <v>428</v>
      </c>
    </row>
    <row r="390" spans="1:1" x14ac:dyDescent="0.25">
      <c r="A390" s="1" t="s">
        <v>429</v>
      </c>
    </row>
    <row r="391" spans="1:1" x14ac:dyDescent="0.25">
      <c r="A391" s="1" t="s">
        <v>430</v>
      </c>
    </row>
    <row r="392" spans="1:1" x14ac:dyDescent="0.25">
      <c r="A392" s="1" t="s">
        <v>431</v>
      </c>
    </row>
    <row r="393" spans="1:1" x14ac:dyDescent="0.25">
      <c r="A393" s="1" t="s">
        <v>432</v>
      </c>
    </row>
    <row r="394" spans="1:1" x14ac:dyDescent="0.25">
      <c r="A394" s="1" t="s">
        <v>433</v>
      </c>
    </row>
    <row r="395" spans="1:1" x14ac:dyDescent="0.25">
      <c r="A395" s="1" t="s">
        <v>434</v>
      </c>
    </row>
    <row r="396" spans="1:1" x14ac:dyDescent="0.25">
      <c r="A396" s="1" t="s">
        <v>435</v>
      </c>
    </row>
    <row r="397" spans="1:1" x14ac:dyDescent="0.25">
      <c r="A397" s="1" t="s">
        <v>436</v>
      </c>
    </row>
    <row r="398" spans="1:1" x14ac:dyDescent="0.25">
      <c r="A398" s="1" t="s">
        <v>437</v>
      </c>
    </row>
    <row r="399" spans="1:1" x14ac:dyDescent="0.25">
      <c r="A399" s="1" t="s">
        <v>438</v>
      </c>
    </row>
    <row r="400" spans="1:1" x14ac:dyDescent="0.25">
      <c r="A400" s="1" t="s">
        <v>439</v>
      </c>
    </row>
    <row r="401" spans="1:1" x14ac:dyDescent="0.25">
      <c r="A401" s="1" t="s">
        <v>440</v>
      </c>
    </row>
    <row r="402" spans="1:1" x14ac:dyDescent="0.25">
      <c r="A402" s="1" t="s">
        <v>441</v>
      </c>
    </row>
    <row r="403" spans="1:1" x14ac:dyDescent="0.25">
      <c r="A403" s="1" t="s">
        <v>442</v>
      </c>
    </row>
    <row r="404" spans="1:1" x14ac:dyDescent="0.25">
      <c r="A404" s="1" t="s">
        <v>443</v>
      </c>
    </row>
    <row r="405" spans="1:1" x14ac:dyDescent="0.25">
      <c r="A405" s="1" t="s">
        <v>444</v>
      </c>
    </row>
    <row r="406" spans="1:1" x14ac:dyDescent="0.25">
      <c r="A406" s="1" t="s">
        <v>445</v>
      </c>
    </row>
    <row r="407" spans="1:1" x14ac:dyDescent="0.25">
      <c r="A407" s="1" t="s">
        <v>446</v>
      </c>
    </row>
    <row r="408" spans="1:1" x14ac:dyDescent="0.25">
      <c r="A408" s="1" t="s">
        <v>447</v>
      </c>
    </row>
    <row r="409" spans="1:1" x14ac:dyDescent="0.25">
      <c r="A409" s="1" t="s">
        <v>448</v>
      </c>
    </row>
    <row r="410" spans="1:1" x14ac:dyDescent="0.25">
      <c r="A410" s="1" t="s">
        <v>449</v>
      </c>
    </row>
    <row r="411" spans="1:1" x14ac:dyDescent="0.25">
      <c r="A411" s="1" t="s">
        <v>450</v>
      </c>
    </row>
    <row r="412" spans="1:1" x14ac:dyDescent="0.25">
      <c r="A412" s="1" t="s">
        <v>451</v>
      </c>
    </row>
    <row r="413" spans="1:1" x14ac:dyDescent="0.25">
      <c r="A413" s="1" t="s">
        <v>452</v>
      </c>
    </row>
    <row r="414" spans="1:1" x14ac:dyDescent="0.25">
      <c r="A414" s="1" t="s">
        <v>453</v>
      </c>
    </row>
    <row r="415" spans="1:1" x14ac:dyDescent="0.25">
      <c r="A415" s="1" t="s">
        <v>454</v>
      </c>
    </row>
    <row r="416" spans="1:1" x14ac:dyDescent="0.25">
      <c r="A416" s="1" t="s">
        <v>455</v>
      </c>
    </row>
    <row r="417" spans="1:1" x14ac:dyDescent="0.25">
      <c r="A417" s="1" t="s">
        <v>456</v>
      </c>
    </row>
    <row r="418" spans="1:1" x14ac:dyDescent="0.25">
      <c r="A418" s="1" t="s">
        <v>457</v>
      </c>
    </row>
    <row r="419" spans="1:1" x14ac:dyDescent="0.25">
      <c r="A419" s="1" t="s">
        <v>458</v>
      </c>
    </row>
    <row r="420" spans="1:1" x14ac:dyDescent="0.25">
      <c r="A420" s="1" t="s">
        <v>459</v>
      </c>
    </row>
    <row r="421" spans="1:1" x14ac:dyDescent="0.25">
      <c r="A421" s="1" t="s">
        <v>460</v>
      </c>
    </row>
    <row r="422" spans="1:1" x14ac:dyDescent="0.25">
      <c r="A422" s="1" t="s">
        <v>461</v>
      </c>
    </row>
    <row r="423" spans="1:1" x14ac:dyDescent="0.25">
      <c r="A423" s="1" t="s">
        <v>462</v>
      </c>
    </row>
    <row r="424" spans="1:1" x14ac:dyDescent="0.25">
      <c r="A424" s="1" t="s">
        <v>463</v>
      </c>
    </row>
    <row r="425" spans="1:1" x14ac:dyDescent="0.25">
      <c r="A425" s="1" t="s">
        <v>464</v>
      </c>
    </row>
    <row r="426" spans="1:1" x14ac:dyDescent="0.25">
      <c r="A426" s="1" t="s">
        <v>465</v>
      </c>
    </row>
    <row r="427" spans="1:1" x14ac:dyDescent="0.25">
      <c r="A427" s="1" t="s">
        <v>466</v>
      </c>
    </row>
    <row r="428" spans="1:1" x14ac:dyDescent="0.25">
      <c r="A428" s="1" t="s">
        <v>467</v>
      </c>
    </row>
    <row r="429" spans="1:1" x14ac:dyDescent="0.25">
      <c r="A429" s="1" t="s">
        <v>468</v>
      </c>
    </row>
    <row r="430" spans="1:1" x14ac:dyDescent="0.25">
      <c r="A430" s="1" t="s">
        <v>469</v>
      </c>
    </row>
    <row r="431" spans="1:1" x14ac:dyDescent="0.25">
      <c r="A431" s="1" t="s">
        <v>470</v>
      </c>
    </row>
    <row r="432" spans="1:1" x14ac:dyDescent="0.25">
      <c r="A432" s="1" t="s">
        <v>471</v>
      </c>
    </row>
    <row r="433" spans="1:1" x14ac:dyDescent="0.25">
      <c r="A433" s="1" t="s">
        <v>472</v>
      </c>
    </row>
    <row r="434" spans="1:1" x14ac:dyDescent="0.25">
      <c r="A434" s="1" t="s">
        <v>473</v>
      </c>
    </row>
    <row r="435" spans="1:1" x14ac:dyDescent="0.25">
      <c r="A435" s="1" t="s">
        <v>474</v>
      </c>
    </row>
    <row r="436" spans="1:1" x14ac:dyDescent="0.25">
      <c r="A436" s="1" t="s">
        <v>475</v>
      </c>
    </row>
    <row r="437" spans="1:1" x14ac:dyDescent="0.25">
      <c r="A437" s="1" t="s">
        <v>476</v>
      </c>
    </row>
    <row r="438" spans="1:1" x14ac:dyDescent="0.25">
      <c r="A438" s="1" t="s">
        <v>477</v>
      </c>
    </row>
    <row r="439" spans="1:1" x14ac:dyDescent="0.25">
      <c r="A439" s="1" t="s">
        <v>478</v>
      </c>
    </row>
    <row r="440" spans="1:1" x14ac:dyDescent="0.25">
      <c r="A440" s="1" t="s">
        <v>479</v>
      </c>
    </row>
    <row r="441" spans="1:1" x14ac:dyDescent="0.25">
      <c r="A441" s="1" t="s">
        <v>480</v>
      </c>
    </row>
    <row r="442" spans="1:1" x14ac:dyDescent="0.25">
      <c r="A442" s="1" t="s">
        <v>481</v>
      </c>
    </row>
    <row r="443" spans="1:1" x14ac:dyDescent="0.25">
      <c r="A443" s="1" t="s">
        <v>482</v>
      </c>
    </row>
    <row r="444" spans="1:1" x14ac:dyDescent="0.25">
      <c r="A444" s="1" t="s">
        <v>483</v>
      </c>
    </row>
    <row r="445" spans="1:1" x14ac:dyDescent="0.25">
      <c r="A445" s="1" t="s">
        <v>484</v>
      </c>
    </row>
    <row r="446" spans="1:1" x14ac:dyDescent="0.25">
      <c r="A446" s="1" t="s">
        <v>485</v>
      </c>
    </row>
    <row r="447" spans="1:1" x14ac:dyDescent="0.25">
      <c r="A447" s="1" t="s">
        <v>486</v>
      </c>
    </row>
    <row r="448" spans="1:1" x14ac:dyDescent="0.25">
      <c r="A448" s="1" t="s">
        <v>487</v>
      </c>
    </row>
    <row r="449" spans="1:1" x14ac:dyDescent="0.25">
      <c r="A449" s="1" t="s">
        <v>488</v>
      </c>
    </row>
    <row r="450" spans="1:1" x14ac:dyDescent="0.25">
      <c r="A450" s="1" t="s">
        <v>489</v>
      </c>
    </row>
    <row r="451" spans="1:1" x14ac:dyDescent="0.25">
      <c r="A451" s="1" t="s">
        <v>490</v>
      </c>
    </row>
    <row r="452" spans="1:1" x14ac:dyDescent="0.25">
      <c r="A452" s="1" t="s">
        <v>491</v>
      </c>
    </row>
    <row r="453" spans="1:1" x14ac:dyDescent="0.25">
      <c r="A453" s="1" t="s">
        <v>492</v>
      </c>
    </row>
    <row r="454" spans="1:1" x14ac:dyDescent="0.25">
      <c r="A454" s="1" t="s">
        <v>493</v>
      </c>
    </row>
    <row r="455" spans="1:1" x14ac:dyDescent="0.25">
      <c r="A455" s="1" t="s">
        <v>494</v>
      </c>
    </row>
    <row r="456" spans="1:1" x14ac:dyDescent="0.25">
      <c r="A456" s="1" t="s">
        <v>495</v>
      </c>
    </row>
    <row r="457" spans="1:1" x14ac:dyDescent="0.25">
      <c r="A457" s="1" t="s">
        <v>496</v>
      </c>
    </row>
    <row r="458" spans="1:1" x14ac:dyDescent="0.25">
      <c r="A458" s="1" t="s">
        <v>497</v>
      </c>
    </row>
    <row r="459" spans="1:1" x14ac:dyDescent="0.25">
      <c r="A459" s="1" t="s">
        <v>498</v>
      </c>
    </row>
    <row r="460" spans="1:1" x14ac:dyDescent="0.25">
      <c r="A460" s="1" t="s">
        <v>499</v>
      </c>
    </row>
    <row r="461" spans="1:1" x14ac:dyDescent="0.25">
      <c r="A461" s="1" t="s">
        <v>500</v>
      </c>
    </row>
    <row r="462" spans="1:1" x14ac:dyDescent="0.25">
      <c r="A462" s="1" t="s">
        <v>501</v>
      </c>
    </row>
    <row r="463" spans="1:1" x14ac:dyDescent="0.25">
      <c r="A463" s="1" t="s">
        <v>502</v>
      </c>
    </row>
    <row r="464" spans="1:1" x14ac:dyDescent="0.25">
      <c r="A464" s="1" t="s">
        <v>503</v>
      </c>
    </row>
    <row r="465" spans="1:1" x14ac:dyDescent="0.25">
      <c r="A465" s="1" t="s">
        <v>504</v>
      </c>
    </row>
    <row r="466" spans="1:1" x14ac:dyDescent="0.25">
      <c r="A466" s="1" t="s">
        <v>505</v>
      </c>
    </row>
    <row r="467" spans="1:1" x14ac:dyDescent="0.25">
      <c r="A467" s="1" t="s">
        <v>506</v>
      </c>
    </row>
    <row r="468" spans="1:1" x14ac:dyDescent="0.25">
      <c r="A468" s="1" t="s">
        <v>507</v>
      </c>
    </row>
    <row r="469" spans="1:1" x14ac:dyDescent="0.25">
      <c r="A469" s="1" t="s">
        <v>508</v>
      </c>
    </row>
    <row r="470" spans="1:1" x14ac:dyDescent="0.25">
      <c r="A470" s="1" t="s">
        <v>509</v>
      </c>
    </row>
    <row r="471" spans="1:1" x14ac:dyDescent="0.25">
      <c r="A471" s="1" t="s">
        <v>510</v>
      </c>
    </row>
    <row r="472" spans="1:1" x14ac:dyDescent="0.25">
      <c r="A472" s="1" t="s">
        <v>511</v>
      </c>
    </row>
    <row r="473" spans="1:1" x14ac:dyDescent="0.25">
      <c r="A473" s="1" t="s">
        <v>512</v>
      </c>
    </row>
    <row r="474" spans="1:1" x14ac:dyDescent="0.25">
      <c r="A474" s="1" t="s">
        <v>513</v>
      </c>
    </row>
    <row r="475" spans="1:1" x14ac:dyDescent="0.25">
      <c r="A475" s="1" t="s">
        <v>514</v>
      </c>
    </row>
    <row r="476" spans="1:1" x14ac:dyDescent="0.25">
      <c r="A476" s="1" t="s">
        <v>515</v>
      </c>
    </row>
    <row r="477" spans="1:1" x14ac:dyDescent="0.25">
      <c r="A477" s="1" t="s">
        <v>516</v>
      </c>
    </row>
    <row r="478" spans="1:1" x14ac:dyDescent="0.25">
      <c r="A478" s="1" t="s">
        <v>517</v>
      </c>
    </row>
    <row r="479" spans="1:1" x14ac:dyDescent="0.25">
      <c r="A479" s="1" t="s">
        <v>518</v>
      </c>
    </row>
    <row r="480" spans="1:1" x14ac:dyDescent="0.25">
      <c r="A480" s="1" t="s">
        <v>519</v>
      </c>
    </row>
    <row r="481" spans="1:1" x14ac:dyDescent="0.25">
      <c r="A481" s="1" t="s">
        <v>520</v>
      </c>
    </row>
    <row r="482" spans="1:1" x14ac:dyDescent="0.25">
      <c r="A482" s="1" t="s">
        <v>521</v>
      </c>
    </row>
    <row r="483" spans="1:1" x14ac:dyDescent="0.25">
      <c r="A483" s="1" t="s">
        <v>522</v>
      </c>
    </row>
    <row r="484" spans="1:1" x14ac:dyDescent="0.25">
      <c r="A484" s="1" t="s">
        <v>523</v>
      </c>
    </row>
    <row r="485" spans="1:1" x14ac:dyDescent="0.25">
      <c r="A485" s="1" t="s">
        <v>524</v>
      </c>
    </row>
    <row r="486" spans="1:1" x14ac:dyDescent="0.25">
      <c r="A486" s="1" t="s">
        <v>525</v>
      </c>
    </row>
    <row r="487" spans="1:1" x14ac:dyDescent="0.25">
      <c r="A487" s="1" t="s">
        <v>526</v>
      </c>
    </row>
    <row r="488" spans="1:1" x14ac:dyDescent="0.25">
      <c r="A488" s="1" t="s">
        <v>527</v>
      </c>
    </row>
    <row r="489" spans="1:1" x14ac:dyDescent="0.25">
      <c r="A489" s="1" t="s">
        <v>528</v>
      </c>
    </row>
    <row r="490" spans="1:1" x14ac:dyDescent="0.25">
      <c r="A490" s="1" t="s">
        <v>529</v>
      </c>
    </row>
    <row r="491" spans="1:1" x14ac:dyDescent="0.25">
      <c r="A491" s="1" t="s">
        <v>530</v>
      </c>
    </row>
    <row r="492" spans="1:1" x14ac:dyDescent="0.25">
      <c r="A492" s="1" t="s">
        <v>531</v>
      </c>
    </row>
    <row r="493" spans="1:1" x14ac:dyDescent="0.25">
      <c r="A493" s="1" t="s">
        <v>532</v>
      </c>
    </row>
    <row r="494" spans="1:1" x14ac:dyDescent="0.25">
      <c r="A494" s="1" t="s">
        <v>533</v>
      </c>
    </row>
    <row r="495" spans="1:1" x14ac:dyDescent="0.25">
      <c r="A495" s="1" t="s">
        <v>534</v>
      </c>
    </row>
    <row r="496" spans="1:1" x14ac:dyDescent="0.25">
      <c r="A496" s="1" t="s">
        <v>535</v>
      </c>
    </row>
    <row r="497" spans="1:1" x14ac:dyDescent="0.25">
      <c r="A497" s="1" t="s">
        <v>536</v>
      </c>
    </row>
    <row r="498" spans="1:1" x14ac:dyDescent="0.25">
      <c r="A498" s="1" t="s">
        <v>537</v>
      </c>
    </row>
    <row r="499" spans="1:1" x14ac:dyDescent="0.25">
      <c r="A499" s="1" t="s">
        <v>538</v>
      </c>
    </row>
    <row r="500" spans="1:1" x14ac:dyDescent="0.25">
      <c r="A500" s="1" t="s">
        <v>539</v>
      </c>
    </row>
    <row r="501" spans="1:1" x14ac:dyDescent="0.25">
      <c r="A501" s="1" t="s">
        <v>540</v>
      </c>
    </row>
    <row r="502" spans="1:1" x14ac:dyDescent="0.25">
      <c r="A502" s="1" t="s">
        <v>541</v>
      </c>
    </row>
    <row r="503" spans="1:1" x14ac:dyDescent="0.25">
      <c r="A503" s="1" t="s">
        <v>542</v>
      </c>
    </row>
    <row r="504" spans="1:1" x14ac:dyDescent="0.25">
      <c r="A504" s="1" t="s">
        <v>543</v>
      </c>
    </row>
    <row r="505" spans="1:1" x14ac:dyDescent="0.25">
      <c r="A505" s="1" t="s">
        <v>544</v>
      </c>
    </row>
    <row r="506" spans="1:1" x14ac:dyDescent="0.25">
      <c r="A506" s="1" t="s">
        <v>545</v>
      </c>
    </row>
    <row r="507" spans="1:1" x14ac:dyDescent="0.25">
      <c r="A507" s="1" t="s">
        <v>546</v>
      </c>
    </row>
    <row r="508" spans="1:1" x14ac:dyDescent="0.25">
      <c r="A508" s="1" t="s">
        <v>547</v>
      </c>
    </row>
    <row r="509" spans="1:1" x14ac:dyDescent="0.25">
      <c r="A509" s="1" t="s">
        <v>548</v>
      </c>
    </row>
    <row r="510" spans="1:1" x14ac:dyDescent="0.25">
      <c r="A510" s="1" t="s">
        <v>549</v>
      </c>
    </row>
    <row r="511" spans="1:1" x14ac:dyDescent="0.25">
      <c r="A511" s="1" t="s">
        <v>550</v>
      </c>
    </row>
    <row r="512" spans="1:1" x14ac:dyDescent="0.25">
      <c r="A512" s="1" t="s">
        <v>551</v>
      </c>
    </row>
    <row r="513" spans="1:1" x14ac:dyDescent="0.25">
      <c r="A513" s="1" t="s">
        <v>552</v>
      </c>
    </row>
    <row r="514" spans="1:1" x14ac:dyDescent="0.25">
      <c r="A514" s="1" t="s">
        <v>553</v>
      </c>
    </row>
    <row r="515" spans="1:1" x14ac:dyDescent="0.25">
      <c r="A515" s="1" t="s">
        <v>554</v>
      </c>
    </row>
    <row r="516" spans="1:1" x14ac:dyDescent="0.25">
      <c r="A516" s="1" t="s">
        <v>555</v>
      </c>
    </row>
    <row r="517" spans="1:1" x14ac:dyDescent="0.25">
      <c r="A517" s="1" t="s">
        <v>556</v>
      </c>
    </row>
    <row r="518" spans="1:1" x14ac:dyDescent="0.25">
      <c r="A518" s="1" t="s">
        <v>557</v>
      </c>
    </row>
    <row r="519" spans="1:1" x14ac:dyDescent="0.25">
      <c r="A519" s="1" t="s">
        <v>558</v>
      </c>
    </row>
    <row r="520" spans="1:1" x14ac:dyDescent="0.25">
      <c r="A520" s="1" t="s">
        <v>559</v>
      </c>
    </row>
    <row r="521" spans="1:1" x14ac:dyDescent="0.25">
      <c r="A521" s="1" t="s">
        <v>560</v>
      </c>
    </row>
    <row r="522" spans="1:1" x14ac:dyDescent="0.25">
      <c r="A522" s="1" t="s">
        <v>561</v>
      </c>
    </row>
    <row r="523" spans="1:1" x14ac:dyDescent="0.25">
      <c r="A523" s="1" t="s">
        <v>562</v>
      </c>
    </row>
    <row r="524" spans="1:1" x14ac:dyDescent="0.25">
      <c r="A524" s="1" t="s">
        <v>563</v>
      </c>
    </row>
    <row r="525" spans="1:1" x14ac:dyDescent="0.25">
      <c r="A525" s="1" t="s">
        <v>564</v>
      </c>
    </row>
    <row r="526" spans="1:1" x14ac:dyDescent="0.25">
      <c r="A526" s="1" t="s">
        <v>565</v>
      </c>
    </row>
    <row r="527" spans="1:1" x14ac:dyDescent="0.25">
      <c r="A527" s="1" t="s">
        <v>566</v>
      </c>
    </row>
    <row r="528" spans="1:1" x14ac:dyDescent="0.25">
      <c r="A528" s="1" t="s">
        <v>567</v>
      </c>
    </row>
    <row r="529" spans="1:1" x14ac:dyDescent="0.25">
      <c r="A529" s="1" t="s">
        <v>568</v>
      </c>
    </row>
    <row r="530" spans="1:1" x14ac:dyDescent="0.25">
      <c r="A530" s="1" t="s">
        <v>569</v>
      </c>
    </row>
    <row r="531" spans="1:1" x14ac:dyDescent="0.25">
      <c r="A531" s="1" t="s">
        <v>570</v>
      </c>
    </row>
    <row r="532" spans="1:1" x14ac:dyDescent="0.25">
      <c r="A532" s="1" t="s">
        <v>571</v>
      </c>
    </row>
    <row r="533" spans="1:1" x14ac:dyDescent="0.25">
      <c r="A533" s="1" t="s">
        <v>572</v>
      </c>
    </row>
    <row r="534" spans="1:1" x14ac:dyDescent="0.25">
      <c r="A534" s="1" t="s">
        <v>573</v>
      </c>
    </row>
    <row r="535" spans="1:1" x14ac:dyDescent="0.25">
      <c r="A535" s="1" t="s">
        <v>574</v>
      </c>
    </row>
    <row r="536" spans="1:1" x14ac:dyDescent="0.25">
      <c r="A536" s="1" t="s">
        <v>575</v>
      </c>
    </row>
    <row r="537" spans="1:1" x14ac:dyDescent="0.25">
      <c r="A537" s="1" t="s">
        <v>576</v>
      </c>
    </row>
    <row r="538" spans="1:1" x14ac:dyDescent="0.25">
      <c r="A538" s="1" t="s">
        <v>577</v>
      </c>
    </row>
    <row r="539" spans="1:1" x14ac:dyDescent="0.25">
      <c r="A539" s="1" t="s">
        <v>578</v>
      </c>
    </row>
    <row r="540" spans="1:1" x14ac:dyDescent="0.25">
      <c r="A540" s="1" t="s">
        <v>579</v>
      </c>
    </row>
    <row r="541" spans="1:1" x14ac:dyDescent="0.25">
      <c r="A541" s="1" t="s">
        <v>580</v>
      </c>
    </row>
    <row r="542" spans="1:1" x14ac:dyDescent="0.25">
      <c r="A542" s="1" t="s">
        <v>581</v>
      </c>
    </row>
    <row r="543" spans="1:1" x14ac:dyDescent="0.25">
      <c r="A543" s="1" t="s">
        <v>582</v>
      </c>
    </row>
    <row r="544" spans="1:1" x14ac:dyDescent="0.25">
      <c r="A544" s="1" t="s">
        <v>583</v>
      </c>
    </row>
    <row r="545" spans="1:1" x14ac:dyDescent="0.25">
      <c r="A545" s="1" t="s">
        <v>584</v>
      </c>
    </row>
    <row r="546" spans="1:1" x14ac:dyDescent="0.25">
      <c r="A546" s="1" t="s">
        <v>585</v>
      </c>
    </row>
    <row r="547" spans="1:1" x14ac:dyDescent="0.25">
      <c r="A547" s="1" t="s">
        <v>586</v>
      </c>
    </row>
    <row r="548" spans="1:1" x14ac:dyDescent="0.25">
      <c r="A548" s="1" t="s">
        <v>587</v>
      </c>
    </row>
    <row r="549" spans="1:1" x14ac:dyDescent="0.25">
      <c r="A549" s="1" t="s">
        <v>588</v>
      </c>
    </row>
    <row r="550" spans="1:1" x14ac:dyDescent="0.25">
      <c r="A550" s="1" t="s">
        <v>589</v>
      </c>
    </row>
    <row r="551" spans="1:1" x14ac:dyDescent="0.25">
      <c r="A551" s="1" t="s">
        <v>590</v>
      </c>
    </row>
    <row r="552" spans="1:1" x14ac:dyDescent="0.25">
      <c r="A552" s="1" t="s">
        <v>591</v>
      </c>
    </row>
    <row r="553" spans="1:1" x14ac:dyDescent="0.25">
      <c r="A553" s="1" t="s">
        <v>592</v>
      </c>
    </row>
    <row r="554" spans="1:1" x14ac:dyDescent="0.25">
      <c r="A554" s="1" t="s">
        <v>593</v>
      </c>
    </row>
    <row r="555" spans="1:1" x14ac:dyDescent="0.25">
      <c r="A555" s="1" t="s">
        <v>594</v>
      </c>
    </row>
    <row r="556" spans="1:1" x14ac:dyDescent="0.25">
      <c r="A556" s="1" t="s">
        <v>595</v>
      </c>
    </row>
    <row r="557" spans="1:1" x14ac:dyDescent="0.25">
      <c r="A557" s="1" t="s">
        <v>596</v>
      </c>
    </row>
    <row r="558" spans="1:1" x14ac:dyDescent="0.25">
      <c r="A558" s="1" t="s">
        <v>597</v>
      </c>
    </row>
    <row r="559" spans="1:1" x14ac:dyDescent="0.25">
      <c r="A559" s="1" t="s">
        <v>598</v>
      </c>
    </row>
    <row r="560" spans="1:1" x14ac:dyDescent="0.25">
      <c r="A560" s="1" t="s">
        <v>599</v>
      </c>
    </row>
    <row r="561" spans="1:1" x14ac:dyDescent="0.25">
      <c r="A561" s="1" t="s">
        <v>600</v>
      </c>
    </row>
    <row r="562" spans="1:1" x14ac:dyDescent="0.25">
      <c r="A562" s="1" t="s">
        <v>601</v>
      </c>
    </row>
    <row r="563" spans="1:1" x14ac:dyDescent="0.25">
      <c r="A563" s="1" t="s">
        <v>602</v>
      </c>
    </row>
    <row r="564" spans="1:1" x14ac:dyDescent="0.25">
      <c r="A564" s="1" t="s">
        <v>603</v>
      </c>
    </row>
    <row r="565" spans="1:1" x14ac:dyDescent="0.25">
      <c r="A565" s="1" t="s">
        <v>604</v>
      </c>
    </row>
    <row r="566" spans="1:1" x14ac:dyDescent="0.25">
      <c r="A566" s="1" t="s">
        <v>605</v>
      </c>
    </row>
    <row r="567" spans="1:1" x14ac:dyDescent="0.25">
      <c r="A567" s="1" t="s">
        <v>606</v>
      </c>
    </row>
    <row r="568" spans="1:1" x14ac:dyDescent="0.25">
      <c r="A568" s="1" t="s">
        <v>607</v>
      </c>
    </row>
    <row r="569" spans="1:1" x14ac:dyDescent="0.25">
      <c r="A569" s="1" t="s">
        <v>608</v>
      </c>
    </row>
    <row r="570" spans="1:1" x14ac:dyDescent="0.25">
      <c r="A570" s="1" t="s">
        <v>609</v>
      </c>
    </row>
    <row r="571" spans="1:1" x14ac:dyDescent="0.25">
      <c r="A571" s="1" t="s">
        <v>610</v>
      </c>
    </row>
    <row r="572" spans="1:1" x14ac:dyDescent="0.25">
      <c r="A572" s="1" t="s">
        <v>611</v>
      </c>
    </row>
    <row r="573" spans="1:1" x14ac:dyDescent="0.25">
      <c r="A573" s="1" t="s">
        <v>612</v>
      </c>
    </row>
    <row r="574" spans="1:1" x14ac:dyDescent="0.25">
      <c r="A574" s="1" t="s">
        <v>613</v>
      </c>
    </row>
    <row r="575" spans="1:1" x14ac:dyDescent="0.25">
      <c r="A575" s="1" t="s">
        <v>614</v>
      </c>
    </row>
    <row r="576" spans="1:1" x14ac:dyDescent="0.25">
      <c r="A576" s="1" t="s">
        <v>615</v>
      </c>
    </row>
    <row r="577" spans="1:1" x14ac:dyDescent="0.25">
      <c r="A577" s="1" t="s">
        <v>616</v>
      </c>
    </row>
    <row r="578" spans="1:1" x14ac:dyDescent="0.25">
      <c r="A578" s="1" t="s">
        <v>617</v>
      </c>
    </row>
    <row r="579" spans="1:1" x14ac:dyDescent="0.25">
      <c r="A579" s="1" t="s">
        <v>618</v>
      </c>
    </row>
    <row r="580" spans="1:1" x14ac:dyDescent="0.25">
      <c r="A580" s="1" t="s">
        <v>619</v>
      </c>
    </row>
    <row r="581" spans="1:1" x14ac:dyDescent="0.25">
      <c r="A581" s="1" t="s">
        <v>620</v>
      </c>
    </row>
    <row r="582" spans="1:1" x14ac:dyDescent="0.25">
      <c r="A582" s="1" t="s">
        <v>621</v>
      </c>
    </row>
    <row r="583" spans="1:1" x14ac:dyDescent="0.25">
      <c r="A583" s="1" t="s">
        <v>622</v>
      </c>
    </row>
    <row r="584" spans="1:1" x14ac:dyDescent="0.25">
      <c r="A584" s="1" t="s">
        <v>623</v>
      </c>
    </row>
    <row r="585" spans="1:1" x14ac:dyDescent="0.25">
      <c r="A585" s="1" t="s">
        <v>624</v>
      </c>
    </row>
    <row r="586" spans="1:1" x14ac:dyDescent="0.25">
      <c r="A586" s="1" t="s">
        <v>625</v>
      </c>
    </row>
    <row r="587" spans="1:1" x14ac:dyDescent="0.25">
      <c r="A587" s="1" t="s">
        <v>626</v>
      </c>
    </row>
    <row r="588" spans="1:1" x14ac:dyDescent="0.25">
      <c r="A588" s="1" t="s">
        <v>627</v>
      </c>
    </row>
    <row r="589" spans="1:1" x14ac:dyDescent="0.25">
      <c r="A589" s="1" t="s">
        <v>628</v>
      </c>
    </row>
    <row r="590" spans="1:1" x14ac:dyDescent="0.25">
      <c r="A590" s="1" t="s">
        <v>629</v>
      </c>
    </row>
    <row r="591" spans="1:1" x14ac:dyDescent="0.25">
      <c r="A591" s="1" t="s">
        <v>630</v>
      </c>
    </row>
    <row r="592" spans="1:1" x14ac:dyDescent="0.25">
      <c r="A592" s="1" t="s">
        <v>631</v>
      </c>
    </row>
    <row r="593" spans="1:1" x14ac:dyDescent="0.25">
      <c r="A593" s="1" t="s">
        <v>632</v>
      </c>
    </row>
    <row r="594" spans="1:1" x14ac:dyDescent="0.25">
      <c r="A594" s="1" t="s">
        <v>633</v>
      </c>
    </row>
    <row r="595" spans="1:1" x14ac:dyDescent="0.25">
      <c r="A595" s="1" t="s">
        <v>634</v>
      </c>
    </row>
    <row r="596" spans="1:1" x14ac:dyDescent="0.25">
      <c r="A596" s="1" t="s">
        <v>635</v>
      </c>
    </row>
    <row r="597" spans="1:1" x14ac:dyDescent="0.25">
      <c r="A597" s="1" t="s">
        <v>636</v>
      </c>
    </row>
    <row r="598" spans="1:1" x14ac:dyDescent="0.25">
      <c r="A598" s="1" t="s">
        <v>637</v>
      </c>
    </row>
    <row r="599" spans="1:1" x14ac:dyDescent="0.25">
      <c r="A599" s="1" t="s">
        <v>638</v>
      </c>
    </row>
    <row r="600" spans="1:1" x14ac:dyDescent="0.25">
      <c r="A600" s="1" t="s">
        <v>639</v>
      </c>
    </row>
    <row r="601" spans="1:1" x14ac:dyDescent="0.25">
      <c r="A601" s="1" t="s">
        <v>640</v>
      </c>
    </row>
    <row r="602" spans="1:1" x14ac:dyDescent="0.25">
      <c r="A602" s="1" t="s">
        <v>641</v>
      </c>
    </row>
    <row r="603" spans="1:1" x14ac:dyDescent="0.25">
      <c r="A603" s="1" t="s">
        <v>642</v>
      </c>
    </row>
    <row r="604" spans="1:1" x14ac:dyDescent="0.25">
      <c r="A604" s="1" t="s">
        <v>643</v>
      </c>
    </row>
    <row r="605" spans="1:1" x14ac:dyDescent="0.25">
      <c r="A605" s="1" t="s">
        <v>644</v>
      </c>
    </row>
    <row r="606" spans="1:1" x14ac:dyDescent="0.25">
      <c r="A606" s="1" t="s">
        <v>645</v>
      </c>
    </row>
    <row r="607" spans="1:1" x14ac:dyDescent="0.25">
      <c r="A607" s="1" t="s">
        <v>646</v>
      </c>
    </row>
    <row r="608" spans="1:1" x14ac:dyDescent="0.25">
      <c r="A608" s="1" t="s">
        <v>647</v>
      </c>
    </row>
    <row r="609" spans="1:1" x14ac:dyDescent="0.25">
      <c r="A609" s="1" t="s">
        <v>648</v>
      </c>
    </row>
    <row r="610" spans="1:1" x14ac:dyDescent="0.25">
      <c r="A610" s="1" t="s">
        <v>649</v>
      </c>
    </row>
    <row r="611" spans="1:1" x14ac:dyDescent="0.25">
      <c r="A611" s="1" t="s">
        <v>650</v>
      </c>
    </row>
    <row r="612" spans="1:1" x14ac:dyDescent="0.25">
      <c r="A612" s="1" t="s">
        <v>651</v>
      </c>
    </row>
    <row r="613" spans="1:1" x14ac:dyDescent="0.25">
      <c r="A613" s="1" t="s">
        <v>652</v>
      </c>
    </row>
    <row r="614" spans="1:1" x14ac:dyDescent="0.25">
      <c r="A614" s="1" t="s">
        <v>653</v>
      </c>
    </row>
    <row r="615" spans="1:1" x14ac:dyDescent="0.25">
      <c r="A615" s="1" t="s">
        <v>654</v>
      </c>
    </row>
    <row r="616" spans="1:1" x14ac:dyDescent="0.25">
      <c r="A616" s="1" t="s">
        <v>655</v>
      </c>
    </row>
    <row r="617" spans="1:1" x14ac:dyDescent="0.25">
      <c r="A617" s="1" t="s">
        <v>656</v>
      </c>
    </row>
    <row r="618" spans="1:1" x14ac:dyDescent="0.25">
      <c r="A618" s="1" t="s">
        <v>657</v>
      </c>
    </row>
    <row r="619" spans="1:1" x14ac:dyDescent="0.25">
      <c r="A619" s="1" t="s">
        <v>658</v>
      </c>
    </row>
    <row r="620" spans="1:1" x14ac:dyDescent="0.25">
      <c r="A620" s="1" t="s">
        <v>659</v>
      </c>
    </row>
    <row r="621" spans="1:1" x14ac:dyDescent="0.25">
      <c r="A621" s="1" t="s">
        <v>660</v>
      </c>
    </row>
    <row r="622" spans="1:1" x14ac:dyDescent="0.25">
      <c r="A622" s="1" t="s">
        <v>661</v>
      </c>
    </row>
    <row r="623" spans="1:1" x14ac:dyDescent="0.25">
      <c r="A623" s="1" t="s">
        <v>662</v>
      </c>
    </row>
    <row r="624" spans="1:1" x14ac:dyDescent="0.25">
      <c r="A624" s="1" t="s">
        <v>663</v>
      </c>
    </row>
    <row r="625" spans="1:1" x14ac:dyDescent="0.25">
      <c r="A625" s="1" t="s">
        <v>664</v>
      </c>
    </row>
    <row r="626" spans="1:1" x14ac:dyDescent="0.25">
      <c r="A626" s="1" t="s">
        <v>665</v>
      </c>
    </row>
    <row r="627" spans="1:1" x14ac:dyDescent="0.25">
      <c r="A627" s="1" t="s">
        <v>666</v>
      </c>
    </row>
    <row r="628" spans="1:1" x14ac:dyDescent="0.25">
      <c r="A628" s="1" t="s">
        <v>667</v>
      </c>
    </row>
    <row r="629" spans="1:1" x14ac:dyDescent="0.25">
      <c r="A629" s="1" t="s">
        <v>668</v>
      </c>
    </row>
    <row r="630" spans="1:1" x14ac:dyDescent="0.25">
      <c r="A630" s="1" t="s">
        <v>669</v>
      </c>
    </row>
    <row r="631" spans="1:1" x14ac:dyDescent="0.25">
      <c r="A631" s="1" t="s">
        <v>670</v>
      </c>
    </row>
    <row r="632" spans="1:1" x14ac:dyDescent="0.25">
      <c r="A632" s="1" t="s">
        <v>671</v>
      </c>
    </row>
    <row r="633" spans="1:1" x14ac:dyDescent="0.25">
      <c r="A633" s="1" t="s">
        <v>672</v>
      </c>
    </row>
    <row r="634" spans="1:1" x14ac:dyDescent="0.25">
      <c r="A634" s="1" t="s">
        <v>673</v>
      </c>
    </row>
    <row r="635" spans="1:1" x14ac:dyDescent="0.25">
      <c r="A635" s="1" t="s">
        <v>674</v>
      </c>
    </row>
    <row r="636" spans="1:1" x14ac:dyDescent="0.25">
      <c r="A636" s="1" t="s">
        <v>675</v>
      </c>
    </row>
    <row r="637" spans="1:1" x14ac:dyDescent="0.25">
      <c r="A637" s="1" t="s">
        <v>676</v>
      </c>
    </row>
    <row r="638" spans="1:1" x14ac:dyDescent="0.25">
      <c r="A638" s="1" t="s">
        <v>677</v>
      </c>
    </row>
    <row r="639" spans="1:1" x14ac:dyDescent="0.25">
      <c r="A639" s="1" t="s">
        <v>678</v>
      </c>
    </row>
    <row r="640" spans="1:1" x14ac:dyDescent="0.25">
      <c r="A640" s="1" t="s">
        <v>679</v>
      </c>
    </row>
    <row r="641" spans="1:1" x14ac:dyDescent="0.25">
      <c r="A641" s="1" t="s">
        <v>680</v>
      </c>
    </row>
    <row r="642" spans="1:1" x14ac:dyDescent="0.25">
      <c r="A642" s="1" t="s">
        <v>681</v>
      </c>
    </row>
    <row r="643" spans="1:1" x14ac:dyDescent="0.25">
      <c r="A643" s="1" t="s">
        <v>682</v>
      </c>
    </row>
    <row r="644" spans="1:1" x14ac:dyDescent="0.25">
      <c r="A644" s="1" t="s">
        <v>683</v>
      </c>
    </row>
    <row r="645" spans="1:1" x14ac:dyDescent="0.25">
      <c r="A645" s="1" t="s">
        <v>684</v>
      </c>
    </row>
    <row r="646" spans="1:1" x14ac:dyDescent="0.25">
      <c r="A646" s="1" t="s">
        <v>685</v>
      </c>
    </row>
    <row r="647" spans="1:1" x14ac:dyDescent="0.25">
      <c r="A647" s="1" t="s">
        <v>686</v>
      </c>
    </row>
    <row r="648" spans="1:1" x14ac:dyDescent="0.25">
      <c r="A648" s="1" t="s">
        <v>687</v>
      </c>
    </row>
    <row r="649" spans="1:1" x14ac:dyDescent="0.25">
      <c r="A649" s="1" t="s">
        <v>688</v>
      </c>
    </row>
    <row r="650" spans="1:1" x14ac:dyDescent="0.25">
      <c r="A650" s="1" t="s">
        <v>689</v>
      </c>
    </row>
    <row r="651" spans="1:1" x14ac:dyDescent="0.25">
      <c r="A651" s="1" t="s">
        <v>690</v>
      </c>
    </row>
    <row r="652" spans="1:1" x14ac:dyDescent="0.25">
      <c r="A652" s="1" t="s">
        <v>691</v>
      </c>
    </row>
    <row r="653" spans="1:1" x14ac:dyDescent="0.25">
      <c r="A653" s="1" t="s">
        <v>692</v>
      </c>
    </row>
    <row r="654" spans="1:1" x14ac:dyDescent="0.25">
      <c r="A654" s="1" t="s">
        <v>693</v>
      </c>
    </row>
    <row r="655" spans="1:1" x14ac:dyDescent="0.25">
      <c r="A655" s="1" t="s">
        <v>694</v>
      </c>
    </row>
    <row r="656" spans="1:1" x14ac:dyDescent="0.25">
      <c r="A656" s="1" t="s">
        <v>695</v>
      </c>
    </row>
    <row r="657" spans="1:1" x14ac:dyDescent="0.25">
      <c r="A657" s="1" t="s">
        <v>696</v>
      </c>
    </row>
    <row r="658" spans="1:1" x14ac:dyDescent="0.25">
      <c r="A658" s="1" t="s">
        <v>697</v>
      </c>
    </row>
    <row r="659" spans="1:1" x14ac:dyDescent="0.25">
      <c r="A659" s="1" t="s">
        <v>698</v>
      </c>
    </row>
    <row r="660" spans="1:1" x14ac:dyDescent="0.25">
      <c r="A660" s="1" t="s">
        <v>699</v>
      </c>
    </row>
    <row r="661" spans="1:1" x14ac:dyDescent="0.25">
      <c r="A661" s="1" t="s">
        <v>700</v>
      </c>
    </row>
    <row r="662" spans="1:1" x14ac:dyDescent="0.25">
      <c r="A662" s="1" t="s">
        <v>701</v>
      </c>
    </row>
    <row r="663" spans="1:1" x14ac:dyDescent="0.25">
      <c r="A663" s="1" t="s">
        <v>702</v>
      </c>
    </row>
    <row r="664" spans="1:1" x14ac:dyDescent="0.25">
      <c r="A664" s="1" t="s">
        <v>703</v>
      </c>
    </row>
    <row r="665" spans="1:1" x14ac:dyDescent="0.25">
      <c r="A665" s="1" t="s">
        <v>704</v>
      </c>
    </row>
    <row r="666" spans="1:1" x14ac:dyDescent="0.25">
      <c r="A666" s="1" t="s">
        <v>705</v>
      </c>
    </row>
    <row r="667" spans="1:1" x14ac:dyDescent="0.25">
      <c r="A667" s="1" t="s">
        <v>706</v>
      </c>
    </row>
    <row r="668" spans="1:1" x14ac:dyDescent="0.25">
      <c r="A668" s="1" t="s">
        <v>707</v>
      </c>
    </row>
    <row r="669" spans="1:1" x14ac:dyDescent="0.25">
      <c r="A669" s="1" t="s">
        <v>708</v>
      </c>
    </row>
    <row r="670" spans="1:1" x14ac:dyDescent="0.25">
      <c r="A670" s="1" t="s">
        <v>709</v>
      </c>
    </row>
    <row r="671" spans="1:1" x14ac:dyDescent="0.25">
      <c r="A671" s="1" t="s">
        <v>710</v>
      </c>
    </row>
    <row r="672" spans="1:1" x14ac:dyDescent="0.25">
      <c r="A672" s="1" t="s">
        <v>711</v>
      </c>
    </row>
    <row r="673" spans="1:1" x14ac:dyDescent="0.25">
      <c r="A673" s="1" t="s">
        <v>712</v>
      </c>
    </row>
    <row r="674" spans="1:1" x14ac:dyDescent="0.25">
      <c r="A674" s="1" t="s">
        <v>713</v>
      </c>
    </row>
    <row r="675" spans="1:1" x14ac:dyDescent="0.25">
      <c r="A675" s="1" t="s">
        <v>714</v>
      </c>
    </row>
    <row r="676" spans="1:1" x14ac:dyDescent="0.25">
      <c r="A676" s="1" t="s">
        <v>715</v>
      </c>
    </row>
    <row r="677" spans="1:1" x14ac:dyDescent="0.25">
      <c r="A677" s="1" t="s">
        <v>716</v>
      </c>
    </row>
    <row r="678" spans="1:1" x14ac:dyDescent="0.25">
      <c r="A678" s="1" t="s">
        <v>717</v>
      </c>
    </row>
    <row r="679" spans="1:1" x14ac:dyDescent="0.25">
      <c r="A679" s="1" t="s">
        <v>718</v>
      </c>
    </row>
    <row r="680" spans="1:1" x14ac:dyDescent="0.25">
      <c r="A680" s="1" t="s">
        <v>719</v>
      </c>
    </row>
    <row r="681" spans="1:1" x14ac:dyDescent="0.25">
      <c r="A681" s="1" t="s">
        <v>720</v>
      </c>
    </row>
    <row r="682" spans="1:1" x14ac:dyDescent="0.25">
      <c r="A682" s="1" t="s">
        <v>721</v>
      </c>
    </row>
    <row r="683" spans="1:1" x14ac:dyDescent="0.25">
      <c r="A683" s="1" t="s">
        <v>722</v>
      </c>
    </row>
    <row r="684" spans="1:1" x14ac:dyDescent="0.25">
      <c r="A684" s="1" t="s">
        <v>723</v>
      </c>
    </row>
    <row r="685" spans="1:1" x14ac:dyDescent="0.25">
      <c r="A685" s="1" t="s">
        <v>724</v>
      </c>
    </row>
    <row r="686" spans="1:1" x14ac:dyDescent="0.25">
      <c r="A686" s="1" t="s">
        <v>725</v>
      </c>
    </row>
    <row r="687" spans="1:1" x14ac:dyDescent="0.25">
      <c r="A687" s="1" t="s">
        <v>726</v>
      </c>
    </row>
    <row r="688" spans="1:1" x14ac:dyDescent="0.25">
      <c r="A688" s="1" t="s">
        <v>727</v>
      </c>
    </row>
    <row r="689" spans="1:1" x14ac:dyDescent="0.25">
      <c r="A689" s="1" t="s">
        <v>728</v>
      </c>
    </row>
    <row r="690" spans="1:1" x14ac:dyDescent="0.25">
      <c r="A690" s="1" t="s">
        <v>729</v>
      </c>
    </row>
    <row r="691" spans="1:1" x14ac:dyDescent="0.25">
      <c r="A691" s="1" t="s">
        <v>730</v>
      </c>
    </row>
    <row r="692" spans="1:1" x14ac:dyDescent="0.25">
      <c r="A692" s="1" t="s">
        <v>731</v>
      </c>
    </row>
    <row r="693" spans="1:1" x14ac:dyDescent="0.25">
      <c r="A693" s="1" t="s">
        <v>732</v>
      </c>
    </row>
    <row r="694" spans="1:1" x14ac:dyDescent="0.25">
      <c r="A694" s="1" t="s">
        <v>733</v>
      </c>
    </row>
    <row r="695" spans="1:1" x14ac:dyDescent="0.25">
      <c r="A695" s="1" t="s">
        <v>734</v>
      </c>
    </row>
    <row r="696" spans="1:1" x14ac:dyDescent="0.25">
      <c r="A696" s="1" t="s">
        <v>735</v>
      </c>
    </row>
    <row r="697" spans="1:1" x14ac:dyDescent="0.25">
      <c r="A697" s="1" t="s">
        <v>736</v>
      </c>
    </row>
    <row r="698" spans="1:1" x14ac:dyDescent="0.25">
      <c r="A698" s="1" t="s">
        <v>737</v>
      </c>
    </row>
    <row r="699" spans="1:1" x14ac:dyDescent="0.25">
      <c r="A699" s="1" t="s">
        <v>738</v>
      </c>
    </row>
    <row r="700" spans="1:1" x14ac:dyDescent="0.25">
      <c r="A700" s="1" t="s">
        <v>739</v>
      </c>
    </row>
    <row r="701" spans="1:1" x14ac:dyDescent="0.25">
      <c r="A701" s="1" t="s">
        <v>740</v>
      </c>
    </row>
    <row r="702" spans="1:1" x14ac:dyDescent="0.25">
      <c r="A702" s="1" t="s">
        <v>741</v>
      </c>
    </row>
    <row r="703" spans="1:1" x14ac:dyDescent="0.25">
      <c r="A703" s="1" t="s">
        <v>742</v>
      </c>
    </row>
    <row r="704" spans="1:1" x14ac:dyDescent="0.25">
      <c r="A704" s="1" t="s">
        <v>743</v>
      </c>
    </row>
    <row r="705" spans="1:1" x14ac:dyDescent="0.25">
      <c r="A705" s="1" t="s">
        <v>744</v>
      </c>
    </row>
    <row r="706" spans="1:1" x14ac:dyDescent="0.25">
      <c r="A706" s="1" t="s">
        <v>745</v>
      </c>
    </row>
    <row r="707" spans="1:1" x14ac:dyDescent="0.25">
      <c r="A707" s="1" t="s">
        <v>746</v>
      </c>
    </row>
    <row r="708" spans="1:1" x14ac:dyDescent="0.25">
      <c r="A708" s="1" t="s">
        <v>747</v>
      </c>
    </row>
    <row r="709" spans="1:1" x14ac:dyDescent="0.25">
      <c r="A709" s="1" t="s">
        <v>748</v>
      </c>
    </row>
    <row r="710" spans="1:1" x14ac:dyDescent="0.25">
      <c r="A710" s="1" t="s">
        <v>749</v>
      </c>
    </row>
    <row r="711" spans="1:1" x14ac:dyDescent="0.25">
      <c r="A711" s="1" t="s">
        <v>750</v>
      </c>
    </row>
    <row r="712" spans="1:1" x14ac:dyDescent="0.25">
      <c r="A712" s="1" t="s">
        <v>751</v>
      </c>
    </row>
    <row r="713" spans="1:1" x14ac:dyDescent="0.25">
      <c r="A713" s="1" t="s">
        <v>752</v>
      </c>
    </row>
    <row r="714" spans="1:1" x14ac:dyDescent="0.25">
      <c r="A714" s="1" t="s">
        <v>753</v>
      </c>
    </row>
    <row r="715" spans="1:1" x14ac:dyDescent="0.25">
      <c r="A715" s="1" t="s">
        <v>754</v>
      </c>
    </row>
    <row r="716" spans="1:1" x14ac:dyDescent="0.25">
      <c r="A716" s="1" t="s">
        <v>755</v>
      </c>
    </row>
    <row r="717" spans="1:1" x14ac:dyDescent="0.25">
      <c r="A717" s="1" t="s">
        <v>756</v>
      </c>
    </row>
    <row r="718" spans="1:1" x14ac:dyDescent="0.25">
      <c r="A718" s="1" t="s">
        <v>757</v>
      </c>
    </row>
    <row r="719" spans="1:1" x14ac:dyDescent="0.25">
      <c r="A719" s="1" t="s">
        <v>758</v>
      </c>
    </row>
    <row r="720" spans="1:1" x14ac:dyDescent="0.25">
      <c r="A720" s="1" t="s">
        <v>759</v>
      </c>
    </row>
    <row r="721" spans="1:1" x14ac:dyDescent="0.25">
      <c r="A721" s="1" t="s">
        <v>760</v>
      </c>
    </row>
    <row r="722" spans="1:1" x14ac:dyDescent="0.25">
      <c r="A722" s="1" t="s">
        <v>761</v>
      </c>
    </row>
    <row r="723" spans="1:1" x14ac:dyDescent="0.25">
      <c r="A723" s="1" t="s">
        <v>762</v>
      </c>
    </row>
    <row r="724" spans="1:1" x14ac:dyDescent="0.25">
      <c r="A724" s="1" t="s">
        <v>763</v>
      </c>
    </row>
    <row r="725" spans="1:1" x14ac:dyDescent="0.25">
      <c r="A725" s="1" t="s">
        <v>764</v>
      </c>
    </row>
    <row r="726" spans="1:1" x14ac:dyDescent="0.25">
      <c r="A726" s="1" t="s">
        <v>765</v>
      </c>
    </row>
    <row r="727" spans="1:1" x14ac:dyDescent="0.25">
      <c r="A727" s="1" t="s">
        <v>766</v>
      </c>
    </row>
    <row r="728" spans="1:1" x14ac:dyDescent="0.25">
      <c r="A728" s="1" t="s">
        <v>767</v>
      </c>
    </row>
    <row r="729" spans="1:1" x14ac:dyDescent="0.25">
      <c r="A729" s="1" t="s">
        <v>768</v>
      </c>
    </row>
    <row r="730" spans="1:1" x14ac:dyDescent="0.25">
      <c r="A730" s="1" t="s">
        <v>769</v>
      </c>
    </row>
    <row r="731" spans="1:1" x14ac:dyDescent="0.25">
      <c r="A731" s="1" t="s">
        <v>770</v>
      </c>
    </row>
    <row r="732" spans="1:1" x14ac:dyDescent="0.25">
      <c r="A732" s="1" t="s">
        <v>771</v>
      </c>
    </row>
    <row r="733" spans="1:1" x14ac:dyDescent="0.25">
      <c r="A733" s="1" t="s">
        <v>772</v>
      </c>
    </row>
    <row r="734" spans="1:1" x14ac:dyDescent="0.25">
      <c r="A734" s="1" t="s">
        <v>773</v>
      </c>
    </row>
    <row r="735" spans="1:1" x14ac:dyDescent="0.25">
      <c r="A735" s="1" t="s">
        <v>774</v>
      </c>
    </row>
    <row r="736" spans="1:1" x14ac:dyDescent="0.25">
      <c r="A736" s="1" t="s">
        <v>775</v>
      </c>
    </row>
    <row r="737" spans="1:1" x14ac:dyDescent="0.25">
      <c r="A737" s="1" t="s">
        <v>776</v>
      </c>
    </row>
    <row r="738" spans="1:1" x14ac:dyDescent="0.25">
      <c r="A738" s="1" t="s">
        <v>777</v>
      </c>
    </row>
    <row r="739" spans="1:1" x14ac:dyDescent="0.25">
      <c r="A739" s="1" t="s">
        <v>778</v>
      </c>
    </row>
    <row r="740" spans="1:1" x14ac:dyDescent="0.25">
      <c r="A740" s="1" t="s">
        <v>779</v>
      </c>
    </row>
    <row r="741" spans="1:1" x14ac:dyDescent="0.25">
      <c r="A741" s="1" t="s">
        <v>780</v>
      </c>
    </row>
    <row r="742" spans="1:1" x14ac:dyDescent="0.25">
      <c r="A742" s="1" t="s">
        <v>781</v>
      </c>
    </row>
    <row r="743" spans="1:1" x14ac:dyDescent="0.25">
      <c r="A743" s="1" t="s">
        <v>782</v>
      </c>
    </row>
    <row r="744" spans="1:1" x14ac:dyDescent="0.25">
      <c r="A744" s="1" t="s">
        <v>783</v>
      </c>
    </row>
    <row r="745" spans="1:1" x14ac:dyDescent="0.25">
      <c r="A745" s="1" t="s">
        <v>784</v>
      </c>
    </row>
    <row r="746" spans="1:1" x14ac:dyDescent="0.25">
      <c r="A746" s="1" t="s">
        <v>785</v>
      </c>
    </row>
    <row r="747" spans="1:1" x14ac:dyDescent="0.25">
      <c r="A747" s="1" t="s">
        <v>786</v>
      </c>
    </row>
    <row r="748" spans="1:1" x14ac:dyDescent="0.25">
      <c r="A748" s="1" t="s">
        <v>787</v>
      </c>
    </row>
    <row r="749" spans="1:1" x14ac:dyDescent="0.25">
      <c r="A749" s="1" t="s">
        <v>788</v>
      </c>
    </row>
    <row r="750" spans="1:1" x14ac:dyDescent="0.25">
      <c r="A750" s="1" t="s">
        <v>789</v>
      </c>
    </row>
    <row r="751" spans="1:1" x14ac:dyDescent="0.25">
      <c r="A751" s="1" t="s">
        <v>790</v>
      </c>
    </row>
    <row r="752" spans="1:1" x14ac:dyDescent="0.25">
      <c r="A752" s="1" t="s">
        <v>791</v>
      </c>
    </row>
    <row r="753" spans="1:1" x14ac:dyDescent="0.25">
      <c r="A753" s="1" t="s">
        <v>792</v>
      </c>
    </row>
    <row r="754" spans="1:1" x14ac:dyDescent="0.25">
      <c r="A754" s="1" t="s">
        <v>793</v>
      </c>
    </row>
    <row r="755" spans="1:1" x14ac:dyDescent="0.25">
      <c r="A755" s="1" t="s">
        <v>794</v>
      </c>
    </row>
    <row r="756" spans="1:1" x14ac:dyDescent="0.25">
      <c r="A756" s="1" t="s">
        <v>795</v>
      </c>
    </row>
    <row r="757" spans="1:1" x14ac:dyDescent="0.25">
      <c r="A757" s="1" t="s">
        <v>796</v>
      </c>
    </row>
    <row r="758" spans="1:1" x14ac:dyDescent="0.25">
      <c r="A758" s="1" t="s">
        <v>797</v>
      </c>
    </row>
    <row r="759" spans="1:1" x14ac:dyDescent="0.25">
      <c r="A759" s="1" t="s">
        <v>798</v>
      </c>
    </row>
    <row r="760" spans="1:1" x14ac:dyDescent="0.25">
      <c r="A760" s="1" t="s">
        <v>799</v>
      </c>
    </row>
    <row r="761" spans="1:1" x14ac:dyDescent="0.25">
      <c r="A761" s="1" t="s">
        <v>800</v>
      </c>
    </row>
    <row r="762" spans="1:1" x14ac:dyDescent="0.25">
      <c r="A762" s="1" t="s">
        <v>801</v>
      </c>
    </row>
    <row r="763" spans="1:1" x14ac:dyDescent="0.25">
      <c r="A763" s="1" t="s">
        <v>802</v>
      </c>
    </row>
    <row r="764" spans="1:1" x14ac:dyDescent="0.25">
      <c r="A764" s="1" t="s">
        <v>803</v>
      </c>
    </row>
    <row r="765" spans="1:1" x14ac:dyDescent="0.25">
      <c r="A765" s="1" t="s">
        <v>804</v>
      </c>
    </row>
    <row r="766" spans="1:1" x14ac:dyDescent="0.25">
      <c r="A766" s="1" t="s">
        <v>805</v>
      </c>
    </row>
    <row r="767" spans="1:1" x14ac:dyDescent="0.25">
      <c r="A767" s="1" t="s">
        <v>806</v>
      </c>
    </row>
    <row r="768" spans="1:1" x14ac:dyDescent="0.25">
      <c r="A768" s="1" t="s">
        <v>807</v>
      </c>
    </row>
    <row r="769" spans="1:1" x14ac:dyDescent="0.25">
      <c r="A769" s="1" t="s">
        <v>808</v>
      </c>
    </row>
    <row r="770" spans="1:1" x14ac:dyDescent="0.25">
      <c r="A770" s="1" t="s">
        <v>809</v>
      </c>
    </row>
    <row r="771" spans="1:1" x14ac:dyDescent="0.25">
      <c r="A771" s="1" t="s">
        <v>810</v>
      </c>
    </row>
    <row r="772" spans="1:1" x14ac:dyDescent="0.25">
      <c r="A772" s="1" t="s">
        <v>811</v>
      </c>
    </row>
    <row r="773" spans="1:1" x14ac:dyDescent="0.25">
      <c r="A773" s="1" t="s">
        <v>812</v>
      </c>
    </row>
    <row r="774" spans="1:1" x14ac:dyDescent="0.25">
      <c r="A774" s="1" t="s">
        <v>813</v>
      </c>
    </row>
    <row r="775" spans="1:1" x14ac:dyDescent="0.25">
      <c r="A775" s="1" t="s">
        <v>814</v>
      </c>
    </row>
    <row r="776" spans="1:1" x14ac:dyDescent="0.25">
      <c r="A776" s="1" t="s">
        <v>815</v>
      </c>
    </row>
    <row r="777" spans="1:1" x14ac:dyDescent="0.25">
      <c r="A777" s="1" t="s">
        <v>816</v>
      </c>
    </row>
    <row r="778" spans="1:1" x14ac:dyDescent="0.25">
      <c r="A778" s="1" t="s">
        <v>817</v>
      </c>
    </row>
    <row r="779" spans="1:1" x14ac:dyDescent="0.25">
      <c r="A779" s="1" t="s">
        <v>818</v>
      </c>
    </row>
    <row r="780" spans="1:1" x14ac:dyDescent="0.25">
      <c r="A780" s="1" t="s">
        <v>819</v>
      </c>
    </row>
    <row r="781" spans="1:1" x14ac:dyDescent="0.25">
      <c r="A781" s="1" t="s">
        <v>820</v>
      </c>
    </row>
    <row r="782" spans="1:1" x14ac:dyDescent="0.25">
      <c r="A782" s="1" t="s">
        <v>821</v>
      </c>
    </row>
    <row r="783" spans="1:1" x14ac:dyDescent="0.25">
      <c r="A783" s="1" t="s">
        <v>822</v>
      </c>
    </row>
    <row r="784" spans="1:1" x14ac:dyDescent="0.25">
      <c r="A784" s="1" t="s">
        <v>823</v>
      </c>
    </row>
    <row r="785" spans="1:1" x14ac:dyDescent="0.25">
      <c r="A785" s="1" t="s">
        <v>824</v>
      </c>
    </row>
    <row r="786" spans="1:1" x14ac:dyDescent="0.25">
      <c r="A786" s="1" t="s">
        <v>825</v>
      </c>
    </row>
    <row r="787" spans="1:1" x14ac:dyDescent="0.25">
      <c r="A787" s="1" t="s">
        <v>826</v>
      </c>
    </row>
    <row r="788" spans="1:1" x14ac:dyDescent="0.25">
      <c r="A788" s="1" t="s">
        <v>827</v>
      </c>
    </row>
    <row r="789" spans="1:1" x14ac:dyDescent="0.25">
      <c r="A789" s="1" t="s">
        <v>828</v>
      </c>
    </row>
    <row r="790" spans="1:1" x14ac:dyDescent="0.25">
      <c r="A790" s="1" t="s">
        <v>829</v>
      </c>
    </row>
    <row r="791" spans="1:1" x14ac:dyDescent="0.25">
      <c r="A791" s="1" t="s">
        <v>830</v>
      </c>
    </row>
    <row r="792" spans="1:1" x14ac:dyDescent="0.25">
      <c r="A792" s="1" t="s">
        <v>831</v>
      </c>
    </row>
    <row r="793" spans="1:1" x14ac:dyDescent="0.25">
      <c r="A793" s="1" t="s">
        <v>832</v>
      </c>
    </row>
    <row r="794" spans="1:1" x14ac:dyDescent="0.25">
      <c r="A794" s="1" t="s">
        <v>833</v>
      </c>
    </row>
    <row r="795" spans="1:1" x14ac:dyDescent="0.25">
      <c r="A795" s="1" t="s">
        <v>834</v>
      </c>
    </row>
    <row r="796" spans="1:1" x14ac:dyDescent="0.25">
      <c r="A796" s="1" t="s">
        <v>835</v>
      </c>
    </row>
    <row r="797" spans="1:1" x14ac:dyDescent="0.25">
      <c r="A797" s="1" t="s">
        <v>836</v>
      </c>
    </row>
    <row r="798" spans="1:1" x14ac:dyDescent="0.25">
      <c r="A798" s="1" t="s">
        <v>837</v>
      </c>
    </row>
    <row r="799" spans="1:1" x14ac:dyDescent="0.25">
      <c r="A799" s="1" t="s">
        <v>838</v>
      </c>
    </row>
    <row r="800" spans="1:1" x14ac:dyDescent="0.25">
      <c r="A800" s="1" t="s">
        <v>839</v>
      </c>
    </row>
    <row r="801" spans="1:1" x14ac:dyDescent="0.25">
      <c r="A801" s="1" t="s">
        <v>840</v>
      </c>
    </row>
    <row r="802" spans="1:1" x14ac:dyDescent="0.25">
      <c r="A802" s="1" t="s">
        <v>841</v>
      </c>
    </row>
    <row r="803" spans="1:1" x14ac:dyDescent="0.25">
      <c r="A803" s="1" t="s">
        <v>842</v>
      </c>
    </row>
    <row r="804" spans="1:1" x14ac:dyDescent="0.25">
      <c r="A804" s="1" t="s">
        <v>843</v>
      </c>
    </row>
    <row r="805" spans="1:1" x14ac:dyDescent="0.25">
      <c r="A805" s="1" t="s">
        <v>844</v>
      </c>
    </row>
    <row r="806" spans="1:1" x14ac:dyDescent="0.25">
      <c r="A806" s="1" t="s">
        <v>845</v>
      </c>
    </row>
    <row r="807" spans="1:1" x14ac:dyDescent="0.25">
      <c r="A807" s="1" t="s">
        <v>846</v>
      </c>
    </row>
    <row r="808" spans="1:1" x14ac:dyDescent="0.25">
      <c r="A808" s="1" t="s">
        <v>847</v>
      </c>
    </row>
    <row r="809" spans="1:1" x14ac:dyDescent="0.25">
      <c r="A809" s="1" t="s">
        <v>848</v>
      </c>
    </row>
    <row r="810" spans="1:1" x14ac:dyDescent="0.25">
      <c r="A810" s="1" t="s">
        <v>849</v>
      </c>
    </row>
    <row r="811" spans="1:1" x14ac:dyDescent="0.25">
      <c r="A811" s="1" t="s">
        <v>850</v>
      </c>
    </row>
    <row r="812" spans="1:1" x14ac:dyDescent="0.25">
      <c r="A812" s="1" t="s">
        <v>851</v>
      </c>
    </row>
    <row r="813" spans="1:1" x14ac:dyDescent="0.25">
      <c r="A813" s="1" t="s">
        <v>852</v>
      </c>
    </row>
    <row r="814" spans="1:1" x14ac:dyDescent="0.25">
      <c r="A814" s="1" t="s">
        <v>853</v>
      </c>
    </row>
    <row r="815" spans="1:1" x14ac:dyDescent="0.25">
      <c r="A815" s="1" t="s">
        <v>854</v>
      </c>
    </row>
    <row r="816" spans="1:1" x14ac:dyDescent="0.25">
      <c r="A816" s="1" t="s">
        <v>855</v>
      </c>
    </row>
    <row r="817" spans="1:1" x14ac:dyDescent="0.25">
      <c r="A817" s="1" t="s">
        <v>856</v>
      </c>
    </row>
    <row r="818" spans="1:1" x14ac:dyDescent="0.25">
      <c r="A818" s="1" t="s">
        <v>857</v>
      </c>
    </row>
    <row r="819" spans="1:1" x14ac:dyDescent="0.25">
      <c r="A819" s="1" t="s">
        <v>858</v>
      </c>
    </row>
    <row r="820" spans="1:1" x14ac:dyDescent="0.25">
      <c r="A820" s="1" t="s">
        <v>859</v>
      </c>
    </row>
    <row r="821" spans="1:1" x14ac:dyDescent="0.25">
      <c r="A821" s="1" t="s">
        <v>860</v>
      </c>
    </row>
    <row r="822" spans="1:1" x14ac:dyDescent="0.25">
      <c r="A822" s="1" t="s">
        <v>861</v>
      </c>
    </row>
    <row r="823" spans="1:1" x14ac:dyDescent="0.25">
      <c r="A823" s="1" t="s">
        <v>862</v>
      </c>
    </row>
    <row r="824" spans="1:1" x14ac:dyDescent="0.25">
      <c r="A824" s="1" t="s">
        <v>863</v>
      </c>
    </row>
    <row r="825" spans="1:1" x14ac:dyDescent="0.25">
      <c r="A825" s="1" t="s">
        <v>864</v>
      </c>
    </row>
    <row r="826" spans="1:1" x14ac:dyDescent="0.25">
      <c r="A826" s="1" t="s">
        <v>865</v>
      </c>
    </row>
    <row r="827" spans="1:1" x14ac:dyDescent="0.25">
      <c r="A827" s="1" t="s">
        <v>866</v>
      </c>
    </row>
    <row r="828" spans="1:1" x14ac:dyDescent="0.25">
      <c r="A828" s="1" t="s">
        <v>867</v>
      </c>
    </row>
    <row r="829" spans="1:1" x14ac:dyDescent="0.25">
      <c r="A829" s="1" t="s">
        <v>868</v>
      </c>
    </row>
    <row r="830" spans="1:1" x14ac:dyDescent="0.25">
      <c r="A830" s="1" t="s">
        <v>869</v>
      </c>
    </row>
    <row r="831" spans="1:1" x14ac:dyDescent="0.25">
      <c r="A831" s="1" t="s">
        <v>870</v>
      </c>
    </row>
    <row r="832" spans="1:1" x14ac:dyDescent="0.25">
      <c r="A832" s="1" t="s">
        <v>871</v>
      </c>
    </row>
    <row r="833" spans="1:1" x14ac:dyDescent="0.25">
      <c r="A833" s="1" t="s">
        <v>872</v>
      </c>
    </row>
    <row r="834" spans="1:1" x14ac:dyDescent="0.25">
      <c r="A834" s="1" t="s">
        <v>873</v>
      </c>
    </row>
    <row r="835" spans="1:1" x14ac:dyDescent="0.25">
      <c r="A835" s="1" t="s">
        <v>874</v>
      </c>
    </row>
    <row r="836" spans="1:1" x14ac:dyDescent="0.25">
      <c r="A836" s="1" t="s">
        <v>875</v>
      </c>
    </row>
    <row r="837" spans="1:1" x14ac:dyDescent="0.25">
      <c r="A837" s="1" t="s">
        <v>876</v>
      </c>
    </row>
    <row r="838" spans="1:1" x14ac:dyDescent="0.25">
      <c r="A838" s="1" t="s">
        <v>877</v>
      </c>
    </row>
    <row r="839" spans="1:1" x14ac:dyDescent="0.25">
      <c r="A839" s="1" t="s">
        <v>878</v>
      </c>
    </row>
    <row r="840" spans="1:1" x14ac:dyDescent="0.25">
      <c r="A840" s="1" t="s">
        <v>879</v>
      </c>
    </row>
    <row r="841" spans="1:1" x14ac:dyDescent="0.25">
      <c r="A841" s="1" t="s">
        <v>880</v>
      </c>
    </row>
    <row r="842" spans="1:1" x14ac:dyDescent="0.25">
      <c r="A842" s="1" t="s">
        <v>881</v>
      </c>
    </row>
    <row r="843" spans="1:1" x14ac:dyDescent="0.25">
      <c r="A843" s="1" t="s">
        <v>882</v>
      </c>
    </row>
    <row r="844" spans="1:1" x14ac:dyDescent="0.25">
      <c r="A844" s="1" t="s">
        <v>883</v>
      </c>
    </row>
    <row r="845" spans="1:1" x14ac:dyDescent="0.25">
      <c r="A845" s="1" t="s">
        <v>884</v>
      </c>
    </row>
    <row r="846" spans="1:1" x14ac:dyDescent="0.25">
      <c r="A846" s="1" t="s">
        <v>885</v>
      </c>
    </row>
    <row r="847" spans="1:1" x14ac:dyDescent="0.25">
      <c r="A847" s="1" t="s">
        <v>886</v>
      </c>
    </row>
    <row r="848" spans="1:1" x14ac:dyDescent="0.25">
      <c r="A848" s="1" t="s">
        <v>887</v>
      </c>
    </row>
    <row r="849" spans="1:1" x14ac:dyDescent="0.25">
      <c r="A849" s="1" t="s">
        <v>888</v>
      </c>
    </row>
    <row r="850" spans="1:1" x14ac:dyDescent="0.25">
      <c r="A850" s="1" t="s">
        <v>889</v>
      </c>
    </row>
    <row r="851" spans="1:1" x14ac:dyDescent="0.25">
      <c r="A851" s="1" t="s">
        <v>890</v>
      </c>
    </row>
    <row r="852" spans="1:1" x14ac:dyDescent="0.25">
      <c r="A852" s="1" t="s">
        <v>891</v>
      </c>
    </row>
    <row r="853" spans="1:1" x14ac:dyDescent="0.25">
      <c r="A853" s="1" t="s">
        <v>892</v>
      </c>
    </row>
    <row r="854" spans="1:1" x14ac:dyDescent="0.25">
      <c r="A854" s="1" t="s">
        <v>893</v>
      </c>
    </row>
    <row r="855" spans="1:1" x14ac:dyDescent="0.25">
      <c r="A855" s="1" t="s">
        <v>894</v>
      </c>
    </row>
    <row r="856" spans="1:1" x14ac:dyDescent="0.25">
      <c r="A856" s="1" t="s">
        <v>895</v>
      </c>
    </row>
    <row r="857" spans="1:1" x14ac:dyDescent="0.25">
      <c r="A857" s="1" t="s">
        <v>896</v>
      </c>
    </row>
    <row r="858" spans="1:1" x14ac:dyDescent="0.25">
      <c r="A858" s="1" t="s">
        <v>897</v>
      </c>
    </row>
    <row r="859" spans="1:1" x14ac:dyDescent="0.25">
      <c r="A859" s="1" t="s">
        <v>898</v>
      </c>
    </row>
    <row r="860" spans="1:1" x14ac:dyDescent="0.25">
      <c r="A860" s="1" t="s">
        <v>899</v>
      </c>
    </row>
    <row r="861" spans="1:1" x14ac:dyDescent="0.25">
      <c r="A861" s="1" t="s">
        <v>900</v>
      </c>
    </row>
    <row r="862" spans="1:1" x14ac:dyDescent="0.25">
      <c r="A862" s="1" t="s">
        <v>901</v>
      </c>
    </row>
    <row r="863" spans="1:1" x14ac:dyDescent="0.25">
      <c r="A863" s="1" t="s">
        <v>902</v>
      </c>
    </row>
    <row r="864" spans="1:1" x14ac:dyDescent="0.25">
      <c r="A864" s="1" t="s">
        <v>903</v>
      </c>
    </row>
    <row r="865" spans="1:1" x14ac:dyDescent="0.25">
      <c r="A865" s="1" t="s">
        <v>904</v>
      </c>
    </row>
    <row r="866" spans="1:1" x14ac:dyDescent="0.25">
      <c r="A866" s="1" t="s">
        <v>905</v>
      </c>
    </row>
    <row r="867" spans="1:1" x14ac:dyDescent="0.25">
      <c r="A867" s="1" t="s">
        <v>906</v>
      </c>
    </row>
    <row r="868" spans="1:1" x14ac:dyDescent="0.25">
      <c r="A868" s="1" t="s">
        <v>907</v>
      </c>
    </row>
    <row r="869" spans="1:1" x14ac:dyDescent="0.25">
      <c r="A869" s="1" t="s">
        <v>908</v>
      </c>
    </row>
    <row r="870" spans="1:1" x14ac:dyDescent="0.25">
      <c r="A870" s="1" t="s">
        <v>909</v>
      </c>
    </row>
    <row r="871" spans="1:1" x14ac:dyDescent="0.25">
      <c r="A871" s="1" t="s">
        <v>910</v>
      </c>
    </row>
    <row r="872" spans="1:1" x14ac:dyDescent="0.25">
      <c r="A872" s="1" t="s">
        <v>911</v>
      </c>
    </row>
    <row r="873" spans="1:1" x14ac:dyDescent="0.25">
      <c r="A873" s="1" t="s">
        <v>912</v>
      </c>
    </row>
    <row r="874" spans="1:1" x14ac:dyDescent="0.25">
      <c r="A874" s="1" t="s">
        <v>913</v>
      </c>
    </row>
    <row r="875" spans="1:1" x14ac:dyDescent="0.25">
      <c r="A875" s="1" t="s">
        <v>914</v>
      </c>
    </row>
    <row r="876" spans="1:1" x14ac:dyDescent="0.25">
      <c r="A876" s="1" t="s">
        <v>915</v>
      </c>
    </row>
    <row r="877" spans="1:1" x14ac:dyDescent="0.25">
      <c r="A877" s="1" t="s">
        <v>916</v>
      </c>
    </row>
    <row r="878" spans="1:1" x14ac:dyDescent="0.25">
      <c r="A878" s="1" t="s">
        <v>917</v>
      </c>
    </row>
    <row r="879" spans="1:1" x14ac:dyDescent="0.25">
      <c r="A879" s="1" t="s">
        <v>918</v>
      </c>
    </row>
    <row r="880" spans="1:1" x14ac:dyDescent="0.25">
      <c r="A880" s="1" t="s">
        <v>919</v>
      </c>
    </row>
    <row r="881" spans="1:1" x14ac:dyDescent="0.25">
      <c r="A881" s="1" t="s">
        <v>920</v>
      </c>
    </row>
    <row r="882" spans="1:1" x14ac:dyDescent="0.25">
      <c r="A882" s="1" t="s">
        <v>921</v>
      </c>
    </row>
    <row r="883" spans="1:1" x14ac:dyDescent="0.25">
      <c r="A883" s="1" t="s">
        <v>922</v>
      </c>
    </row>
    <row r="884" spans="1:1" x14ac:dyDescent="0.25">
      <c r="A884" s="1" t="s">
        <v>923</v>
      </c>
    </row>
    <row r="885" spans="1:1" x14ac:dyDescent="0.25">
      <c r="A885" s="1" t="s">
        <v>924</v>
      </c>
    </row>
    <row r="886" spans="1:1" x14ac:dyDescent="0.25">
      <c r="A886" s="1" t="s">
        <v>925</v>
      </c>
    </row>
    <row r="887" spans="1:1" x14ac:dyDescent="0.25">
      <c r="A887" s="1" t="s">
        <v>926</v>
      </c>
    </row>
    <row r="888" spans="1:1" x14ac:dyDescent="0.25">
      <c r="A888" s="1" t="s">
        <v>927</v>
      </c>
    </row>
    <row r="889" spans="1:1" x14ac:dyDescent="0.25">
      <c r="A889" s="1" t="s">
        <v>928</v>
      </c>
    </row>
    <row r="890" spans="1:1" x14ac:dyDescent="0.25">
      <c r="A890" s="1" t="s">
        <v>929</v>
      </c>
    </row>
    <row r="891" spans="1:1" x14ac:dyDescent="0.25">
      <c r="A891" s="1" t="s">
        <v>930</v>
      </c>
    </row>
    <row r="892" spans="1:1" x14ac:dyDescent="0.25">
      <c r="A892" s="1" t="s">
        <v>931</v>
      </c>
    </row>
    <row r="893" spans="1:1" x14ac:dyDescent="0.25">
      <c r="A893" s="1" t="s">
        <v>932</v>
      </c>
    </row>
    <row r="894" spans="1:1" x14ac:dyDescent="0.25">
      <c r="A894" s="1" t="s">
        <v>933</v>
      </c>
    </row>
    <row r="895" spans="1:1" x14ac:dyDescent="0.25">
      <c r="A895" s="1" t="s">
        <v>934</v>
      </c>
    </row>
    <row r="896" spans="1:1" x14ac:dyDescent="0.25">
      <c r="A896" s="1" t="s">
        <v>935</v>
      </c>
    </row>
    <row r="897" spans="1:1" x14ac:dyDescent="0.25">
      <c r="A897" s="1" t="s">
        <v>936</v>
      </c>
    </row>
    <row r="898" spans="1:1" x14ac:dyDescent="0.25">
      <c r="A898" s="1" t="s">
        <v>937</v>
      </c>
    </row>
    <row r="899" spans="1:1" x14ac:dyDescent="0.25">
      <c r="A899" s="1" t="s">
        <v>938</v>
      </c>
    </row>
    <row r="900" spans="1:1" x14ac:dyDescent="0.25">
      <c r="A900" s="1" t="s">
        <v>939</v>
      </c>
    </row>
    <row r="901" spans="1:1" x14ac:dyDescent="0.25">
      <c r="A901" s="1" t="s">
        <v>940</v>
      </c>
    </row>
    <row r="902" spans="1:1" x14ac:dyDescent="0.25">
      <c r="A902" s="1" t="s">
        <v>941</v>
      </c>
    </row>
    <row r="903" spans="1:1" x14ac:dyDescent="0.25">
      <c r="A903" s="1" t="s">
        <v>942</v>
      </c>
    </row>
    <row r="904" spans="1:1" x14ac:dyDescent="0.25">
      <c r="A904" s="1" t="s">
        <v>943</v>
      </c>
    </row>
    <row r="905" spans="1:1" x14ac:dyDescent="0.25">
      <c r="A905" s="1" t="s">
        <v>944</v>
      </c>
    </row>
    <row r="906" spans="1:1" x14ac:dyDescent="0.25">
      <c r="A906" s="1" t="s">
        <v>945</v>
      </c>
    </row>
    <row r="907" spans="1:1" x14ac:dyDescent="0.25">
      <c r="A907" s="1" t="s">
        <v>946</v>
      </c>
    </row>
    <row r="908" spans="1:1" x14ac:dyDescent="0.25">
      <c r="A908" s="1" t="s">
        <v>947</v>
      </c>
    </row>
    <row r="909" spans="1:1" x14ac:dyDescent="0.25">
      <c r="A909" s="1" t="s">
        <v>948</v>
      </c>
    </row>
    <row r="910" spans="1:1" x14ac:dyDescent="0.25">
      <c r="A910" s="1" t="s">
        <v>949</v>
      </c>
    </row>
    <row r="911" spans="1:1" x14ac:dyDescent="0.25">
      <c r="A911" s="1" t="s">
        <v>950</v>
      </c>
    </row>
    <row r="912" spans="1:1" x14ac:dyDescent="0.25">
      <c r="A912" s="1" t="s">
        <v>951</v>
      </c>
    </row>
    <row r="913" spans="1:1" x14ac:dyDescent="0.25">
      <c r="A913" s="1" t="s">
        <v>952</v>
      </c>
    </row>
    <row r="914" spans="1:1" x14ac:dyDescent="0.25">
      <c r="A914" s="1" t="s">
        <v>953</v>
      </c>
    </row>
    <row r="915" spans="1:1" x14ac:dyDescent="0.25">
      <c r="A915" s="1" t="s">
        <v>954</v>
      </c>
    </row>
    <row r="916" spans="1:1" x14ac:dyDescent="0.25">
      <c r="A916" s="1" t="s">
        <v>955</v>
      </c>
    </row>
    <row r="917" spans="1:1" x14ac:dyDescent="0.25">
      <c r="A917" s="1" t="s">
        <v>956</v>
      </c>
    </row>
    <row r="918" spans="1:1" x14ac:dyDescent="0.25">
      <c r="A918" s="1" t="s">
        <v>957</v>
      </c>
    </row>
    <row r="919" spans="1:1" x14ac:dyDescent="0.25">
      <c r="A919" s="1" t="s">
        <v>958</v>
      </c>
    </row>
    <row r="920" spans="1:1" x14ac:dyDescent="0.25">
      <c r="A920" s="1" t="s">
        <v>959</v>
      </c>
    </row>
    <row r="921" spans="1:1" x14ac:dyDescent="0.25">
      <c r="A921" s="1" t="s">
        <v>960</v>
      </c>
    </row>
    <row r="922" spans="1:1" x14ac:dyDescent="0.25">
      <c r="A922" s="1" t="s">
        <v>961</v>
      </c>
    </row>
    <row r="923" spans="1:1" x14ac:dyDescent="0.25">
      <c r="A923" s="1" t="s">
        <v>962</v>
      </c>
    </row>
    <row r="924" spans="1:1" x14ac:dyDescent="0.25">
      <c r="A924" s="1" t="s">
        <v>963</v>
      </c>
    </row>
    <row r="925" spans="1:1" x14ac:dyDescent="0.25">
      <c r="A925" s="1" t="s">
        <v>964</v>
      </c>
    </row>
    <row r="926" spans="1:1" x14ac:dyDescent="0.25">
      <c r="A926" s="1" t="s">
        <v>965</v>
      </c>
    </row>
    <row r="927" spans="1:1" x14ac:dyDescent="0.25">
      <c r="A927" s="1" t="s">
        <v>966</v>
      </c>
    </row>
    <row r="928" spans="1:1" x14ac:dyDescent="0.25">
      <c r="A928" s="1" t="s">
        <v>967</v>
      </c>
    </row>
    <row r="929" spans="1:1" x14ac:dyDescent="0.25">
      <c r="A929" s="1" t="s">
        <v>968</v>
      </c>
    </row>
    <row r="930" spans="1:1" x14ac:dyDescent="0.25">
      <c r="A930" s="1" t="s">
        <v>969</v>
      </c>
    </row>
    <row r="931" spans="1:1" x14ac:dyDescent="0.25">
      <c r="A931" s="1" t="s">
        <v>970</v>
      </c>
    </row>
    <row r="932" spans="1:1" x14ac:dyDescent="0.25">
      <c r="A932" s="1" t="s">
        <v>971</v>
      </c>
    </row>
    <row r="933" spans="1:1" x14ac:dyDescent="0.25">
      <c r="A933" s="1" t="s">
        <v>972</v>
      </c>
    </row>
    <row r="934" spans="1:1" x14ac:dyDescent="0.25">
      <c r="A934" s="1" t="s">
        <v>973</v>
      </c>
    </row>
    <row r="935" spans="1:1" x14ac:dyDescent="0.25">
      <c r="A935" s="1" t="s">
        <v>974</v>
      </c>
    </row>
    <row r="936" spans="1:1" x14ac:dyDescent="0.25">
      <c r="A936" s="1" t="s">
        <v>975</v>
      </c>
    </row>
    <row r="937" spans="1:1" x14ac:dyDescent="0.25">
      <c r="A937" s="1" t="s">
        <v>976</v>
      </c>
    </row>
    <row r="938" spans="1:1" x14ac:dyDescent="0.25">
      <c r="A938" s="1" t="s">
        <v>977</v>
      </c>
    </row>
    <row r="939" spans="1:1" x14ac:dyDescent="0.25">
      <c r="A939" s="1" t="s">
        <v>978</v>
      </c>
    </row>
    <row r="940" spans="1:1" x14ac:dyDescent="0.25">
      <c r="A940" s="1" t="s">
        <v>979</v>
      </c>
    </row>
    <row r="941" spans="1:1" x14ac:dyDescent="0.25">
      <c r="A941" s="1" t="s">
        <v>980</v>
      </c>
    </row>
    <row r="942" spans="1:1" x14ac:dyDescent="0.25">
      <c r="A942" s="1" t="s">
        <v>981</v>
      </c>
    </row>
    <row r="943" spans="1:1" x14ac:dyDescent="0.25">
      <c r="A943" s="1" t="s">
        <v>982</v>
      </c>
    </row>
    <row r="944" spans="1:1" x14ac:dyDescent="0.25">
      <c r="A944" s="1" t="s">
        <v>983</v>
      </c>
    </row>
    <row r="945" spans="1:1" x14ac:dyDescent="0.25">
      <c r="A945" s="1" t="s">
        <v>984</v>
      </c>
    </row>
    <row r="946" spans="1:1" x14ac:dyDescent="0.25">
      <c r="A946" s="1" t="s">
        <v>985</v>
      </c>
    </row>
    <row r="947" spans="1:1" x14ac:dyDescent="0.25">
      <c r="A947" s="1" t="s">
        <v>986</v>
      </c>
    </row>
    <row r="948" spans="1:1" x14ac:dyDescent="0.25">
      <c r="A948" s="1" t="s">
        <v>987</v>
      </c>
    </row>
    <row r="949" spans="1:1" x14ac:dyDescent="0.25">
      <c r="A949" s="1" t="s">
        <v>988</v>
      </c>
    </row>
    <row r="950" spans="1:1" x14ac:dyDescent="0.25">
      <c r="A950" s="1" t="s">
        <v>989</v>
      </c>
    </row>
    <row r="951" spans="1:1" x14ac:dyDescent="0.25">
      <c r="A951" s="1" t="s">
        <v>990</v>
      </c>
    </row>
    <row r="952" spans="1:1" x14ac:dyDescent="0.25">
      <c r="A952" s="1" t="s">
        <v>991</v>
      </c>
    </row>
    <row r="953" spans="1:1" x14ac:dyDescent="0.25">
      <c r="A953" s="1" t="s">
        <v>992</v>
      </c>
    </row>
    <row r="954" spans="1:1" x14ac:dyDescent="0.25">
      <c r="A954" s="1" t="s">
        <v>993</v>
      </c>
    </row>
    <row r="955" spans="1:1" x14ac:dyDescent="0.25">
      <c r="A955" s="1" t="s">
        <v>994</v>
      </c>
    </row>
    <row r="956" spans="1:1" x14ac:dyDescent="0.25">
      <c r="A956" s="1" t="s">
        <v>995</v>
      </c>
    </row>
    <row r="957" spans="1:1" x14ac:dyDescent="0.25">
      <c r="A957" s="1" t="s">
        <v>996</v>
      </c>
    </row>
    <row r="958" spans="1:1" x14ac:dyDescent="0.25">
      <c r="A958" s="1" t="s">
        <v>997</v>
      </c>
    </row>
    <row r="959" spans="1:1" x14ac:dyDescent="0.25">
      <c r="A959" s="1" t="s">
        <v>998</v>
      </c>
    </row>
    <row r="960" spans="1:1" x14ac:dyDescent="0.25">
      <c r="A960" s="1" t="s">
        <v>999</v>
      </c>
    </row>
    <row r="961" spans="1:1" x14ac:dyDescent="0.25">
      <c r="A961" s="1" t="s">
        <v>1000</v>
      </c>
    </row>
    <row r="962" spans="1:1" x14ac:dyDescent="0.25">
      <c r="A962" s="1" t="s">
        <v>1001</v>
      </c>
    </row>
    <row r="963" spans="1:1" x14ac:dyDescent="0.25">
      <c r="A963" s="1" t="s">
        <v>1002</v>
      </c>
    </row>
    <row r="964" spans="1:1" x14ac:dyDescent="0.25">
      <c r="A964" s="1" t="s">
        <v>1003</v>
      </c>
    </row>
    <row r="965" spans="1:1" x14ac:dyDescent="0.25">
      <c r="A965" s="1" t="s">
        <v>1004</v>
      </c>
    </row>
    <row r="966" spans="1:1" x14ac:dyDescent="0.25">
      <c r="A966" s="1" t="s">
        <v>1005</v>
      </c>
    </row>
    <row r="967" spans="1:1" x14ac:dyDescent="0.25">
      <c r="A967" s="1" t="s">
        <v>1006</v>
      </c>
    </row>
    <row r="968" spans="1:1" x14ac:dyDescent="0.25">
      <c r="A968" s="1" t="s">
        <v>1007</v>
      </c>
    </row>
    <row r="969" spans="1:1" x14ac:dyDescent="0.25">
      <c r="A969" s="1" t="s">
        <v>1008</v>
      </c>
    </row>
    <row r="970" spans="1:1" x14ac:dyDescent="0.25">
      <c r="A970" s="1" t="s">
        <v>1009</v>
      </c>
    </row>
    <row r="971" spans="1:1" x14ac:dyDescent="0.25">
      <c r="A971" s="1" t="s">
        <v>1010</v>
      </c>
    </row>
    <row r="972" spans="1:1" x14ac:dyDescent="0.25">
      <c r="A972" s="1" t="s">
        <v>1011</v>
      </c>
    </row>
    <row r="973" spans="1:1" x14ac:dyDescent="0.25">
      <c r="A973" s="1" t="s">
        <v>1012</v>
      </c>
    </row>
    <row r="974" spans="1:1" x14ac:dyDescent="0.25">
      <c r="A974" s="1" t="s">
        <v>1013</v>
      </c>
    </row>
    <row r="975" spans="1:1" x14ac:dyDescent="0.25">
      <c r="A975" s="1" t="s">
        <v>1014</v>
      </c>
    </row>
    <row r="976" spans="1:1" x14ac:dyDescent="0.25">
      <c r="A976" s="1" t="s">
        <v>1015</v>
      </c>
    </row>
    <row r="977" spans="1:1" x14ac:dyDescent="0.25">
      <c r="A977" s="1" t="s">
        <v>1016</v>
      </c>
    </row>
    <row r="978" spans="1:1" x14ac:dyDescent="0.25">
      <c r="A978" s="1" t="s">
        <v>1017</v>
      </c>
    </row>
    <row r="979" spans="1:1" x14ac:dyDescent="0.25">
      <c r="A979" s="1" t="s">
        <v>1018</v>
      </c>
    </row>
    <row r="980" spans="1:1" x14ac:dyDescent="0.25">
      <c r="A980" s="1" t="s">
        <v>1019</v>
      </c>
    </row>
    <row r="981" spans="1:1" x14ac:dyDescent="0.25">
      <c r="A981" s="1" t="s">
        <v>1020</v>
      </c>
    </row>
    <row r="982" spans="1:1" x14ac:dyDescent="0.25">
      <c r="A982" s="1" t="s">
        <v>1021</v>
      </c>
    </row>
    <row r="983" spans="1:1" x14ac:dyDescent="0.25">
      <c r="A983" s="1" t="s">
        <v>1022</v>
      </c>
    </row>
    <row r="984" spans="1:1" x14ac:dyDescent="0.25">
      <c r="A984" s="1" t="s">
        <v>1023</v>
      </c>
    </row>
    <row r="985" spans="1:1" x14ac:dyDescent="0.25">
      <c r="A985" s="1" t="s">
        <v>1024</v>
      </c>
    </row>
    <row r="986" spans="1:1" x14ac:dyDescent="0.25">
      <c r="A986" s="1" t="s">
        <v>1025</v>
      </c>
    </row>
    <row r="987" spans="1:1" x14ac:dyDescent="0.25">
      <c r="A987" s="1" t="s">
        <v>1026</v>
      </c>
    </row>
    <row r="988" spans="1:1" x14ac:dyDescent="0.25">
      <c r="A988" s="1" t="s">
        <v>1027</v>
      </c>
    </row>
    <row r="989" spans="1:1" x14ac:dyDescent="0.25">
      <c r="A989" s="1" t="s">
        <v>1028</v>
      </c>
    </row>
    <row r="990" spans="1:1" x14ac:dyDescent="0.25">
      <c r="A990" s="1" t="s">
        <v>1029</v>
      </c>
    </row>
    <row r="991" spans="1:1" x14ac:dyDescent="0.25">
      <c r="A991" s="1" t="s">
        <v>1030</v>
      </c>
    </row>
    <row r="992" spans="1:1" x14ac:dyDescent="0.25">
      <c r="A992" s="1" t="s">
        <v>1031</v>
      </c>
    </row>
    <row r="993" spans="1:1" x14ac:dyDescent="0.25">
      <c r="A993" s="1" t="s">
        <v>1032</v>
      </c>
    </row>
    <row r="994" spans="1:1" x14ac:dyDescent="0.25">
      <c r="A994" s="1" t="s">
        <v>1033</v>
      </c>
    </row>
    <row r="995" spans="1:1" x14ac:dyDescent="0.25">
      <c r="A995" s="1" t="s">
        <v>1034</v>
      </c>
    </row>
    <row r="996" spans="1:1" x14ac:dyDescent="0.25">
      <c r="A996" s="1" t="s">
        <v>1035</v>
      </c>
    </row>
    <row r="997" spans="1:1" x14ac:dyDescent="0.25">
      <c r="A997" s="1" t="s">
        <v>1036</v>
      </c>
    </row>
    <row r="998" spans="1:1" x14ac:dyDescent="0.25">
      <c r="A998" s="1" t="s">
        <v>1037</v>
      </c>
    </row>
    <row r="999" spans="1:1" x14ac:dyDescent="0.25">
      <c r="A999" s="1" t="s">
        <v>1038</v>
      </c>
    </row>
    <row r="1000" spans="1:1" x14ac:dyDescent="0.25">
      <c r="A1000" s="1" t="s">
        <v>1039</v>
      </c>
    </row>
    <row r="1001" spans="1:1" x14ac:dyDescent="0.25">
      <c r="A1001" s="1" t="s">
        <v>1040</v>
      </c>
    </row>
    <row r="1002" spans="1:1" x14ac:dyDescent="0.25">
      <c r="A1002" s="1" t="s">
        <v>1041</v>
      </c>
    </row>
    <row r="1003" spans="1:1" x14ac:dyDescent="0.25">
      <c r="A1003" s="1" t="s">
        <v>1042</v>
      </c>
    </row>
    <row r="1004" spans="1:1" x14ac:dyDescent="0.25">
      <c r="A1004" s="1" t="s">
        <v>1043</v>
      </c>
    </row>
    <row r="1005" spans="1:1" x14ac:dyDescent="0.25">
      <c r="A1005" s="1" t="s">
        <v>1044</v>
      </c>
    </row>
    <row r="1006" spans="1:1" x14ac:dyDescent="0.25">
      <c r="A1006" s="1" t="s">
        <v>1045</v>
      </c>
    </row>
    <row r="1007" spans="1:1" x14ac:dyDescent="0.25">
      <c r="A1007" s="1" t="s">
        <v>1046</v>
      </c>
    </row>
    <row r="1008" spans="1:1" x14ac:dyDescent="0.25">
      <c r="A1008" s="1" t="s">
        <v>1047</v>
      </c>
    </row>
    <row r="1009" spans="1:1" x14ac:dyDescent="0.25">
      <c r="A1009" s="1" t="s">
        <v>1048</v>
      </c>
    </row>
    <row r="1010" spans="1:1" x14ac:dyDescent="0.25">
      <c r="A1010" s="1" t="s">
        <v>1049</v>
      </c>
    </row>
    <row r="1011" spans="1:1" x14ac:dyDescent="0.25">
      <c r="A1011" s="1" t="s">
        <v>1050</v>
      </c>
    </row>
    <row r="1012" spans="1:1" x14ac:dyDescent="0.25">
      <c r="A1012" s="1" t="s">
        <v>1051</v>
      </c>
    </row>
    <row r="1013" spans="1:1" x14ac:dyDescent="0.25">
      <c r="A1013" s="1" t="s">
        <v>1052</v>
      </c>
    </row>
    <row r="1014" spans="1:1" x14ac:dyDescent="0.25">
      <c r="A1014" s="1" t="s">
        <v>1053</v>
      </c>
    </row>
    <row r="1015" spans="1:1" x14ac:dyDescent="0.25">
      <c r="A1015" s="1" t="s">
        <v>1054</v>
      </c>
    </row>
    <row r="1016" spans="1:1" x14ac:dyDescent="0.25">
      <c r="A1016" s="1" t="s">
        <v>1055</v>
      </c>
    </row>
    <row r="1017" spans="1:1" x14ac:dyDescent="0.25">
      <c r="A1017" s="1" t="s">
        <v>1056</v>
      </c>
    </row>
    <row r="1018" spans="1:1" x14ac:dyDescent="0.25">
      <c r="A1018" s="1" t="s">
        <v>1057</v>
      </c>
    </row>
    <row r="1019" spans="1:1" x14ac:dyDescent="0.25">
      <c r="A1019" s="1" t="s">
        <v>1058</v>
      </c>
    </row>
    <row r="1020" spans="1:1" x14ac:dyDescent="0.25">
      <c r="A1020" s="1" t="s">
        <v>1059</v>
      </c>
    </row>
    <row r="1021" spans="1:1" x14ac:dyDescent="0.25">
      <c r="A1021" s="1" t="s">
        <v>1060</v>
      </c>
    </row>
    <row r="1022" spans="1:1" x14ac:dyDescent="0.25">
      <c r="A1022" s="1" t="s">
        <v>1061</v>
      </c>
    </row>
    <row r="1023" spans="1:1" x14ac:dyDescent="0.25">
      <c r="A1023" s="1" t="s">
        <v>1062</v>
      </c>
    </row>
    <row r="1024" spans="1:1" x14ac:dyDescent="0.25">
      <c r="A1024" s="1" t="s">
        <v>1063</v>
      </c>
    </row>
    <row r="1025" spans="1:1" x14ac:dyDescent="0.25">
      <c r="A1025" s="1" t="s">
        <v>1064</v>
      </c>
    </row>
    <row r="1026" spans="1:1" x14ac:dyDescent="0.25">
      <c r="A1026" s="1" t="s">
        <v>1065</v>
      </c>
    </row>
    <row r="1027" spans="1:1" x14ac:dyDescent="0.25">
      <c r="A1027" s="1" t="s">
        <v>1066</v>
      </c>
    </row>
    <row r="1028" spans="1:1" x14ac:dyDescent="0.25">
      <c r="A1028" s="1" t="s">
        <v>1067</v>
      </c>
    </row>
    <row r="1029" spans="1:1" x14ac:dyDescent="0.25">
      <c r="A1029" s="1" t="s">
        <v>1068</v>
      </c>
    </row>
    <row r="1030" spans="1:1" x14ac:dyDescent="0.25">
      <c r="A1030" s="1" t="s">
        <v>1069</v>
      </c>
    </row>
    <row r="1031" spans="1:1" x14ac:dyDescent="0.25">
      <c r="A1031" s="1" t="s">
        <v>1070</v>
      </c>
    </row>
    <row r="1032" spans="1:1" x14ac:dyDescent="0.25">
      <c r="A1032" s="1" t="s">
        <v>1071</v>
      </c>
    </row>
    <row r="1033" spans="1:1" x14ac:dyDescent="0.25">
      <c r="A1033" s="1" t="s">
        <v>1072</v>
      </c>
    </row>
    <row r="1034" spans="1:1" x14ac:dyDescent="0.25">
      <c r="A1034" s="1" t="s">
        <v>1073</v>
      </c>
    </row>
    <row r="1035" spans="1:1" x14ac:dyDescent="0.25">
      <c r="A1035" s="1" t="s">
        <v>1074</v>
      </c>
    </row>
    <row r="1036" spans="1:1" x14ac:dyDescent="0.25">
      <c r="A1036" s="1" t="s">
        <v>1075</v>
      </c>
    </row>
    <row r="1037" spans="1:1" x14ac:dyDescent="0.25">
      <c r="A1037" s="1" t="s">
        <v>1076</v>
      </c>
    </row>
    <row r="1038" spans="1:1" x14ac:dyDescent="0.25">
      <c r="A1038" s="1" t="s">
        <v>1077</v>
      </c>
    </row>
    <row r="1039" spans="1:1" x14ac:dyDescent="0.25">
      <c r="A1039" s="1" t="s">
        <v>1078</v>
      </c>
    </row>
    <row r="1040" spans="1:1" x14ac:dyDescent="0.25">
      <c r="A1040" s="1" t="s">
        <v>1079</v>
      </c>
    </row>
    <row r="1041" spans="1:1" x14ac:dyDescent="0.25">
      <c r="A1041" s="1" t="s">
        <v>1080</v>
      </c>
    </row>
    <row r="1042" spans="1:1" x14ac:dyDescent="0.25">
      <c r="A1042" s="1" t="s">
        <v>1081</v>
      </c>
    </row>
    <row r="1043" spans="1:1" x14ac:dyDescent="0.25">
      <c r="A1043" s="1" t="s">
        <v>1082</v>
      </c>
    </row>
    <row r="1044" spans="1:1" x14ac:dyDescent="0.25">
      <c r="A1044" s="1" t="s">
        <v>1083</v>
      </c>
    </row>
    <row r="1045" spans="1:1" x14ac:dyDescent="0.25">
      <c r="A1045" s="1" t="s">
        <v>1084</v>
      </c>
    </row>
    <row r="1046" spans="1:1" x14ac:dyDescent="0.25">
      <c r="A1046" s="1" t="s">
        <v>1085</v>
      </c>
    </row>
    <row r="1047" spans="1:1" x14ac:dyDescent="0.25">
      <c r="A1047" s="1" t="s">
        <v>1086</v>
      </c>
    </row>
    <row r="1048" spans="1:1" x14ac:dyDescent="0.25">
      <c r="A1048" s="1" t="s">
        <v>1087</v>
      </c>
    </row>
    <row r="1049" spans="1:1" x14ac:dyDescent="0.25">
      <c r="A1049" s="1" t="s">
        <v>1088</v>
      </c>
    </row>
    <row r="1050" spans="1:1" x14ac:dyDescent="0.25">
      <c r="A1050" s="1" t="s">
        <v>1089</v>
      </c>
    </row>
    <row r="1051" spans="1:1" x14ac:dyDescent="0.25">
      <c r="A1051" s="1" t="s">
        <v>1090</v>
      </c>
    </row>
    <row r="1052" spans="1:1" x14ac:dyDescent="0.25">
      <c r="A1052" s="1" t="s">
        <v>1091</v>
      </c>
    </row>
    <row r="1053" spans="1:1" x14ac:dyDescent="0.25">
      <c r="A1053" s="1" t="s">
        <v>1092</v>
      </c>
    </row>
    <row r="1054" spans="1:1" x14ac:dyDescent="0.25">
      <c r="A1054" s="1" t="s">
        <v>1093</v>
      </c>
    </row>
    <row r="1055" spans="1:1" x14ac:dyDescent="0.25">
      <c r="A1055" s="1" t="s">
        <v>1094</v>
      </c>
    </row>
    <row r="1056" spans="1:1" x14ac:dyDescent="0.25">
      <c r="A1056" s="1" t="s">
        <v>1095</v>
      </c>
    </row>
    <row r="1057" spans="1:1" x14ac:dyDescent="0.25">
      <c r="A1057" s="1" t="s">
        <v>1096</v>
      </c>
    </row>
    <row r="1058" spans="1:1" x14ac:dyDescent="0.25">
      <c r="A1058" s="1" t="s">
        <v>1097</v>
      </c>
    </row>
    <row r="1059" spans="1:1" x14ac:dyDescent="0.25">
      <c r="A1059" s="1" t="s">
        <v>1098</v>
      </c>
    </row>
    <row r="1060" spans="1:1" x14ac:dyDescent="0.25">
      <c r="A1060" s="1" t="s">
        <v>1099</v>
      </c>
    </row>
    <row r="1061" spans="1:1" x14ac:dyDescent="0.25">
      <c r="A1061" s="1" t="s">
        <v>1100</v>
      </c>
    </row>
    <row r="1062" spans="1:1" x14ac:dyDescent="0.25">
      <c r="A1062" s="1" t="s">
        <v>1101</v>
      </c>
    </row>
    <row r="1063" spans="1:1" x14ac:dyDescent="0.25">
      <c r="A1063" s="1" t="s">
        <v>1102</v>
      </c>
    </row>
    <row r="1064" spans="1:1" x14ac:dyDescent="0.25">
      <c r="A1064" s="1" t="s">
        <v>1103</v>
      </c>
    </row>
    <row r="1065" spans="1:1" x14ac:dyDescent="0.25">
      <c r="A1065" s="1" t="s">
        <v>1104</v>
      </c>
    </row>
    <row r="1066" spans="1:1" x14ac:dyDescent="0.25">
      <c r="A1066" s="1" t="s">
        <v>1105</v>
      </c>
    </row>
    <row r="1067" spans="1:1" x14ac:dyDescent="0.25">
      <c r="A1067" s="1" t="s">
        <v>1106</v>
      </c>
    </row>
    <row r="1068" spans="1:1" x14ac:dyDescent="0.25">
      <c r="A1068" s="1" t="s">
        <v>1107</v>
      </c>
    </row>
    <row r="1069" spans="1:1" x14ac:dyDescent="0.25">
      <c r="A1069" s="1" t="s">
        <v>1108</v>
      </c>
    </row>
    <row r="1070" spans="1:1" x14ac:dyDescent="0.25">
      <c r="A1070" s="1" t="s">
        <v>1109</v>
      </c>
    </row>
    <row r="1071" spans="1:1" x14ac:dyDescent="0.25">
      <c r="A1071" s="1" t="s">
        <v>1110</v>
      </c>
    </row>
    <row r="1072" spans="1:1" x14ac:dyDescent="0.25">
      <c r="A1072" s="1" t="s">
        <v>1111</v>
      </c>
    </row>
    <row r="1073" spans="1:1" x14ac:dyDescent="0.25">
      <c r="A1073" s="1" t="s">
        <v>1112</v>
      </c>
    </row>
    <row r="1074" spans="1:1" x14ac:dyDescent="0.25">
      <c r="A1074" s="1" t="s">
        <v>1113</v>
      </c>
    </row>
    <row r="1075" spans="1:1" x14ac:dyDescent="0.25">
      <c r="A1075" s="1" t="s">
        <v>1114</v>
      </c>
    </row>
    <row r="1076" spans="1:1" x14ac:dyDescent="0.25">
      <c r="A1076" s="1" t="s">
        <v>1115</v>
      </c>
    </row>
    <row r="1077" spans="1:1" x14ac:dyDescent="0.25">
      <c r="A1077" s="1" t="s">
        <v>1116</v>
      </c>
    </row>
    <row r="1078" spans="1:1" x14ac:dyDescent="0.25">
      <c r="A1078" s="1" t="s">
        <v>1117</v>
      </c>
    </row>
    <row r="1079" spans="1:1" x14ac:dyDescent="0.25">
      <c r="A1079" s="1" t="s">
        <v>1118</v>
      </c>
    </row>
    <row r="1080" spans="1:1" x14ac:dyDescent="0.25">
      <c r="A1080" s="1" t="s">
        <v>1119</v>
      </c>
    </row>
    <row r="1081" spans="1:1" x14ac:dyDescent="0.25">
      <c r="A1081" s="1" t="s">
        <v>1120</v>
      </c>
    </row>
    <row r="1082" spans="1:1" x14ac:dyDescent="0.25">
      <c r="A1082" s="1" t="s">
        <v>1121</v>
      </c>
    </row>
    <row r="1083" spans="1:1" x14ac:dyDescent="0.25">
      <c r="A1083" s="1" t="s">
        <v>1122</v>
      </c>
    </row>
    <row r="1084" spans="1:1" x14ac:dyDescent="0.25">
      <c r="A1084" s="1" t="s">
        <v>1123</v>
      </c>
    </row>
    <row r="1085" spans="1:1" x14ac:dyDescent="0.25">
      <c r="A1085" s="1" t="s">
        <v>1124</v>
      </c>
    </row>
    <row r="1086" spans="1:1" x14ac:dyDescent="0.25">
      <c r="A1086" s="1" t="s">
        <v>1125</v>
      </c>
    </row>
    <row r="1087" spans="1:1" x14ac:dyDescent="0.25">
      <c r="A1087" s="1" t="s">
        <v>1126</v>
      </c>
    </row>
    <row r="1088" spans="1:1" x14ac:dyDescent="0.25">
      <c r="A1088" s="1" t="s">
        <v>1127</v>
      </c>
    </row>
    <row r="1089" spans="1:1" x14ac:dyDescent="0.25">
      <c r="A1089" s="1" t="s">
        <v>1128</v>
      </c>
    </row>
    <row r="1090" spans="1:1" x14ac:dyDescent="0.25">
      <c r="A1090" s="1" t="s">
        <v>1129</v>
      </c>
    </row>
    <row r="1091" spans="1:1" x14ac:dyDescent="0.25">
      <c r="A1091" s="1" t="s">
        <v>1130</v>
      </c>
    </row>
    <row r="1092" spans="1:1" x14ac:dyDescent="0.25">
      <c r="A1092" s="1" t="s">
        <v>1131</v>
      </c>
    </row>
    <row r="1093" spans="1:1" x14ac:dyDescent="0.25">
      <c r="A1093" s="1" t="s">
        <v>1132</v>
      </c>
    </row>
    <row r="1094" spans="1:1" x14ac:dyDescent="0.25">
      <c r="A1094" s="1" t="s">
        <v>1133</v>
      </c>
    </row>
    <row r="1095" spans="1:1" x14ac:dyDescent="0.25">
      <c r="A1095" s="1" t="s">
        <v>1134</v>
      </c>
    </row>
    <row r="1096" spans="1:1" x14ac:dyDescent="0.25">
      <c r="A1096" s="1" t="s">
        <v>1135</v>
      </c>
    </row>
    <row r="1097" spans="1:1" x14ac:dyDescent="0.25">
      <c r="A1097" s="1" t="s">
        <v>1136</v>
      </c>
    </row>
    <row r="1098" spans="1:1" x14ac:dyDescent="0.25">
      <c r="A1098" s="1" t="s">
        <v>1137</v>
      </c>
    </row>
    <row r="1099" spans="1:1" x14ac:dyDescent="0.25">
      <c r="A1099" s="1" t="s">
        <v>1138</v>
      </c>
    </row>
    <row r="1100" spans="1:1" x14ac:dyDescent="0.25">
      <c r="A1100" s="1" t="s">
        <v>1139</v>
      </c>
    </row>
    <row r="1101" spans="1:1" x14ac:dyDescent="0.25">
      <c r="A1101" s="1" t="s">
        <v>1140</v>
      </c>
    </row>
    <row r="1102" spans="1:1" x14ac:dyDescent="0.25">
      <c r="A1102" s="1" t="s">
        <v>1141</v>
      </c>
    </row>
    <row r="1103" spans="1:1" x14ac:dyDescent="0.25">
      <c r="A1103" s="1" t="s">
        <v>1142</v>
      </c>
    </row>
    <row r="1104" spans="1:1" x14ac:dyDescent="0.25">
      <c r="A1104" s="1" t="s">
        <v>1143</v>
      </c>
    </row>
    <row r="1105" spans="1:1" x14ac:dyDescent="0.25">
      <c r="A1105" s="1" t="s">
        <v>1144</v>
      </c>
    </row>
    <row r="1106" spans="1:1" x14ac:dyDescent="0.25">
      <c r="A1106" s="1" t="s">
        <v>1145</v>
      </c>
    </row>
    <row r="1107" spans="1:1" x14ac:dyDescent="0.25">
      <c r="A1107" s="1" t="s">
        <v>1146</v>
      </c>
    </row>
    <row r="1108" spans="1:1" x14ac:dyDescent="0.25">
      <c r="A1108" s="1" t="s">
        <v>1147</v>
      </c>
    </row>
    <row r="1109" spans="1:1" x14ac:dyDescent="0.25">
      <c r="A1109" s="1" t="s">
        <v>1148</v>
      </c>
    </row>
    <row r="1110" spans="1:1" x14ac:dyDescent="0.25">
      <c r="A1110" s="1" t="s">
        <v>1149</v>
      </c>
    </row>
    <row r="1111" spans="1:1" x14ac:dyDescent="0.25">
      <c r="A1111" s="1" t="s">
        <v>1150</v>
      </c>
    </row>
    <row r="1112" spans="1:1" x14ac:dyDescent="0.25">
      <c r="A1112" s="1" t="s">
        <v>1151</v>
      </c>
    </row>
    <row r="1113" spans="1:1" x14ac:dyDescent="0.25">
      <c r="A1113" s="1" t="s">
        <v>1152</v>
      </c>
    </row>
    <row r="1114" spans="1:1" x14ac:dyDescent="0.25">
      <c r="A1114" s="1" t="s">
        <v>1153</v>
      </c>
    </row>
    <row r="1115" spans="1:1" x14ac:dyDescent="0.25">
      <c r="A1115" s="1" t="s">
        <v>1154</v>
      </c>
    </row>
    <row r="1116" spans="1:1" x14ac:dyDescent="0.25">
      <c r="A1116" s="1" t="s">
        <v>1155</v>
      </c>
    </row>
    <row r="1117" spans="1:1" x14ac:dyDescent="0.25">
      <c r="A1117" s="1" t="s">
        <v>1156</v>
      </c>
    </row>
    <row r="1118" spans="1:1" x14ac:dyDescent="0.25">
      <c r="A1118" s="1" t="s">
        <v>1157</v>
      </c>
    </row>
    <row r="1119" spans="1:1" x14ac:dyDescent="0.25">
      <c r="A1119" s="1" t="s">
        <v>1158</v>
      </c>
    </row>
    <row r="1120" spans="1:1" x14ac:dyDescent="0.25">
      <c r="A1120" s="1" t="s">
        <v>1159</v>
      </c>
    </row>
    <row r="1121" spans="1:1" x14ac:dyDescent="0.25">
      <c r="A1121" s="1" t="s">
        <v>1160</v>
      </c>
    </row>
    <row r="1122" spans="1:1" x14ac:dyDescent="0.25">
      <c r="A1122" s="1" t="s">
        <v>1161</v>
      </c>
    </row>
    <row r="1123" spans="1:1" x14ac:dyDescent="0.25">
      <c r="A1123" s="1" t="s">
        <v>1162</v>
      </c>
    </row>
    <row r="1124" spans="1:1" x14ac:dyDescent="0.25">
      <c r="A1124" s="1" t="s">
        <v>1163</v>
      </c>
    </row>
    <row r="1125" spans="1:1" x14ac:dyDescent="0.25">
      <c r="A1125" s="1" t="s">
        <v>1164</v>
      </c>
    </row>
    <row r="1126" spans="1:1" x14ac:dyDescent="0.25">
      <c r="A1126" s="1" t="s">
        <v>1165</v>
      </c>
    </row>
    <row r="1127" spans="1:1" x14ac:dyDescent="0.25">
      <c r="A1127" s="1" t="s">
        <v>1166</v>
      </c>
    </row>
    <row r="1128" spans="1:1" x14ac:dyDescent="0.25">
      <c r="A1128" s="1" t="s">
        <v>1167</v>
      </c>
    </row>
    <row r="1129" spans="1:1" x14ac:dyDescent="0.25">
      <c r="A1129" s="1" t="s">
        <v>1168</v>
      </c>
    </row>
    <row r="1130" spans="1:1" x14ac:dyDescent="0.25">
      <c r="A1130" s="1" t="s">
        <v>1169</v>
      </c>
    </row>
    <row r="1131" spans="1:1" x14ac:dyDescent="0.25">
      <c r="A1131" s="1" t="s">
        <v>1170</v>
      </c>
    </row>
    <row r="1132" spans="1:1" x14ac:dyDescent="0.25">
      <c r="A1132" s="1" t="s">
        <v>1171</v>
      </c>
    </row>
    <row r="1133" spans="1:1" x14ac:dyDescent="0.25">
      <c r="A1133" s="1" t="s">
        <v>1172</v>
      </c>
    </row>
    <row r="1134" spans="1:1" x14ac:dyDescent="0.25">
      <c r="A1134" s="1" t="s">
        <v>1173</v>
      </c>
    </row>
    <row r="1135" spans="1:1" x14ac:dyDescent="0.25">
      <c r="A1135" s="1" t="s">
        <v>1174</v>
      </c>
    </row>
    <row r="1136" spans="1:1" x14ac:dyDescent="0.25">
      <c r="A1136" s="1" t="s">
        <v>1175</v>
      </c>
    </row>
    <row r="1137" spans="1:1" x14ac:dyDescent="0.25">
      <c r="A1137" s="1" t="s">
        <v>1176</v>
      </c>
    </row>
    <row r="1138" spans="1:1" x14ac:dyDescent="0.25">
      <c r="A1138" s="1" t="s">
        <v>1177</v>
      </c>
    </row>
    <row r="1139" spans="1:1" x14ac:dyDescent="0.25">
      <c r="A1139" s="1" t="s">
        <v>1178</v>
      </c>
    </row>
    <row r="1140" spans="1:1" x14ac:dyDescent="0.25">
      <c r="A1140" s="1" t="s">
        <v>1179</v>
      </c>
    </row>
    <row r="1141" spans="1:1" x14ac:dyDescent="0.25">
      <c r="A1141" s="1" t="s">
        <v>1180</v>
      </c>
    </row>
    <row r="1142" spans="1:1" x14ac:dyDescent="0.25">
      <c r="A1142" s="1" t="s">
        <v>1181</v>
      </c>
    </row>
    <row r="1143" spans="1:1" x14ac:dyDescent="0.25">
      <c r="A1143" s="1" t="s">
        <v>1182</v>
      </c>
    </row>
    <row r="1144" spans="1:1" x14ac:dyDescent="0.25">
      <c r="A1144" s="1" t="s">
        <v>1183</v>
      </c>
    </row>
    <row r="1145" spans="1:1" x14ac:dyDescent="0.25">
      <c r="A1145" s="1" t="s">
        <v>1184</v>
      </c>
    </row>
    <row r="1146" spans="1:1" x14ac:dyDescent="0.25">
      <c r="A1146" s="1" t="s">
        <v>1185</v>
      </c>
    </row>
    <row r="1147" spans="1:1" x14ac:dyDescent="0.25">
      <c r="A1147" s="1" t="s">
        <v>1186</v>
      </c>
    </row>
    <row r="1148" spans="1:1" x14ac:dyDescent="0.25">
      <c r="A1148" s="1" t="s">
        <v>1187</v>
      </c>
    </row>
    <row r="1149" spans="1:1" x14ac:dyDescent="0.25">
      <c r="A1149" s="1" t="s">
        <v>1188</v>
      </c>
    </row>
    <row r="1150" spans="1:1" x14ac:dyDescent="0.25">
      <c r="A1150" s="1" t="s">
        <v>1189</v>
      </c>
    </row>
    <row r="1151" spans="1:1" x14ac:dyDescent="0.25">
      <c r="A1151" s="1" t="s">
        <v>1190</v>
      </c>
    </row>
    <row r="1152" spans="1:1" x14ac:dyDescent="0.25">
      <c r="A1152" s="1" t="s">
        <v>1191</v>
      </c>
    </row>
    <row r="1153" spans="1:1" x14ac:dyDescent="0.25">
      <c r="A1153" s="1" t="s">
        <v>1192</v>
      </c>
    </row>
    <row r="1154" spans="1:1" x14ac:dyDescent="0.25">
      <c r="A1154" s="1" t="s">
        <v>1193</v>
      </c>
    </row>
    <row r="1155" spans="1:1" x14ac:dyDescent="0.25">
      <c r="A1155" s="1" t="s">
        <v>1194</v>
      </c>
    </row>
    <row r="1156" spans="1:1" x14ac:dyDescent="0.25">
      <c r="A1156" s="1" t="s">
        <v>1195</v>
      </c>
    </row>
    <row r="1157" spans="1:1" x14ac:dyDescent="0.25">
      <c r="A1157" s="1" t="s">
        <v>1196</v>
      </c>
    </row>
    <row r="1158" spans="1:1" x14ac:dyDescent="0.25">
      <c r="A1158" s="1" t="s">
        <v>1197</v>
      </c>
    </row>
    <row r="1159" spans="1:1" x14ac:dyDescent="0.25">
      <c r="A1159" s="1" t="s">
        <v>1198</v>
      </c>
    </row>
    <row r="1160" spans="1:1" x14ac:dyDescent="0.25">
      <c r="A1160" s="1" t="s">
        <v>1199</v>
      </c>
    </row>
    <row r="1161" spans="1:1" x14ac:dyDescent="0.25">
      <c r="A1161" s="1" t="s">
        <v>1200</v>
      </c>
    </row>
    <row r="1162" spans="1:1" x14ac:dyDescent="0.25">
      <c r="A1162" s="1" t="s">
        <v>1201</v>
      </c>
    </row>
    <row r="1163" spans="1:1" x14ac:dyDescent="0.25">
      <c r="A1163" s="1" t="s">
        <v>1202</v>
      </c>
    </row>
    <row r="1164" spans="1:1" x14ac:dyDescent="0.25">
      <c r="A1164" s="1" t="s">
        <v>1203</v>
      </c>
    </row>
    <row r="1165" spans="1:1" x14ac:dyDescent="0.25">
      <c r="A1165" s="1" t="s">
        <v>1204</v>
      </c>
    </row>
    <row r="1166" spans="1:1" x14ac:dyDescent="0.25">
      <c r="A1166" s="1" t="s">
        <v>1205</v>
      </c>
    </row>
    <row r="1167" spans="1:1" x14ac:dyDescent="0.25">
      <c r="A1167" s="1" t="s">
        <v>1206</v>
      </c>
    </row>
    <row r="1168" spans="1:1" x14ac:dyDescent="0.25">
      <c r="A1168" s="1" t="s">
        <v>1207</v>
      </c>
    </row>
    <row r="1169" spans="1:1" x14ac:dyDescent="0.25">
      <c r="A1169" s="1" t="s">
        <v>1208</v>
      </c>
    </row>
    <row r="1170" spans="1:1" x14ac:dyDescent="0.25">
      <c r="A1170" s="1" t="s">
        <v>1209</v>
      </c>
    </row>
    <row r="1171" spans="1:1" x14ac:dyDescent="0.25">
      <c r="A1171" s="1" t="s">
        <v>1210</v>
      </c>
    </row>
    <row r="1172" spans="1:1" x14ac:dyDescent="0.25">
      <c r="A1172" s="1" t="s">
        <v>1211</v>
      </c>
    </row>
    <row r="1173" spans="1:1" x14ac:dyDescent="0.25">
      <c r="A1173" s="1" t="s">
        <v>1212</v>
      </c>
    </row>
    <row r="1174" spans="1:1" x14ac:dyDescent="0.25">
      <c r="A1174" s="1" t="s">
        <v>1213</v>
      </c>
    </row>
    <row r="1175" spans="1:1" x14ac:dyDescent="0.25">
      <c r="A1175" s="1" t="s">
        <v>1214</v>
      </c>
    </row>
    <row r="1176" spans="1:1" x14ac:dyDescent="0.25">
      <c r="A1176" s="1" t="s">
        <v>1215</v>
      </c>
    </row>
    <row r="1177" spans="1:1" x14ac:dyDescent="0.25">
      <c r="A1177" s="1" t="s">
        <v>1216</v>
      </c>
    </row>
    <row r="1178" spans="1:1" x14ac:dyDescent="0.25">
      <c r="A1178" s="1" t="s">
        <v>1217</v>
      </c>
    </row>
    <row r="1179" spans="1:1" x14ac:dyDescent="0.25">
      <c r="A1179" s="1" t="s">
        <v>1218</v>
      </c>
    </row>
    <row r="1180" spans="1:1" x14ac:dyDescent="0.25">
      <c r="A1180" s="1" t="s">
        <v>1219</v>
      </c>
    </row>
    <row r="1181" spans="1:1" x14ac:dyDescent="0.25">
      <c r="A1181" s="1" t="s">
        <v>1220</v>
      </c>
    </row>
    <row r="1182" spans="1:1" x14ac:dyDescent="0.25">
      <c r="A1182" s="1" t="s">
        <v>1221</v>
      </c>
    </row>
    <row r="1183" spans="1:1" x14ac:dyDescent="0.25">
      <c r="A1183" s="1" t="s">
        <v>1222</v>
      </c>
    </row>
    <row r="1184" spans="1:1" x14ac:dyDescent="0.25">
      <c r="A1184" s="1" t="s">
        <v>1223</v>
      </c>
    </row>
    <row r="1185" spans="1:1" x14ac:dyDescent="0.25">
      <c r="A1185" s="1" t="s">
        <v>1224</v>
      </c>
    </row>
    <row r="1186" spans="1:1" x14ac:dyDescent="0.25">
      <c r="A1186" s="1" t="s">
        <v>1225</v>
      </c>
    </row>
    <row r="1187" spans="1:1" x14ac:dyDescent="0.25">
      <c r="A1187" s="1" t="s">
        <v>1226</v>
      </c>
    </row>
    <row r="1188" spans="1:1" x14ac:dyDescent="0.25">
      <c r="A1188" s="1" t="s">
        <v>1227</v>
      </c>
    </row>
    <row r="1189" spans="1:1" x14ac:dyDescent="0.25">
      <c r="A1189" s="1" t="s">
        <v>1228</v>
      </c>
    </row>
    <row r="1190" spans="1:1" x14ac:dyDescent="0.25">
      <c r="A1190" s="1" t="s">
        <v>1229</v>
      </c>
    </row>
    <row r="1191" spans="1:1" x14ac:dyDescent="0.25">
      <c r="A1191" s="1" t="s">
        <v>1230</v>
      </c>
    </row>
    <row r="1192" spans="1:1" x14ac:dyDescent="0.25">
      <c r="A1192" s="1" t="s">
        <v>1231</v>
      </c>
    </row>
    <row r="1193" spans="1:1" x14ac:dyDescent="0.25">
      <c r="A1193" s="1" t="s">
        <v>1232</v>
      </c>
    </row>
    <row r="1194" spans="1:1" x14ac:dyDescent="0.25">
      <c r="A1194" s="1" t="s">
        <v>1233</v>
      </c>
    </row>
    <row r="1195" spans="1:1" x14ac:dyDescent="0.25">
      <c r="A1195" s="1" t="s">
        <v>1234</v>
      </c>
    </row>
    <row r="1196" spans="1:1" x14ac:dyDescent="0.25">
      <c r="A1196" s="1" t="s">
        <v>1235</v>
      </c>
    </row>
    <row r="1197" spans="1:1" x14ac:dyDescent="0.25">
      <c r="A1197" s="1" t="s">
        <v>1236</v>
      </c>
    </row>
    <row r="1198" spans="1:1" x14ac:dyDescent="0.25">
      <c r="A1198" s="1" t="s">
        <v>1237</v>
      </c>
    </row>
    <row r="1199" spans="1:1" x14ac:dyDescent="0.25">
      <c r="A1199" s="1" t="s">
        <v>1238</v>
      </c>
    </row>
    <row r="1200" spans="1:1" x14ac:dyDescent="0.25">
      <c r="A1200" s="1" t="s">
        <v>1239</v>
      </c>
    </row>
    <row r="1201" spans="1:1" x14ac:dyDescent="0.25">
      <c r="A1201" s="1" t="s">
        <v>1240</v>
      </c>
    </row>
    <row r="1202" spans="1:1" x14ac:dyDescent="0.25">
      <c r="A1202" s="1" t="s">
        <v>1241</v>
      </c>
    </row>
    <row r="1203" spans="1:1" x14ac:dyDescent="0.25">
      <c r="A1203" s="1" t="s">
        <v>1242</v>
      </c>
    </row>
    <row r="1204" spans="1:1" x14ac:dyDescent="0.25">
      <c r="A1204" s="1" t="s">
        <v>1243</v>
      </c>
    </row>
    <row r="1205" spans="1:1" x14ac:dyDescent="0.25">
      <c r="A1205" s="1" t="s">
        <v>1244</v>
      </c>
    </row>
    <row r="1206" spans="1:1" x14ac:dyDescent="0.25">
      <c r="A1206" s="1" t="s">
        <v>1245</v>
      </c>
    </row>
    <row r="1207" spans="1:1" x14ac:dyDescent="0.25">
      <c r="A1207" s="1" t="s">
        <v>1246</v>
      </c>
    </row>
    <row r="1208" spans="1:1" x14ac:dyDescent="0.25">
      <c r="A1208" s="1" t="s">
        <v>1247</v>
      </c>
    </row>
    <row r="1209" spans="1:1" x14ac:dyDescent="0.25">
      <c r="A1209" s="1" t="s">
        <v>1248</v>
      </c>
    </row>
    <row r="1210" spans="1:1" x14ac:dyDescent="0.25">
      <c r="A1210" s="1" t="s">
        <v>1249</v>
      </c>
    </row>
    <row r="1211" spans="1:1" x14ac:dyDescent="0.25">
      <c r="A1211" s="1" t="s">
        <v>1250</v>
      </c>
    </row>
    <row r="1212" spans="1:1" x14ac:dyDescent="0.25">
      <c r="A1212" s="1" t="s">
        <v>1251</v>
      </c>
    </row>
    <row r="1213" spans="1:1" x14ac:dyDescent="0.25">
      <c r="A1213" s="1" t="s">
        <v>1252</v>
      </c>
    </row>
    <row r="1214" spans="1:1" x14ac:dyDescent="0.25">
      <c r="A1214" s="1" t="s">
        <v>1253</v>
      </c>
    </row>
    <row r="1215" spans="1:1" x14ac:dyDescent="0.25">
      <c r="A1215" s="1" t="s">
        <v>1254</v>
      </c>
    </row>
    <row r="1216" spans="1:1" x14ac:dyDescent="0.25">
      <c r="A1216" s="1" t="s">
        <v>1255</v>
      </c>
    </row>
    <row r="1217" spans="1:1" x14ac:dyDescent="0.25">
      <c r="A1217" s="1" t="s">
        <v>1256</v>
      </c>
    </row>
    <row r="1218" spans="1:1" x14ac:dyDescent="0.25">
      <c r="A1218" s="1" t="s">
        <v>1257</v>
      </c>
    </row>
    <row r="1219" spans="1:1" x14ac:dyDescent="0.25">
      <c r="A1219" s="1" t="s">
        <v>1258</v>
      </c>
    </row>
    <row r="1220" spans="1:1" x14ac:dyDescent="0.25">
      <c r="A1220" s="1" t="s">
        <v>1259</v>
      </c>
    </row>
    <row r="1221" spans="1:1" x14ac:dyDescent="0.25">
      <c r="A1221" s="1" t="s">
        <v>1260</v>
      </c>
    </row>
    <row r="1222" spans="1:1" x14ac:dyDescent="0.25">
      <c r="A1222" s="1" t="s">
        <v>1261</v>
      </c>
    </row>
    <row r="1223" spans="1:1" x14ac:dyDescent="0.25">
      <c r="A1223" s="1" t="s">
        <v>1262</v>
      </c>
    </row>
    <row r="1224" spans="1:1" x14ac:dyDescent="0.25">
      <c r="A1224" s="1" t="s">
        <v>1263</v>
      </c>
    </row>
    <row r="1225" spans="1:1" x14ac:dyDescent="0.25">
      <c r="A1225" s="1" t="s">
        <v>1264</v>
      </c>
    </row>
    <row r="1226" spans="1:1" x14ac:dyDescent="0.25">
      <c r="A1226" s="1" t="s">
        <v>1265</v>
      </c>
    </row>
    <row r="1227" spans="1:1" x14ac:dyDescent="0.25">
      <c r="A1227" s="1" t="s">
        <v>1266</v>
      </c>
    </row>
    <row r="1228" spans="1:1" x14ac:dyDescent="0.25">
      <c r="A1228" s="1" t="s">
        <v>1267</v>
      </c>
    </row>
    <row r="1229" spans="1:1" x14ac:dyDescent="0.25">
      <c r="A1229" s="1" t="s">
        <v>1268</v>
      </c>
    </row>
    <row r="1230" spans="1:1" x14ac:dyDescent="0.25">
      <c r="A1230" s="1" t="s">
        <v>1269</v>
      </c>
    </row>
    <row r="1231" spans="1:1" x14ac:dyDescent="0.25">
      <c r="A1231" s="1" t="s">
        <v>1270</v>
      </c>
    </row>
    <row r="1232" spans="1:1" x14ac:dyDescent="0.25">
      <c r="A1232" s="1" t="s">
        <v>1271</v>
      </c>
    </row>
    <row r="1233" spans="1:1" x14ac:dyDescent="0.25">
      <c r="A1233" s="1" t="s">
        <v>1272</v>
      </c>
    </row>
    <row r="1234" spans="1:1" x14ac:dyDescent="0.25">
      <c r="A1234" s="1" t="s">
        <v>1273</v>
      </c>
    </row>
    <row r="1235" spans="1:1" x14ac:dyDescent="0.25">
      <c r="A1235" s="1" t="s">
        <v>1274</v>
      </c>
    </row>
    <row r="1236" spans="1:1" x14ac:dyDescent="0.25">
      <c r="A1236" s="1" t="s">
        <v>1275</v>
      </c>
    </row>
    <row r="1237" spans="1:1" x14ac:dyDescent="0.25">
      <c r="A1237" s="1" t="s">
        <v>1276</v>
      </c>
    </row>
    <row r="1238" spans="1:1" x14ac:dyDescent="0.25">
      <c r="A1238" s="1" t="s">
        <v>1277</v>
      </c>
    </row>
    <row r="1239" spans="1:1" x14ac:dyDescent="0.25">
      <c r="A1239" s="1" t="s">
        <v>1278</v>
      </c>
    </row>
    <row r="1240" spans="1:1" x14ac:dyDescent="0.25">
      <c r="A1240" s="1" t="s">
        <v>1279</v>
      </c>
    </row>
    <row r="1241" spans="1:1" x14ac:dyDescent="0.25">
      <c r="A1241" s="1" t="s">
        <v>1280</v>
      </c>
    </row>
    <row r="1242" spans="1:1" x14ac:dyDescent="0.25">
      <c r="A1242" s="1" t="s">
        <v>1281</v>
      </c>
    </row>
    <row r="1243" spans="1:1" x14ac:dyDescent="0.25">
      <c r="A1243" s="1" t="s">
        <v>1282</v>
      </c>
    </row>
    <row r="1244" spans="1:1" x14ac:dyDescent="0.25">
      <c r="A1244" s="1" t="s">
        <v>1283</v>
      </c>
    </row>
    <row r="1245" spans="1:1" x14ac:dyDescent="0.25">
      <c r="A1245" s="1" t="s">
        <v>1284</v>
      </c>
    </row>
    <row r="1246" spans="1:1" x14ac:dyDescent="0.25">
      <c r="A1246" s="1" t="s">
        <v>1285</v>
      </c>
    </row>
    <row r="1247" spans="1:1" x14ac:dyDescent="0.25">
      <c r="A1247" s="1" t="s">
        <v>1286</v>
      </c>
    </row>
    <row r="1248" spans="1:1" x14ac:dyDescent="0.25">
      <c r="A1248" s="1" t="s">
        <v>1287</v>
      </c>
    </row>
    <row r="1249" spans="1:1" x14ac:dyDescent="0.25">
      <c r="A1249" s="1" t="s">
        <v>1288</v>
      </c>
    </row>
    <row r="1250" spans="1:1" x14ac:dyDescent="0.25">
      <c r="A1250" s="1" t="s">
        <v>1289</v>
      </c>
    </row>
    <row r="1251" spans="1:1" x14ac:dyDescent="0.25">
      <c r="A1251" s="1" t="s">
        <v>1290</v>
      </c>
    </row>
    <row r="1252" spans="1:1" x14ac:dyDescent="0.25">
      <c r="A1252" s="1" t="s">
        <v>1291</v>
      </c>
    </row>
    <row r="1253" spans="1:1" x14ac:dyDescent="0.25">
      <c r="A1253" s="1" t="s">
        <v>1292</v>
      </c>
    </row>
    <row r="1254" spans="1:1" x14ac:dyDescent="0.25">
      <c r="A1254" s="1" t="s">
        <v>1293</v>
      </c>
    </row>
    <row r="1255" spans="1:1" x14ac:dyDescent="0.25">
      <c r="A1255" s="1" t="s">
        <v>1294</v>
      </c>
    </row>
    <row r="1256" spans="1:1" x14ac:dyDescent="0.25">
      <c r="A1256" s="1" t="s">
        <v>1295</v>
      </c>
    </row>
    <row r="1257" spans="1:1" x14ac:dyDescent="0.25">
      <c r="A1257" s="1" t="s">
        <v>1296</v>
      </c>
    </row>
    <row r="1258" spans="1:1" x14ac:dyDescent="0.25">
      <c r="A1258" s="1" t="s">
        <v>1297</v>
      </c>
    </row>
    <row r="1259" spans="1:1" x14ac:dyDescent="0.25">
      <c r="A1259" s="1" t="s">
        <v>1298</v>
      </c>
    </row>
    <row r="1260" spans="1:1" x14ac:dyDescent="0.25">
      <c r="A1260" s="1" t="s">
        <v>1299</v>
      </c>
    </row>
    <row r="1261" spans="1:1" x14ac:dyDescent="0.25">
      <c r="A1261" s="1" t="s">
        <v>1300</v>
      </c>
    </row>
    <row r="1262" spans="1:1" x14ac:dyDescent="0.25">
      <c r="A1262" s="1" t="s">
        <v>1301</v>
      </c>
    </row>
    <row r="1263" spans="1:1" x14ac:dyDescent="0.25">
      <c r="A1263" s="1" t="s">
        <v>1302</v>
      </c>
    </row>
    <row r="1264" spans="1:1" x14ac:dyDescent="0.25">
      <c r="A1264" s="1" t="s">
        <v>1303</v>
      </c>
    </row>
    <row r="1265" spans="1:1" x14ac:dyDescent="0.25">
      <c r="A1265" s="1" t="s">
        <v>1304</v>
      </c>
    </row>
    <row r="1266" spans="1:1" x14ac:dyDescent="0.25">
      <c r="A1266" s="1" t="s">
        <v>1305</v>
      </c>
    </row>
    <row r="1267" spans="1:1" x14ac:dyDescent="0.25">
      <c r="A1267" s="1" t="s">
        <v>1306</v>
      </c>
    </row>
    <row r="1268" spans="1:1" x14ac:dyDescent="0.25">
      <c r="A1268" s="1" t="s">
        <v>1307</v>
      </c>
    </row>
    <row r="1269" spans="1:1" x14ac:dyDescent="0.25">
      <c r="A1269" s="1" t="s">
        <v>1308</v>
      </c>
    </row>
    <row r="1270" spans="1:1" x14ac:dyDescent="0.25">
      <c r="A1270" s="1" t="s">
        <v>1309</v>
      </c>
    </row>
    <row r="1271" spans="1:1" x14ac:dyDescent="0.25">
      <c r="A1271" s="1" t="s">
        <v>1310</v>
      </c>
    </row>
    <row r="1272" spans="1:1" x14ac:dyDescent="0.25">
      <c r="A1272" s="1" t="s">
        <v>1311</v>
      </c>
    </row>
    <row r="1273" spans="1:1" x14ac:dyDescent="0.25">
      <c r="A1273" s="1" t="s">
        <v>1312</v>
      </c>
    </row>
    <row r="1274" spans="1:1" x14ac:dyDescent="0.25">
      <c r="A1274" s="1" t="s">
        <v>1313</v>
      </c>
    </row>
    <row r="1275" spans="1:1" x14ac:dyDescent="0.25">
      <c r="A1275" s="1" t="s">
        <v>1314</v>
      </c>
    </row>
    <row r="1276" spans="1:1" x14ac:dyDescent="0.25">
      <c r="A1276" s="1" t="s">
        <v>1315</v>
      </c>
    </row>
    <row r="1277" spans="1:1" x14ac:dyDescent="0.25">
      <c r="A1277" s="1" t="s">
        <v>1316</v>
      </c>
    </row>
    <row r="1278" spans="1:1" x14ac:dyDescent="0.25">
      <c r="A1278" s="1" t="s">
        <v>1317</v>
      </c>
    </row>
    <row r="1279" spans="1:1" x14ac:dyDescent="0.25">
      <c r="A1279" s="1" t="s">
        <v>1318</v>
      </c>
    </row>
    <row r="1280" spans="1:1" x14ac:dyDescent="0.25">
      <c r="A1280" s="1" t="s">
        <v>1319</v>
      </c>
    </row>
    <row r="1281" spans="1:1" x14ac:dyDescent="0.25">
      <c r="A1281" s="1" t="s">
        <v>1320</v>
      </c>
    </row>
    <row r="1282" spans="1:1" x14ac:dyDescent="0.25">
      <c r="A1282" s="1" t="s">
        <v>1321</v>
      </c>
    </row>
    <row r="1283" spans="1:1" x14ac:dyDescent="0.25">
      <c r="A1283" s="1" t="s">
        <v>1322</v>
      </c>
    </row>
    <row r="1284" spans="1:1" x14ac:dyDescent="0.25">
      <c r="A1284" s="1" t="s">
        <v>1323</v>
      </c>
    </row>
    <row r="1285" spans="1:1" x14ac:dyDescent="0.25">
      <c r="A1285" s="1" t="s">
        <v>1324</v>
      </c>
    </row>
    <row r="1286" spans="1:1" x14ac:dyDescent="0.25">
      <c r="A1286" s="1" t="s">
        <v>1325</v>
      </c>
    </row>
    <row r="1287" spans="1:1" x14ac:dyDescent="0.25">
      <c r="A1287" s="1" t="s">
        <v>1326</v>
      </c>
    </row>
    <row r="1288" spans="1:1" x14ac:dyDescent="0.25">
      <c r="A1288" s="1" t="s">
        <v>1327</v>
      </c>
    </row>
    <row r="1289" spans="1:1" x14ac:dyDescent="0.25">
      <c r="A1289" s="1" t="s">
        <v>1328</v>
      </c>
    </row>
    <row r="1290" spans="1:1" x14ac:dyDescent="0.25">
      <c r="A1290" s="1" t="s">
        <v>1329</v>
      </c>
    </row>
    <row r="1291" spans="1:1" x14ac:dyDescent="0.25">
      <c r="A1291" s="1" t="s">
        <v>1330</v>
      </c>
    </row>
    <row r="1292" spans="1:1" x14ac:dyDescent="0.25">
      <c r="A1292" s="1" t="s">
        <v>1331</v>
      </c>
    </row>
    <row r="1293" spans="1:1" x14ac:dyDescent="0.25">
      <c r="A1293" s="1" t="s">
        <v>1332</v>
      </c>
    </row>
    <row r="1294" spans="1:1" x14ac:dyDescent="0.25">
      <c r="A1294" s="1" t="s">
        <v>1333</v>
      </c>
    </row>
    <row r="1295" spans="1:1" x14ac:dyDescent="0.25">
      <c r="A1295" s="1" t="s">
        <v>1334</v>
      </c>
    </row>
    <row r="1296" spans="1:1" x14ac:dyDescent="0.25">
      <c r="A1296" s="1" t="s">
        <v>1335</v>
      </c>
    </row>
    <row r="1297" spans="1:1" x14ac:dyDescent="0.25">
      <c r="A1297" s="1" t="s">
        <v>1336</v>
      </c>
    </row>
    <row r="1298" spans="1:1" x14ac:dyDescent="0.25">
      <c r="A1298" s="1" t="s">
        <v>1337</v>
      </c>
    </row>
    <row r="1299" spans="1:1" x14ac:dyDescent="0.25">
      <c r="A1299" s="1" t="s">
        <v>1338</v>
      </c>
    </row>
    <row r="1300" spans="1:1" x14ac:dyDescent="0.25">
      <c r="A1300" s="1" t="s">
        <v>1339</v>
      </c>
    </row>
    <row r="1301" spans="1:1" x14ac:dyDescent="0.25">
      <c r="A1301" s="1" t="s">
        <v>1340</v>
      </c>
    </row>
    <row r="1302" spans="1:1" x14ac:dyDescent="0.25">
      <c r="A1302" s="1" t="s">
        <v>1341</v>
      </c>
    </row>
    <row r="1303" spans="1:1" x14ac:dyDescent="0.25">
      <c r="A1303" s="1" t="s">
        <v>1342</v>
      </c>
    </row>
    <row r="1304" spans="1:1" x14ac:dyDescent="0.25">
      <c r="A1304" s="1" t="s">
        <v>1343</v>
      </c>
    </row>
    <row r="1305" spans="1:1" x14ac:dyDescent="0.25">
      <c r="A1305" s="1" t="s">
        <v>1344</v>
      </c>
    </row>
    <row r="1306" spans="1:1" x14ac:dyDescent="0.25">
      <c r="A1306" s="1" t="s">
        <v>1345</v>
      </c>
    </row>
    <row r="1307" spans="1:1" x14ac:dyDescent="0.25">
      <c r="A1307" s="1" t="s">
        <v>1346</v>
      </c>
    </row>
    <row r="1308" spans="1:1" x14ac:dyDescent="0.25">
      <c r="A1308" s="1" t="s">
        <v>1347</v>
      </c>
    </row>
    <row r="1309" spans="1:1" x14ac:dyDescent="0.25">
      <c r="A1309" s="1" t="s">
        <v>1348</v>
      </c>
    </row>
    <row r="1310" spans="1:1" x14ac:dyDescent="0.25">
      <c r="A1310" s="1" t="s">
        <v>1349</v>
      </c>
    </row>
    <row r="1311" spans="1:1" x14ac:dyDescent="0.25">
      <c r="A1311" s="1" t="s">
        <v>1350</v>
      </c>
    </row>
    <row r="1312" spans="1:1" x14ac:dyDescent="0.25">
      <c r="A1312" s="1" t="s">
        <v>1351</v>
      </c>
    </row>
    <row r="1313" spans="1:1" x14ac:dyDescent="0.25">
      <c r="A1313" s="1" t="s">
        <v>1352</v>
      </c>
    </row>
    <row r="1314" spans="1:1" x14ac:dyDescent="0.25">
      <c r="A1314" s="1" t="s">
        <v>1353</v>
      </c>
    </row>
    <row r="1315" spans="1:1" x14ac:dyDescent="0.25">
      <c r="A1315" s="1" t="s">
        <v>1354</v>
      </c>
    </row>
    <row r="1316" spans="1:1" x14ac:dyDescent="0.25">
      <c r="A1316" s="1" t="s">
        <v>1355</v>
      </c>
    </row>
    <row r="1317" spans="1:1" x14ac:dyDescent="0.25">
      <c r="A1317" s="1" t="s">
        <v>1356</v>
      </c>
    </row>
    <row r="1318" spans="1:1" x14ac:dyDescent="0.25">
      <c r="A1318" s="1" t="s">
        <v>1357</v>
      </c>
    </row>
    <row r="1319" spans="1:1" x14ac:dyDescent="0.25">
      <c r="A1319" s="1" t="s">
        <v>1358</v>
      </c>
    </row>
    <row r="1320" spans="1:1" x14ac:dyDescent="0.25">
      <c r="A1320" s="1" t="s">
        <v>1359</v>
      </c>
    </row>
    <row r="1321" spans="1:1" x14ac:dyDescent="0.25">
      <c r="A1321" s="1" t="s">
        <v>1360</v>
      </c>
    </row>
    <row r="1322" spans="1:1" x14ac:dyDescent="0.25">
      <c r="A1322" s="1" t="s">
        <v>1361</v>
      </c>
    </row>
    <row r="1323" spans="1:1" x14ac:dyDescent="0.25">
      <c r="A1323" s="1" t="s">
        <v>1362</v>
      </c>
    </row>
    <row r="1324" spans="1:1" x14ac:dyDescent="0.25">
      <c r="A1324" s="1" t="s">
        <v>1363</v>
      </c>
    </row>
    <row r="1325" spans="1:1" x14ac:dyDescent="0.25">
      <c r="A1325" s="1" t="s">
        <v>1364</v>
      </c>
    </row>
    <row r="1326" spans="1:1" x14ac:dyDescent="0.25">
      <c r="A1326" s="1" t="s">
        <v>1365</v>
      </c>
    </row>
    <row r="1327" spans="1:1" x14ac:dyDescent="0.25">
      <c r="A1327" s="1" t="s">
        <v>1366</v>
      </c>
    </row>
    <row r="1328" spans="1:1" x14ac:dyDescent="0.25">
      <c r="A1328" s="1" t="s">
        <v>1367</v>
      </c>
    </row>
    <row r="1329" spans="1:1" x14ac:dyDescent="0.25">
      <c r="A1329" s="1" t="s">
        <v>1368</v>
      </c>
    </row>
    <row r="1330" spans="1:1" x14ac:dyDescent="0.25">
      <c r="A1330" s="1" t="s">
        <v>1369</v>
      </c>
    </row>
    <row r="1331" spans="1:1" x14ac:dyDescent="0.25">
      <c r="A1331" s="1" t="s">
        <v>1370</v>
      </c>
    </row>
    <row r="1332" spans="1:1" x14ac:dyDescent="0.25">
      <c r="A1332" s="1" t="s">
        <v>1371</v>
      </c>
    </row>
    <row r="1333" spans="1:1" x14ac:dyDescent="0.25">
      <c r="A1333" s="1" t="s">
        <v>1372</v>
      </c>
    </row>
    <row r="1334" spans="1:1" x14ac:dyDescent="0.25">
      <c r="A1334" s="1" t="s">
        <v>1373</v>
      </c>
    </row>
    <row r="1335" spans="1:1" x14ac:dyDescent="0.25">
      <c r="A1335" s="1" t="s">
        <v>1374</v>
      </c>
    </row>
    <row r="1336" spans="1:1" x14ac:dyDescent="0.25">
      <c r="A1336" s="1" t="s">
        <v>1375</v>
      </c>
    </row>
    <row r="1337" spans="1:1" x14ac:dyDescent="0.25">
      <c r="A1337" s="1" t="s">
        <v>1376</v>
      </c>
    </row>
    <row r="1338" spans="1:1" x14ac:dyDescent="0.25">
      <c r="A1338" s="1" t="s">
        <v>1377</v>
      </c>
    </row>
    <row r="1339" spans="1:1" x14ac:dyDescent="0.25">
      <c r="A1339" s="1" t="s">
        <v>1378</v>
      </c>
    </row>
    <row r="1340" spans="1:1" x14ac:dyDescent="0.25">
      <c r="A1340" s="1" t="s">
        <v>1379</v>
      </c>
    </row>
    <row r="1341" spans="1:1" x14ac:dyDescent="0.25">
      <c r="A1341" s="1" t="s">
        <v>1380</v>
      </c>
    </row>
    <row r="1342" spans="1:1" x14ac:dyDescent="0.25">
      <c r="A1342" s="1" t="s">
        <v>1381</v>
      </c>
    </row>
    <row r="1343" spans="1:1" x14ac:dyDescent="0.25">
      <c r="A1343" s="1" t="s">
        <v>1382</v>
      </c>
    </row>
    <row r="1344" spans="1:1" x14ac:dyDescent="0.25">
      <c r="A1344" s="1" t="s">
        <v>1383</v>
      </c>
    </row>
    <row r="1345" spans="1:1" x14ac:dyDescent="0.25">
      <c r="A1345" s="1" t="s">
        <v>1384</v>
      </c>
    </row>
    <row r="1346" spans="1:1" x14ac:dyDescent="0.25">
      <c r="A1346" s="1" t="s">
        <v>1385</v>
      </c>
    </row>
    <row r="1347" spans="1:1" x14ac:dyDescent="0.25">
      <c r="A1347" s="1" t="s">
        <v>1386</v>
      </c>
    </row>
    <row r="1348" spans="1:1" x14ac:dyDescent="0.25">
      <c r="A1348" s="1" t="s">
        <v>1387</v>
      </c>
    </row>
    <row r="1349" spans="1:1" x14ac:dyDescent="0.25">
      <c r="A1349" s="1" t="s">
        <v>1388</v>
      </c>
    </row>
    <row r="1350" spans="1:1" x14ac:dyDescent="0.25">
      <c r="A1350" s="1" t="s">
        <v>1389</v>
      </c>
    </row>
    <row r="1351" spans="1:1" x14ac:dyDescent="0.25">
      <c r="A1351" s="1" t="s">
        <v>1390</v>
      </c>
    </row>
    <row r="1352" spans="1:1" x14ac:dyDescent="0.25">
      <c r="A1352" s="1" t="s">
        <v>1391</v>
      </c>
    </row>
    <row r="1353" spans="1:1" x14ac:dyDescent="0.25">
      <c r="A1353" s="1" t="s">
        <v>1392</v>
      </c>
    </row>
    <row r="1354" spans="1:1" x14ac:dyDescent="0.25">
      <c r="A1354" s="1" t="s">
        <v>1393</v>
      </c>
    </row>
    <row r="1355" spans="1:1" x14ac:dyDescent="0.25">
      <c r="A1355" s="1" t="s">
        <v>1394</v>
      </c>
    </row>
    <row r="1356" spans="1:1" x14ac:dyDescent="0.25">
      <c r="A1356" s="1" t="s">
        <v>1395</v>
      </c>
    </row>
    <row r="1357" spans="1:1" x14ac:dyDescent="0.25">
      <c r="A1357" s="1" t="s">
        <v>1396</v>
      </c>
    </row>
    <row r="1358" spans="1:1" x14ac:dyDescent="0.25">
      <c r="A1358" s="1" t="s">
        <v>1397</v>
      </c>
    </row>
    <row r="1359" spans="1:1" x14ac:dyDescent="0.25">
      <c r="A1359" s="1" t="s">
        <v>1398</v>
      </c>
    </row>
    <row r="1360" spans="1:1" x14ac:dyDescent="0.25">
      <c r="A1360" s="1" t="s">
        <v>1399</v>
      </c>
    </row>
    <row r="1361" spans="1:1" x14ac:dyDescent="0.25">
      <c r="A1361" s="1" t="s">
        <v>1400</v>
      </c>
    </row>
    <row r="1362" spans="1:1" x14ac:dyDescent="0.25">
      <c r="A1362" s="1" t="s">
        <v>1401</v>
      </c>
    </row>
    <row r="1363" spans="1:1" x14ac:dyDescent="0.25">
      <c r="A1363" s="1" t="s">
        <v>1402</v>
      </c>
    </row>
    <row r="1364" spans="1:1" x14ac:dyDescent="0.25">
      <c r="A1364" s="1" t="s">
        <v>1403</v>
      </c>
    </row>
    <row r="1365" spans="1:1" x14ac:dyDescent="0.25">
      <c r="A1365" s="1" t="s">
        <v>1404</v>
      </c>
    </row>
    <row r="1366" spans="1:1" x14ac:dyDescent="0.25">
      <c r="A1366" s="1" t="s">
        <v>1405</v>
      </c>
    </row>
    <row r="1367" spans="1:1" x14ac:dyDescent="0.25">
      <c r="A1367" s="1" t="s">
        <v>1406</v>
      </c>
    </row>
    <row r="1368" spans="1:1" x14ac:dyDescent="0.25">
      <c r="A1368" s="1" t="s">
        <v>1407</v>
      </c>
    </row>
    <row r="1369" spans="1:1" x14ac:dyDescent="0.25">
      <c r="A1369" s="1" t="s">
        <v>1408</v>
      </c>
    </row>
    <row r="1370" spans="1:1" x14ac:dyDescent="0.25">
      <c r="A1370" s="1" t="s">
        <v>1409</v>
      </c>
    </row>
    <row r="1371" spans="1:1" x14ac:dyDescent="0.25">
      <c r="A1371" s="1" t="s">
        <v>1410</v>
      </c>
    </row>
    <row r="1372" spans="1:1" x14ac:dyDescent="0.25">
      <c r="A1372" s="1" t="s">
        <v>1411</v>
      </c>
    </row>
    <row r="1373" spans="1:1" x14ac:dyDescent="0.25">
      <c r="A1373" s="1" t="s">
        <v>1412</v>
      </c>
    </row>
    <row r="1374" spans="1:1" x14ac:dyDescent="0.25">
      <c r="A1374" s="1" t="s">
        <v>1413</v>
      </c>
    </row>
    <row r="1375" spans="1:1" x14ac:dyDescent="0.25">
      <c r="A1375" s="1" t="s">
        <v>1414</v>
      </c>
    </row>
    <row r="1376" spans="1:1" x14ac:dyDescent="0.25">
      <c r="A1376" s="1" t="s">
        <v>1415</v>
      </c>
    </row>
    <row r="1377" spans="1:1" x14ac:dyDescent="0.25">
      <c r="A1377" s="1" t="s">
        <v>1416</v>
      </c>
    </row>
    <row r="1378" spans="1:1" x14ac:dyDescent="0.25">
      <c r="A1378" s="1" t="s">
        <v>1417</v>
      </c>
    </row>
    <row r="1379" spans="1:1" x14ac:dyDescent="0.25">
      <c r="A1379" s="1" t="s">
        <v>1418</v>
      </c>
    </row>
    <row r="1380" spans="1:1" x14ac:dyDescent="0.25">
      <c r="A1380" s="1" t="s">
        <v>1419</v>
      </c>
    </row>
    <row r="1381" spans="1:1" x14ac:dyDescent="0.25">
      <c r="A1381" s="1" t="s">
        <v>1420</v>
      </c>
    </row>
    <row r="1382" spans="1:1" x14ac:dyDescent="0.25">
      <c r="A1382" s="1" t="s">
        <v>1421</v>
      </c>
    </row>
    <row r="1383" spans="1:1" x14ac:dyDescent="0.25">
      <c r="A1383" s="1" t="s">
        <v>1422</v>
      </c>
    </row>
    <row r="1384" spans="1:1" x14ac:dyDescent="0.25">
      <c r="A1384" s="1" t="s">
        <v>1423</v>
      </c>
    </row>
    <row r="1385" spans="1:1" x14ac:dyDescent="0.25">
      <c r="A1385" s="1" t="s">
        <v>1424</v>
      </c>
    </row>
    <row r="1386" spans="1:1" x14ac:dyDescent="0.25">
      <c r="A1386" s="1" t="s">
        <v>1425</v>
      </c>
    </row>
    <row r="1387" spans="1:1" x14ac:dyDescent="0.25">
      <c r="A1387" s="1" t="s">
        <v>1426</v>
      </c>
    </row>
    <row r="1388" spans="1:1" x14ac:dyDescent="0.25">
      <c r="A1388" s="1" t="s">
        <v>1427</v>
      </c>
    </row>
    <row r="1389" spans="1:1" x14ac:dyDescent="0.25">
      <c r="A1389" s="1" t="s">
        <v>1428</v>
      </c>
    </row>
    <row r="1390" spans="1:1" x14ac:dyDescent="0.25">
      <c r="A1390" s="1" t="s">
        <v>1429</v>
      </c>
    </row>
    <row r="1391" spans="1:1" x14ac:dyDescent="0.25">
      <c r="A1391" s="1" t="s">
        <v>1430</v>
      </c>
    </row>
    <row r="1392" spans="1:1" x14ac:dyDescent="0.25">
      <c r="A1392" s="1" t="s">
        <v>1431</v>
      </c>
    </row>
    <row r="1393" spans="1:1" x14ac:dyDescent="0.25">
      <c r="A1393" s="1" t="s">
        <v>1432</v>
      </c>
    </row>
    <row r="1394" spans="1:1" x14ac:dyDescent="0.25">
      <c r="A1394" s="1" t="s">
        <v>1433</v>
      </c>
    </row>
    <row r="1395" spans="1:1" x14ac:dyDescent="0.25">
      <c r="A1395" s="1" t="s">
        <v>1434</v>
      </c>
    </row>
    <row r="1396" spans="1:1" x14ac:dyDescent="0.25">
      <c r="A1396" s="1" t="s">
        <v>1435</v>
      </c>
    </row>
    <row r="1397" spans="1:1" x14ac:dyDescent="0.25">
      <c r="A1397" s="1" t="s">
        <v>1436</v>
      </c>
    </row>
    <row r="1398" spans="1:1" x14ac:dyDescent="0.25">
      <c r="A1398" s="1" t="s">
        <v>1437</v>
      </c>
    </row>
    <row r="1399" spans="1:1" x14ac:dyDescent="0.25">
      <c r="A1399" s="1" t="s">
        <v>1438</v>
      </c>
    </row>
    <row r="1400" spans="1:1" x14ac:dyDescent="0.25">
      <c r="A1400" s="1" t="s">
        <v>1439</v>
      </c>
    </row>
    <row r="1401" spans="1:1" x14ac:dyDescent="0.25">
      <c r="A1401" s="1" t="s">
        <v>1440</v>
      </c>
    </row>
    <row r="1402" spans="1:1" x14ac:dyDescent="0.25">
      <c r="A1402" s="1" t="s">
        <v>1441</v>
      </c>
    </row>
    <row r="1403" spans="1:1" x14ac:dyDescent="0.25">
      <c r="A1403" s="1" t="s">
        <v>1442</v>
      </c>
    </row>
    <row r="1404" spans="1:1" x14ac:dyDescent="0.25">
      <c r="A1404" s="1" t="s">
        <v>1443</v>
      </c>
    </row>
    <row r="1405" spans="1:1" x14ac:dyDescent="0.25">
      <c r="A1405" s="1" t="s">
        <v>1444</v>
      </c>
    </row>
    <row r="1406" spans="1:1" x14ac:dyDescent="0.25">
      <c r="A1406" s="1" t="s">
        <v>1445</v>
      </c>
    </row>
    <row r="1407" spans="1:1" x14ac:dyDescent="0.25">
      <c r="A1407" s="1" t="s">
        <v>1446</v>
      </c>
    </row>
    <row r="1408" spans="1:1" x14ac:dyDescent="0.25">
      <c r="A1408" s="1" t="s">
        <v>1447</v>
      </c>
    </row>
    <row r="1409" spans="1:1" x14ac:dyDescent="0.25">
      <c r="A1409" s="1" t="s">
        <v>1448</v>
      </c>
    </row>
    <row r="1410" spans="1:1" x14ac:dyDescent="0.25">
      <c r="A1410" s="1" t="s">
        <v>1449</v>
      </c>
    </row>
    <row r="1411" spans="1:1" x14ac:dyDescent="0.25">
      <c r="A1411" s="1" t="s">
        <v>1450</v>
      </c>
    </row>
    <row r="1412" spans="1:1" x14ac:dyDescent="0.25">
      <c r="A1412" s="1" t="s">
        <v>1451</v>
      </c>
    </row>
    <row r="1413" spans="1:1" x14ac:dyDescent="0.25">
      <c r="A1413" s="1" t="s">
        <v>1452</v>
      </c>
    </row>
    <row r="1414" spans="1:1" x14ac:dyDescent="0.25">
      <c r="A1414" s="1" t="s">
        <v>1453</v>
      </c>
    </row>
    <row r="1415" spans="1:1" x14ac:dyDescent="0.25">
      <c r="A1415" s="1" t="s">
        <v>1454</v>
      </c>
    </row>
    <row r="1416" spans="1:1" x14ac:dyDescent="0.25">
      <c r="A1416" s="1" t="s">
        <v>1455</v>
      </c>
    </row>
    <row r="1417" spans="1:1" x14ac:dyDescent="0.25">
      <c r="A1417" s="1" t="s">
        <v>1456</v>
      </c>
    </row>
    <row r="1418" spans="1:1" x14ac:dyDescent="0.25">
      <c r="A1418" s="1" t="s">
        <v>1457</v>
      </c>
    </row>
    <row r="1419" spans="1:1" x14ac:dyDescent="0.25">
      <c r="A1419" s="1" t="s">
        <v>1458</v>
      </c>
    </row>
    <row r="1420" spans="1:1" x14ac:dyDescent="0.25">
      <c r="A1420" s="1" t="s">
        <v>1459</v>
      </c>
    </row>
    <row r="1421" spans="1:1" x14ac:dyDescent="0.25">
      <c r="A1421" s="1" t="s">
        <v>1460</v>
      </c>
    </row>
    <row r="1422" spans="1:1" x14ac:dyDescent="0.25">
      <c r="A1422" s="1" t="s">
        <v>1461</v>
      </c>
    </row>
    <row r="1423" spans="1:1" x14ac:dyDescent="0.25">
      <c r="A1423" s="1" t="s">
        <v>1462</v>
      </c>
    </row>
    <row r="1424" spans="1:1" x14ac:dyDescent="0.25">
      <c r="A1424" s="1" t="s">
        <v>1463</v>
      </c>
    </row>
    <row r="1425" spans="1:1" x14ac:dyDescent="0.25">
      <c r="A1425" s="1" t="s">
        <v>1464</v>
      </c>
    </row>
    <row r="1426" spans="1:1" x14ac:dyDescent="0.25">
      <c r="A1426" s="1" t="s">
        <v>1465</v>
      </c>
    </row>
    <row r="1427" spans="1:1" x14ac:dyDescent="0.25">
      <c r="A1427" s="1" t="s">
        <v>1466</v>
      </c>
    </row>
    <row r="1428" spans="1:1" x14ac:dyDescent="0.25">
      <c r="A1428" s="1" t="s">
        <v>1467</v>
      </c>
    </row>
    <row r="1429" spans="1:1" x14ac:dyDescent="0.25">
      <c r="A1429" s="1" t="s">
        <v>1468</v>
      </c>
    </row>
    <row r="1430" spans="1:1" x14ac:dyDescent="0.25">
      <c r="A1430" s="1" t="s">
        <v>1469</v>
      </c>
    </row>
    <row r="1431" spans="1:1" x14ac:dyDescent="0.25">
      <c r="A1431" s="1" t="s">
        <v>1470</v>
      </c>
    </row>
    <row r="1432" spans="1:1" x14ac:dyDescent="0.25">
      <c r="A1432" s="1" t="s">
        <v>1471</v>
      </c>
    </row>
    <row r="1433" spans="1:1" x14ac:dyDescent="0.25">
      <c r="A1433" s="1" t="s">
        <v>1472</v>
      </c>
    </row>
    <row r="1434" spans="1:1" x14ac:dyDescent="0.25">
      <c r="A1434" s="1" t="s">
        <v>1473</v>
      </c>
    </row>
    <row r="1435" spans="1:1" x14ac:dyDescent="0.25">
      <c r="A1435" s="1" t="s">
        <v>1474</v>
      </c>
    </row>
    <row r="1436" spans="1:1" x14ac:dyDescent="0.25">
      <c r="A1436" s="1" t="s">
        <v>1475</v>
      </c>
    </row>
    <row r="1437" spans="1:1" x14ac:dyDescent="0.25">
      <c r="A1437" s="1" t="s">
        <v>1476</v>
      </c>
    </row>
    <row r="1438" spans="1:1" x14ac:dyDescent="0.25">
      <c r="A1438" s="1" t="s">
        <v>1477</v>
      </c>
    </row>
    <row r="1439" spans="1:1" x14ac:dyDescent="0.25">
      <c r="A1439" s="1" t="s">
        <v>1478</v>
      </c>
    </row>
    <row r="1440" spans="1:1" x14ac:dyDescent="0.25">
      <c r="A1440" s="1" t="s">
        <v>1479</v>
      </c>
    </row>
    <row r="1441" spans="1:1" x14ac:dyDescent="0.25">
      <c r="A1441" s="1" t="s">
        <v>1480</v>
      </c>
    </row>
    <row r="1442" spans="1:1" x14ac:dyDescent="0.25">
      <c r="A1442" s="1" t="s">
        <v>1481</v>
      </c>
    </row>
    <row r="1443" spans="1:1" x14ac:dyDescent="0.25">
      <c r="A1443" s="1" t="s">
        <v>1482</v>
      </c>
    </row>
    <row r="1444" spans="1:1" x14ac:dyDescent="0.25">
      <c r="A1444" s="1" t="s">
        <v>1483</v>
      </c>
    </row>
    <row r="1445" spans="1:1" x14ac:dyDescent="0.25">
      <c r="A1445" s="1" t="s">
        <v>1484</v>
      </c>
    </row>
    <row r="1446" spans="1:1" x14ac:dyDescent="0.25">
      <c r="A1446" s="1" t="s">
        <v>1485</v>
      </c>
    </row>
    <row r="1447" spans="1:1" x14ac:dyDescent="0.25">
      <c r="A1447" s="1" t="s">
        <v>1486</v>
      </c>
    </row>
    <row r="1448" spans="1:1" x14ac:dyDescent="0.25">
      <c r="A1448" s="1" t="s">
        <v>1487</v>
      </c>
    </row>
    <row r="1449" spans="1:1" x14ac:dyDescent="0.25">
      <c r="A1449" s="1" t="s">
        <v>1488</v>
      </c>
    </row>
    <row r="1450" spans="1:1" x14ac:dyDescent="0.25">
      <c r="A1450" s="1" t="s">
        <v>1489</v>
      </c>
    </row>
    <row r="1451" spans="1:1" x14ac:dyDescent="0.25">
      <c r="A1451" s="1" t="s">
        <v>1490</v>
      </c>
    </row>
    <row r="1452" spans="1:1" x14ac:dyDescent="0.25">
      <c r="A1452" s="1" t="s">
        <v>1491</v>
      </c>
    </row>
    <row r="1453" spans="1:1" x14ac:dyDescent="0.25">
      <c r="A1453" s="1" t="s">
        <v>1492</v>
      </c>
    </row>
    <row r="1454" spans="1:1" x14ac:dyDescent="0.25">
      <c r="A1454" s="1" t="s">
        <v>1493</v>
      </c>
    </row>
    <row r="1455" spans="1:1" x14ac:dyDescent="0.25">
      <c r="A1455" s="1" t="s">
        <v>1494</v>
      </c>
    </row>
    <row r="1456" spans="1:1" x14ac:dyDescent="0.25">
      <c r="A1456" s="1" t="s">
        <v>1495</v>
      </c>
    </row>
    <row r="1457" spans="1:1" x14ac:dyDescent="0.25">
      <c r="A1457" s="1" t="s">
        <v>1496</v>
      </c>
    </row>
    <row r="1458" spans="1:1" x14ac:dyDescent="0.25">
      <c r="A1458" s="1" t="s">
        <v>1497</v>
      </c>
    </row>
    <row r="1459" spans="1:1" x14ac:dyDescent="0.25">
      <c r="A1459" s="1" t="s">
        <v>1498</v>
      </c>
    </row>
    <row r="1460" spans="1:1" x14ac:dyDescent="0.25">
      <c r="A1460" s="1" t="s">
        <v>1499</v>
      </c>
    </row>
    <row r="1461" spans="1:1" x14ac:dyDescent="0.25">
      <c r="A1461" s="1" t="s">
        <v>1500</v>
      </c>
    </row>
    <row r="1462" spans="1:1" x14ac:dyDescent="0.25">
      <c r="A1462" s="1" t="s">
        <v>1501</v>
      </c>
    </row>
    <row r="1463" spans="1:1" x14ac:dyDescent="0.25">
      <c r="A1463" s="1" t="s">
        <v>1502</v>
      </c>
    </row>
    <row r="1464" spans="1:1" x14ac:dyDescent="0.25">
      <c r="A1464" s="1" t="s">
        <v>1503</v>
      </c>
    </row>
    <row r="1465" spans="1:1" x14ac:dyDescent="0.25">
      <c r="A1465" s="1" t="s">
        <v>1504</v>
      </c>
    </row>
    <row r="1466" spans="1:1" x14ac:dyDescent="0.25">
      <c r="A1466" s="1" t="s">
        <v>1505</v>
      </c>
    </row>
    <row r="1467" spans="1:1" x14ac:dyDescent="0.25">
      <c r="A1467" s="1" t="s">
        <v>1506</v>
      </c>
    </row>
    <row r="1468" spans="1:1" x14ac:dyDescent="0.25">
      <c r="A1468" s="1" t="s">
        <v>1507</v>
      </c>
    </row>
    <row r="1469" spans="1:1" x14ac:dyDescent="0.25">
      <c r="A1469" s="1" t="s">
        <v>1508</v>
      </c>
    </row>
    <row r="1470" spans="1:1" x14ac:dyDescent="0.25">
      <c r="A1470" s="1" t="s">
        <v>1509</v>
      </c>
    </row>
    <row r="1471" spans="1:1" x14ac:dyDescent="0.25">
      <c r="A1471" s="1" t="s">
        <v>1510</v>
      </c>
    </row>
    <row r="1472" spans="1:1" x14ac:dyDescent="0.25">
      <c r="A1472" s="1" t="s">
        <v>1511</v>
      </c>
    </row>
    <row r="1473" spans="1:1" x14ac:dyDescent="0.25">
      <c r="A1473" s="1" t="s">
        <v>1512</v>
      </c>
    </row>
    <row r="1474" spans="1:1" x14ac:dyDescent="0.25">
      <c r="A1474" s="1" t="s">
        <v>1513</v>
      </c>
    </row>
    <row r="1475" spans="1:1" x14ac:dyDescent="0.25">
      <c r="A1475" s="1" t="s">
        <v>1514</v>
      </c>
    </row>
    <row r="1476" spans="1:1" x14ac:dyDescent="0.25">
      <c r="A1476" s="1" t="s">
        <v>1515</v>
      </c>
    </row>
    <row r="1477" spans="1:1" x14ac:dyDescent="0.25">
      <c r="A1477" s="1" t="s">
        <v>1516</v>
      </c>
    </row>
    <row r="1478" spans="1:1" x14ac:dyDescent="0.25">
      <c r="A1478" s="1" t="s">
        <v>1517</v>
      </c>
    </row>
    <row r="1479" spans="1:1" x14ac:dyDescent="0.25">
      <c r="A1479" s="1" t="s">
        <v>1518</v>
      </c>
    </row>
    <row r="1480" spans="1:1" x14ac:dyDescent="0.25">
      <c r="A1480" s="1" t="s">
        <v>1519</v>
      </c>
    </row>
    <row r="1481" spans="1:1" x14ac:dyDescent="0.25">
      <c r="A1481" s="1" t="s">
        <v>1520</v>
      </c>
    </row>
    <row r="1482" spans="1:1" x14ac:dyDescent="0.25">
      <c r="A1482" s="1" t="s">
        <v>1521</v>
      </c>
    </row>
    <row r="1483" spans="1:1" x14ac:dyDescent="0.25">
      <c r="A1483" s="1" t="s">
        <v>1522</v>
      </c>
    </row>
    <row r="1484" spans="1:1" x14ac:dyDescent="0.25">
      <c r="A1484" s="1" t="s">
        <v>1523</v>
      </c>
    </row>
    <row r="1485" spans="1:1" x14ac:dyDescent="0.25">
      <c r="A1485" s="1" t="s">
        <v>1524</v>
      </c>
    </row>
    <row r="1486" spans="1:1" x14ac:dyDescent="0.25">
      <c r="A1486" s="1" t="s">
        <v>1525</v>
      </c>
    </row>
    <row r="1487" spans="1:1" x14ac:dyDescent="0.25">
      <c r="A1487" s="1" t="s">
        <v>1526</v>
      </c>
    </row>
    <row r="1488" spans="1:1" x14ac:dyDescent="0.25">
      <c r="A1488" s="1" t="s">
        <v>1527</v>
      </c>
    </row>
    <row r="1489" spans="1:1" x14ac:dyDescent="0.25">
      <c r="A1489" s="1" t="s">
        <v>1528</v>
      </c>
    </row>
    <row r="1490" spans="1:1" x14ac:dyDescent="0.25">
      <c r="A1490" s="1" t="s">
        <v>1529</v>
      </c>
    </row>
    <row r="1491" spans="1:1" x14ac:dyDescent="0.25">
      <c r="A1491" s="1" t="s">
        <v>1530</v>
      </c>
    </row>
    <row r="1492" spans="1:1" x14ac:dyDescent="0.25">
      <c r="A1492" s="1" t="s">
        <v>1531</v>
      </c>
    </row>
    <row r="1493" spans="1:1" x14ac:dyDescent="0.25">
      <c r="A1493" s="1" t="s">
        <v>1532</v>
      </c>
    </row>
    <row r="1494" spans="1:1" x14ac:dyDescent="0.25">
      <c r="A1494" s="1" t="s">
        <v>1533</v>
      </c>
    </row>
    <row r="1495" spans="1:1" x14ac:dyDescent="0.25">
      <c r="A1495" s="1" t="s">
        <v>1534</v>
      </c>
    </row>
    <row r="1496" spans="1:1" x14ac:dyDescent="0.25">
      <c r="A1496" s="1" t="s">
        <v>1535</v>
      </c>
    </row>
    <row r="1497" spans="1:1" x14ac:dyDescent="0.25">
      <c r="A1497" s="1" t="s">
        <v>1536</v>
      </c>
    </row>
    <row r="1498" spans="1:1" x14ac:dyDescent="0.25">
      <c r="A1498" s="1" t="s">
        <v>1537</v>
      </c>
    </row>
    <row r="1499" spans="1:1" x14ac:dyDescent="0.25">
      <c r="A1499" s="1" t="s">
        <v>1538</v>
      </c>
    </row>
    <row r="1500" spans="1:1" x14ac:dyDescent="0.25">
      <c r="A1500" s="1" t="s">
        <v>1539</v>
      </c>
    </row>
    <row r="1501" spans="1:1" x14ac:dyDescent="0.25">
      <c r="A1501" s="1" t="s">
        <v>1540</v>
      </c>
    </row>
    <row r="1502" spans="1:1" x14ac:dyDescent="0.25">
      <c r="A1502" s="1" t="s">
        <v>1541</v>
      </c>
    </row>
    <row r="1503" spans="1:1" x14ac:dyDescent="0.25">
      <c r="A1503" s="1" t="s">
        <v>1542</v>
      </c>
    </row>
    <row r="1504" spans="1:1" x14ac:dyDescent="0.25">
      <c r="A1504" s="1" t="s">
        <v>1543</v>
      </c>
    </row>
    <row r="1505" spans="1:1" x14ac:dyDescent="0.25">
      <c r="A1505" s="1" t="s">
        <v>1544</v>
      </c>
    </row>
    <row r="1506" spans="1:1" x14ac:dyDescent="0.25">
      <c r="A1506" s="1" t="s">
        <v>1545</v>
      </c>
    </row>
    <row r="1507" spans="1:1" x14ac:dyDescent="0.25">
      <c r="A1507" s="1" t="s">
        <v>1546</v>
      </c>
    </row>
    <row r="1508" spans="1:1" x14ac:dyDescent="0.25">
      <c r="A1508" s="1" t="s">
        <v>1547</v>
      </c>
    </row>
    <row r="1509" spans="1:1" x14ac:dyDescent="0.25">
      <c r="A1509" s="1" t="s">
        <v>1548</v>
      </c>
    </row>
    <row r="1510" spans="1:1" x14ac:dyDescent="0.25">
      <c r="A1510" s="1" t="s">
        <v>1549</v>
      </c>
    </row>
    <row r="1511" spans="1:1" x14ac:dyDescent="0.25">
      <c r="A1511" s="1" t="s">
        <v>1550</v>
      </c>
    </row>
    <row r="1512" spans="1:1" x14ac:dyDescent="0.25">
      <c r="A1512" s="1" t="s">
        <v>1551</v>
      </c>
    </row>
    <row r="1513" spans="1:1" x14ac:dyDescent="0.25">
      <c r="A1513" s="1" t="s">
        <v>1552</v>
      </c>
    </row>
    <row r="1514" spans="1:1" x14ac:dyDescent="0.25">
      <c r="A1514" s="1" t="s">
        <v>1553</v>
      </c>
    </row>
    <row r="1515" spans="1:1" x14ac:dyDescent="0.25">
      <c r="A1515" s="1" t="s">
        <v>1554</v>
      </c>
    </row>
    <row r="1516" spans="1:1" x14ac:dyDescent="0.25">
      <c r="A1516" s="1" t="s">
        <v>1555</v>
      </c>
    </row>
    <row r="1517" spans="1:1" x14ac:dyDescent="0.25">
      <c r="A1517" s="1" t="s">
        <v>1556</v>
      </c>
    </row>
    <row r="1518" spans="1:1" x14ac:dyDescent="0.25">
      <c r="A1518" s="1" t="s">
        <v>1557</v>
      </c>
    </row>
    <row r="1519" spans="1:1" x14ac:dyDescent="0.25">
      <c r="A1519" s="1" t="s">
        <v>1558</v>
      </c>
    </row>
    <row r="1520" spans="1:1" x14ac:dyDescent="0.25">
      <c r="A1520" s="1" t="s">
        <v>1559</v>
      </c>
    </row>
    <row r="1521" spans="1:1" x14ac:dyDescent="0.25">
      <c r="A1521" s="1" t="s">
        <v>1560</v>
      </c>
    </row>
    <row r="1522" spans="1:1" x14ac:dyDescent="0.25">
      <c r="A1522" s="1" t="s">
        <v>1561</v>
      </c>
    </row>
    <row r="1523" spans="1:1" x14ac:dyDescent="0.25">
      <c r="A1523" s="1" t="s">
        <v>1562</v>
      </c>
    </row>
    <row r="1524" spans="1:1" x14ac:dyDescent="0.25">
      <c r="A1524" s="1" t="s">
        <v>1563</v>
      </c>
    </row>
    <row r="1525" spans="1:1" x14ac:dyDescent="0.25">
      <c r="A1525" s="1" t="s">
        <v>1564</v>
      </c>
    </row>
    <row r="1526" spans="1:1" x14ac:dyDescent="0.25">
      <c r="A1526" s="1" t="s">
        <v>1565</v>
      </c>
    </row>
    <row r="1527" spans="1:1" x14ac:dyDescent="0.25">
      <c r="A1527" s="1" t="s">
        <v>1566</v>
      </c>
    </row>
    <row r="1528" spans="1:1" x14ac:dyDescent="0.25">
      <c r="A1528" s="1" t="s">
        <v>1567</v>
      </c>
    </row>
    <row r="1529" spans="1:1" x14ac:dyDescent="0.25">
      <c r="A1529" s="1" t="s">
        <v>1568</v>
      </c>
    </row>
    <row r="1530" spans="1:1" x14ac:dyDescent="0.25">
      <c r="A1530" s="1" t="s">
        <v>1569</v>
      </c>
    </row>
    <row r="1531" spans="1:1" x14ac:dyDescent="0.25">
      <c r="A1531" s="1" t="s">
        <v>1570</v>
      </c>
    </row>
    <row r="1532" spans="1:1" x14ac:dyDescent="0.25">
      <c r="A1532" s="1" t="s">
        <v>1571</v>
      </c>
    </row>
    <row r="1533" spans="1:1" x14ac:dyDescent="0.25">
      <c r="A1533" s="1" t="s">
        <v>1572</v>
      </c>
    </row>
    <row r="1534" spans="1:1" x14ac:dyDescent="0.25">
      <c r="A1534" s="1" t="s">
        <v>1573</v>
      </c>
    </row>
    <row r="1535" spans="1:1" x14ac:dyDescent="0.25">
      <c r="A1535" s="1" t="s">
        <v>1574</v>
      </c>
    </row>
    <row r="1536" spans="1:1" x14ac:dyDescent="0.25">
      <c r="A1536" s="1" t="s">
        <v>1575</v>
      </c>
    </row>
    <row r="1537" spans="1:1" x14ac:dyDescent="0.25">
      <c r="A1537" s="1" t="s">
        <v>1576</v>
      </c>
    </row>
    <row r="1538" spans="1:1" x14ac:dyDescent="0.25">
      <c r="A1538" s="1" t="s">
        <v>1577</v>
      </c>
    </row>
    <row r="1539" spans="1:1" x14ac:dyDescent="0.25">
      <c r="A1539" s="1" t="s">
        <v>1578</v>
      </c>
    </row>
    <row r="1540" spans="1:1" x14ac:dyDescent="0.25">
      <c r="A1540" s="1" t="s">
        <v>1579</v>
      </c>
    </row>
    <row r="1541" spans="1:1" x14ac:dyDescent="0.25">
      <c r="A1541" s="1" t="s">
        <v>1580</v>
      </c>
    </row>
    <row r="1542" spans="1:1" x14ac:dyDescent="0.25">
      <c r="A1542" s="1" t="s">
        <v>1581</v>
      </c>
    </row>
    <row r="1543" spans="1:1" x14ac:dyDescent="0.25">
      <c r="A1543" s="1" t="s">
        <v>1582</v>
      </c>
    </row>
    <row r="1544" spans="1:1" x14ac:dyDescent="0.25">
      <c r="A1544" s="1" t="s">
        <v>1583</v>
      </c>
    </row>
    <row r="1545" spans="1:1" x14ac:dyDescent="0.25">
      <c r="A1545" s="1" t="s">
        <v>1584</v>
      </c>
    </row>
    <row r="1546" spans="1:1" x14ac:dyDescent="0.25">
      <c r="A1546" s="1" t="s">
        <v>1585</v>
      </c>
    </row>
    <row r="1547" spans="1:1" x14ac:dyDescent="0.25">
      <c r="A1547" s="1" t="s">
        <v>1586</v>
      </c>
    </row>
    <row r="1548" spans="1:1" x14ac:dyDescent="0.25">
      <c r="A1548" s="1" t="s">
        <v>1587</v>
      </c>
    </row>
    <row r="1549" spans="1:1" x14ac:dyDescent="0.25">
      <c r="A1549" s="1" t="s">
        <v>1588</v>
      </c>
    </row>
    <row r="1550" spans="1:1" x14ac:dyDescent="0.25">
      <c r="A1550" s="1" t="s">
        <v>1589</v>
      </c>
    </row>
    <row r="1551" spans="1:1" x14ac:dyDescent="0.25">
      <c r="A1551" s="1" t="s">
        <v>1590</v>
      </c>
    </row>
    <row r="1552" spans="1:1" x14ac:dyDescent="0.25">
      <c r="A1552" s="1" t="s">
        <v>1591</v>
      </c>
    </row>
    <row r="1553" spans="1:1" x14ac:dyDescent="0.25">
      <c r="A1553" s="1" t="s">
        <v>1592</v>
      </c>
    </row>
    <row r="1554" spans="1:1" x14ac:dyDescent="0.25">
      <c r="A1554" s="1" t="s">
        <v>1593</v>
      </c>
    </row>
    <row r="1555" spans="1:1" x14ac:dyDescent="0.25">
      <c r="A1555" s="1" t="s">
        <v>1594</v>
      </c>
    </row>
    <row r="1556" spans="1:1" x14ac:dyDescent="0.25">
      <c r="A1556" s="1" t="s">
        <v>1595</v>
      </c>
    </row>
    <row r="1557" spans="1:1" x14ac:dyDescent="0.25">
      <c r="A1557" s="1" t="s">
        <v>1596</v>
      </c>
    </row>
    <row r="1558" spans="1:1" x14ac:dyDescent="0.25">
      <c r="A1558" s="1" t="s">
        <v>1597</v>
      </c>
    </row>
    <row r="1559" spans="1:1" x14ac:dyDescent="0.25">
      <c r="A1559" s="1" t="s">
        <v>1598</v>
      </c>
    </row>
    <row r="1560" spans="1:1" x14ac:dyDescent="0.25">
      <c r="A1560" s="1" t="s">
        <v>1599</v>
      </c>
    </row>
    <row r="1561" spans="1:1" x14ac:dyDescent="0.25">
      <c r="A1561" s="1" t="s">
        <v>1600</v>
      </c>
    </row>
    <row r="1562" spans="1:1" x14ac:dyDescent="0.25">
      <c r="A1562" s="1" t="s">
        <v>1601</v>
      </c>
    </row>
    <row r="1563" spans="1:1" x14ac:dyDescent="0.25">
      <c r="A1563" s="1" t="s">
        <v>1602</v>
      </c>
    </row>
    <row r="1564" spans="1:1" x14ac:dyDescent="0.25">
      <c r="A1564" s="1" t="s">
        <v>1603</v>
      </c>
    </row>
    <row r="1565" spans="1:1" x14ac:dyDescent="0.25">
      <c r="A1565" s="1" t="s">
        <v>1604</v>
      </c>
    </row>
    <row r="1566" spans="1:1" x14ac:dyDescent="0.25">
      <c r="A1566" s="1" t="s">
        <v>1605</v>
      </c>
    </row>
    <row r="1567" spans="1:1" x14ac:dyDescent="0.25">
      <c r="A1567" s="1" t="s">
        <v>1606</v>
      </c>
    </row>
    <row r="1568" spans="1:1" x14ac:dyDescent="0.25">
      <c r="A1568" s="1" t="s">
        <v>1607</v>
      </c>
    </row>
    <row r="1569" spans="1:1" x14ac:dyDescent="0.25">
      <c r="A1569" s="1" t="s">
        <v>1608</v>
      </c>
    </row>
    <row r="1570" spans="1:1" x14ac:dyDescent="0.25">
      <c r="A1570" s="1" t="s">
        <v>1609</v>
      </c>
    </row>
    <row r="1571" spans="1:1" x14ac:dyDescent="0.25">
      <c r="A1571" s="1" t="s">
        <v>1610</v>
      </c>
    </row>
    <row r="1572" spans="1:1" x14ac:dyDescent="0.25">
      <c r="A1572" s="1" t="s">
        <v>1611</v>
      </c>
    </row>
    <row r="1573" spans="1:1" x14ac:dyDescent="0.25">
      <c r="A1573" s="1" t="s">
        <v>1612</v>
      </c>
    </row>
    <row r="1574" spans="1:1" x14ac:dyDescent="0.25">
      <c r="A1574" s="1" t="s">
        <v>1613</v>
      </c>
    </row>
    <row r="1575" spans="1:1" x14ac:dyDescent="0.25">
      <c r="A1575" s="1" t="s">
        <v>1614</v>
      </c>
    </row>
    <row r="1576" spans="1:1" x14ac:dyDescent="0.25">
      <c r="A1576" s="1" t="s">
        <v>1615</v>
      </c>
    </row>
    <row r="1577" spans="1:1" x14ac:dyDescent="0.25">
      <c r="A1577" s="1" t="s">
        <v>1616</v>
      </c>
    </row>
    <row r="1578" spans="1:1" x14ac:dyDescent="0.25">
      <c r="A1578" s="1" t="s">
        <v>1617</v>
      </c>
    </row>
    <row r="1579" spans="1:1" x14ac:dyDescent="0.25">
      <c r="A1579" s="1" t="s">
        <v>1618</v>
      </c>
    </row>
    <row r="1580" spans="1:1" x14ac:dyDescent="0.25">
      <c r="A1580" s="1" t="s">
        <v>1619</v>
      </c>
    </row>
    <row r="1581" spans="1:1" x14ac:dyDescent="0.25">
      <c r="A1581" s="1" t="s">
        <v>1620</v>
      </c>
    </row>
    <row r="1582" spans="1:1" x14ac:dyDescent="0.25">
      <c r="A1582" s="1" t="s">
        <v>1621</v>
      </c>
    </row>
    <row r="1583" spans="1:1" x14ac:dyDescent="0.25">
      <c r="A1583" s="1" t="s">
        <v>1622</v>
      </c>
    </row>
    <row r="1584" spans="1:1" x14ac:dyDescent="0.25">
      <c r="A1584" s="1" t="s">
        <v>1623</v>
      </c>
    </row>
    <row r="1585" spans="1:1" x14ac:dyDescent="0.25">
      <c r="A1585" s="1" t="s">
        <v>1624</v>
      </c>
    </row>
    <row r="1586" spans="1:1" x14ac:dyDescent="0.25">
      <c r="A1586" s="1" t="s">
        <v>1625</v>
      </c>
    </row>
    <row r="1587" spans="1:1" x14ac:dyDescent="0.25">
      <c r="A1587" s="1" t="s">
        <v>1626</v>
      </c>
    </row>
    <row r="1588" spans="1:1" x14ac:dyDescent="0.25">
      <c r="A1588" s="1" t="s">
        <v>1627</v>
      </c>
    </row>
    <row r="1589" spans="1:1" x14ac:dyDescent="0.25">
      <c r="A1589" s="1" t="s">
        <v>1628</v>
      </c>
    </row>
    <row r="1590" spans="1:1" x14ac:dyDescent="0.25">
      <c r="A1590" s="1" t="s">
        <v>1629</v>
      </c>
    </row>
    <row r="1591" spans="1:1" x14ac:dyDescent="0.25">
      <c r="A1591" s="1" t="s">
        <v>1630</v>
      </c>
    </row>
    <row r="1592" spans="1:1" x14ac:dyDescent="0.25">
      <c r="A1592" s="1" t="s">
        <v>1631</v>
      </c>
    </row>
    <row r="1593" spans="1:1" x14ac:dyDescent="0.25">
      <c r="A1593" s="1" t="s">
        <v>1632</v>
      </c>
    </row>
    <row r="1594" spans="1:1" x14ac:dyDescent="0.25">
      <c r="A1594" s="1" t="s">
        <v>1633</v>
      </c>
    </row>
    <row r="1595" spans="1:1" x14ac:dyDescent="0.25">
      <c r="A1595" s="1" t="s">
        <v>1634</v>
      </c>
    </row>
    <row r="1596" spans="1:1" x14ac:dyDescent="0.25">
      <c r="A1596" s="1" t="s">
        <v>1635</v>
      </c>
    </row>
    <row r="1597" spans="1:1" x14ac:dyDescent="0.25">
      <c r="A1597" s="1" t="s">
        <v>1636</v>
      </c>
    </row>
    <row r="1598" spans="1:1" x14ac:dyDescent="0.25">
      <c r="A1598" s="1" t="s">
        <v>1637</v>
      </c>
    </row>
    <row r="1599" spans="1:1" x14ac:dyDescent="0.25">
      <c r="A1599" s="1" t="s">
        <v>1638</v>
      </c>
    </row>
    <row r="1600" spans="1:1" x14ac:dyDescent="0.25">
      <c r="A1600" s="1" t="s">
        <v>1639</v>
      </c>
    </row>
    <row r="1601" spans="1:1" x14ac:dyDescent="0.25">
      <c r="A1601" s="1" t="s">
        <v>1640</v>
      </c>
    </row>
    <row r="1602" spans="1:1" x14ac:dyDescent="0.25">
      <c r="A1602" s="1" t="s">
        <v>1641</v>
      </c>
    </row>
    <row r="1603" spans="1:1" x14ac:dyDescent="0.25">
      <c r="A1603" s="1" t="s">
        <v>1642</v>
      </c>
    </row>
    <row r="1604" spans="1:1" x14ac:dyDescent="0.25">
      <c r="A1604" s="1" t="s">
        <v>1643</v>
      </c>
    </row>
    <row r="1605" spans="1:1" x14ac:dyDescent="0.25">
      <c r="A1605" s="1" t="s">
        <v>1644</v>
      </c>
    </row>
    <row r="1606" spans="1:1" x14ac:dyDescent="0.25">
      <c r="A1606" s="1" t="s">
        <v>1645</v>
      </c>
    </row>
    <row r="1607" spans="1:1" x14ac:dyDescent="0.25">
      <c r="A1607" s="1" t="s">
        <v>1646</v>
      </c>
    </row>
    <row r="1608" spans="1:1" x14ac:dyDescent="0.25">
      <c r="A1608" s="1" t="s">
        <v>1647</v>
      </c>
    </row>
    <row r="1609" spans="1:1" x14ac:dyDescent="0.25">
      <c r="A1609" s="1" t="s">
        <v>1648</v>
      </c>
    </row>
    <row r="1610" spans="1:1" x14ac:dyDescent="0.25">
      <c r="A1610" s="1" t="s">
        <v>1649</v>
      </c>
    </row>
    <row r="1611" spans="1:1" x14ac:dyDescent="0.25">
      <c r="A1611" s="1" t="s">
        <v>1650</v>
      </c>
    </row>
    <row r="1612" spans="1:1" x14ac:dyDescent="0.25">
      <c r="A1612" s="1" t="s">
        <v>1651</v>
      </c>
    </row>
    <row r="1613" spans="1:1" x14ac:dyDescent="0.25">
      <c r="A1613" s="1" t="s">
        <v>1652</v>
      </c>
    </row>
    <row r="1614" spans="1:1" x14ac:dyDescent="0.25">
      <c r="A1614" s="1" t="s">
        <v>1653</v>
      </c>
    </row>
    <row r="1615" spans="1:1" x14ac:dyDescent="0.25">
      <c r="A1615" s="1" t="s">
        <v>1654</v>
      </c>
    </row>
    <row r="1616" spans="1:1" x14ac:dyDescent="0.25">
      <c r="A1616" s="1" t="s">
        <v>1655</v>
      </c>
    </row>
    <row r="1617" spans="1:1" x14ac:dyDescent="0.25">
      <c r="A1617" s="1" t="s">
        <v>1656</v>
      </c>
    </row>
    <row r="1618" spans="1:1" x14ac:dyDescent="0.25">
      <c r="A1618" s="1" t="s">
        <v>1657</v>
      </c>
    </row>
    <row r="1619" spans="1:1" x14ac:dyDescent="0.25">
      <c r="A1619" s="1" t="s">
        <v>1658</v>
      </c>
    </row>
    <row r="1620" spans="1:1" x14ac:dyDescent="0.25">
      <c r="A1620" s="1" t="s">
        <v>1659</v>
      </c>
    </row>
    <row r="1621" spans="1:1" x14ac:dyDescent="0.25">
      <c r="A1621" s="1" t="s">
        <v>1660</v>
      </c>
    </row>
    <row r="1622" spans="1:1" x14ac:dyDescent="0.25">
      <c r="A1622" s="1" t="s">
        <v>1661</v>
      </c>
    </row>
    <row r="1623" spans="1:1" x14ac:dyDescent="0.25">
      <c r="A1623" s="1" t="s">
        <v>1662</v>
      </c>
    </row>
    <row r="1624" spans="1:1" x14ac:dyDescent="0.25">
      <c r="A1624" s="1" t="s">
        <v>1663</v>
      </c>
    </row>
    <row r="1625" spans="1:1" x14ac:dyDescent="0.25">
      <c r="A1625" s="1" t="s">
        <v>1664</v>
      </c>
    </row>
    <row r="1626" spans="1:1" x14ac:dyDescent="0.25">
      <c r="A1626" s="1" t="s">
        <v>1665</v>
      </c>
    </row>
    <row r="1627" spans="1:1" x14ac:dyDescent="0.25">
      <c r="A1627" s="1" t="s">
        <v>1666</v>
      </c>
    </row>
    <row r="1628" spans="1:1" x14ac:dyDescent="0.25">
      <c r="A1628" s="1" t="s">
        <v>1667</v>
      </c>
    </row>
    <row r="1629" spans="1:1" x14ac:dyDescent="0.25">
      <c r="A1629" s="1" t="s">
        <v>1668</v>
      </c>
    </row>
    <row r="1630" spans="1:1" x14ac:dyDescent="0.25">
      <c r="A1630" s="1" t="s">
        <v>1669</v>
      </c>
    </row>
    <row r="1631" spans="1:1" x14ac:dyDescent="0.25">
      <c r="A1631" s="1" t="s">
        <v>1670</v>
      </c>
    </row>
    <row r="1632" spans="1:1" x14ac:dyDescent="0.25">
      <c r="A1632" s="1" t="s">
        <v>1671</v>
      </c>
    </row>
    <row r="1633" spans="1:1" x14ac:dyDescent="0.25">
      <c r="A1633" s="1" t="s">
        <v>1672</v>
      </c>
    </row>
    <row r="1634" spans="1:1" x14ac:dyDescent="0.25">
      <c r="A1634" s="1" t="s">
        <v>1673</v>
      </c>
    </row>
    <row r="1635" spans="1:1" x14ac:dyDescent="0.25">
      <c r="A1635" s="1" t="s">
        <v>1674</v>
      </c>
    </row>
    <row r="1636" spans="1:1" x14ac:dyDescent="0.25">
      <c r="A1636" s="1" t="s">
        <v>1675</v>
      </c>
    </row>
    <row r="1637" spans="1:1" x14ac:dyDescent="0.25">
      <c r="A1637" s="1" t="s">
        <v>1676</v>
      </c>
    </row>
    <row r="1638" spans="1:1" x14ac:dyDescent="0.25">
      <c r="A1638" s="1" t="s">
        <v>1677</v>
      </c>
    </row>
    <row r="1639" spans="1:1" x14ac:dyDescent="0.25">
      <c r="A1639" s="1" t="s">
        <v>1678</v>
      </c>
    </row>
    <row r="1640" spans="1:1" x14ac:dyDescent="0.25">
      <c r="A1640" s="1" t="s">
        <v>1679</v>
      </c>
    </row>
    <row r="1641" spans="1:1" x14ac:dyDescent="0.25">
      <c r="A1641" s="1" t="s">
        <v>1680</v>
      </c>
    </row>
    <row r="1642" spans="1:1" x14ac:dyDescent="0.25">
      <c r="A1642" s="1" t="s">
        <v>1681</v>
      </c>
    </row>
    <row r="1643" spans="1:1" x14ac:dyDescent="0.25">
      <c r="A1643" s="1" t="s">
        <v>1682</v>
      </c>
    </row>
    <row r="1644" spans="1:1" x14ac:dyDescent="0.25">
      <c r="A1644" s="1" t="s">
        <v>1683</v>
      </c>
    </row>
    <row r="1645" spans="1:1" x14ac:dyDescent="0.25">
      <c r="A1645" s="1" t="s">
        <v>1684</v>
      </c>
    </row>
    <row r="1646" spans="1:1" x14ac:dyDescent="0.25">
      <c r="A1646" s="1" t="s">
        <v>1685</v>
      </c>
    </row>
    <row r="1647" spans="1:1" x14ac:dyDescent="0.25">
      <c r="A1647" s="1" t="s">
        <v>1686</v>
      </c>
    </row>
    <row r="1648" spans="1:1" x14ac:dyDescent="0.25">
      <c r="A1648" s="1" t="s">
        <v>1687</v>
      </c>
    </row>
    <row r="1649" spans="1:1" x14ac:dyDescent="0.25">
      <c r="A1649" s="1" t="s">
        <v>1688</v>
      </c>
    </row>
    <row r="1650" spans="1:1" x14ac:dyDescent="0.25">
      <c r="A1650" s="1" t="s">
        <v>1689</v>
      </c>
    </row>
    <row r="1651" spans="1:1" x14ac:dyDescent="0.25">
      <c r="A1651" s="1" t="s">
        <v>1690</v>
      </c>
    </row>
    <row r="1652" spans="1:1" x14ac:dyDescent="0.25">
      <c r="A1652" s="1" t="s">
        <v>1691</v>
      </c>
    </row>
    <row r="1653" spans="1:1" x14ac:dyDescent="0.25">
      <c r="A1653" s="1" t="s">
        <v>1692</v>
      </c>
    </row>
    <row r="1654" spans="1:1" x14ac:dyDescent="0.25">
      <c r="A1654" s="1" t="s">
        <v>1693</v>
      </c>
    </row>
    <row r="1655" spans="1:1" x14ac:dyDescent="0.25">
      <c r="A1655" s="1" t="s">
        <v>1694</v>
      </c>
    </row>
    <row r="1656" spans="1:1" x14ac:dyDescent="0.25">
      <c r="A1656" s="1" t="s">
        <v>1695</v>
      </c>
    </row>
    <row r="1657" spans="1:1" x14ac:dyDescent="0.25">
      <c r="A1657" s="1" t="s">
        <v>1696</v>
      </c>
    </row>
    <row r="1658" spans="1:1" x14ac:dyDescent="0.25">
      <c r="A1658" s="1" t="s">
        <v>1697</v>
      </c>
    </row>
    <row r="1659" spans="1:1" x14ac:dyDescent="0.25">
      <c r="A1659" s="1" t="s">
        <v>1698</v>
      </c>
    </row>
    <row r="1660" spans="1:1" x14ac:dyDescent="0.25">
      <c r="A1660" s="1" t="s">
        <v>1699</v>
      </c>
    </row>
    <row r="1661" spans="1:1" x14ac:dyDescent="0.25">
      <c r="A1661" s="1" t="s">
        <v>1700</v>
      </c>
    </row>
    <row r="1662" spans="1:1" x14ac:dyDescent="0.25">
      <c r="A1662" s="1" t="s">
        <v>1701</v>
      </c>
    </row>
    <row r="1663" spans="1:1" x14ac:dyDescent="0.25">
      <c r="A1663" s="1" t="s">
        <v>1702</v>
      </c>
    </row>
    <row r="1664" spans="1:1" x14ac:dyDescent="0.25">
      <c r="A1664" s="1" t="s">
        <v>1703</v>
      </c>
    </row>
    <row r="1665" spans="1:1" x14ac:dyDescent="0.25">
      <c r="A1665" s="1" t="s">
        <v>1704</v>
      </c>
    </row>
    <row r="1666" spans="1:1" x14ac:dyDescent="0.25">
      <c r="A1666" s="1" t="s">
        <v>1705</v>
      </c>
    </row>
    <row r="1667" spans="1:1" x14ac:dyDescent="0.25">
      <c r="A1667" s="1" t="s">
        <v>1706</v>
      </c>
    </row>
    <row r="1668" spans="1:1" x14ac:dyDescent="0.25">
      <c r="A1668" s="1" t="s">
        <v>1707</v>
      </c>
    </row>
    <row r="1669" spans="1:1" x14ac:dyDescent="0.25">
      <c r="A1669" s="1" t="s">
        <v>1708</v>
      </c>
    </row>
    <row r="1670" spans="1:1" x14ac:dyDescent="0.25">
      <c r="A1670" s="1" t="s">
        <v>1709</v>
      </c>
    </row>
    <row r="1671" spans="1:1" x14ac:dyDescent="0.25">
      <c r="A1671" s="1" t="s">
        <v>1710</v>
      </c>
    </row>
    <row r="1672" spans="1:1" x14ac:dyDescent="0.25">
      <c r="A1672" s="1" t="s">
        <v>1711</v>
      </c>
    </row>
    <row r="1673" spans="1:1" x14ac:dyDescent="0.25">
      <c r="A1673" s="1" t="s">
        <v>1712</v>
      </c>
    </row>
    <row r="1674" spans="1:1" x14ac:dyDescent="0.25">
      <c r="A1674" s="1" t="s">
        <v>1713</v>
      </c>
    </row>
    <row r="1675" spans="1:1" x14ac:dyDescent="0.25">
      <c r="A1675" s="1" t="s">
        <v>1714</v>
      </c>
    </row>
    <row r="1676" spans="1:1" x14ac:dyDescent="0.25">
      <c r="A1676" s="1" t="s">
        <v>1715</v>
      </c>
    </row>
    <row r="1677" spans="1:1" x14ac:dyDescent="0.25">
      <c r="A1677" s="1" t="s">
        <v>1716</v>
      </c>
    </row>
    <row r="1678" spans="1:1" x14ac:dyDescent="0.25">
      <c r="A1678" s="1" t="s">
        <v>1717</v>
      </c>
    </row>
    <row r="1679" spans="1:1" x14ac:dyDescent="0.25">
      <c r="A1679" s="1" t="s">
        <v>1718</v>
      </c>
    </row>
    <row r="1680" spans="1:1" x14ac:dyDescent="0.25">
      <c r="A1680" s="1" t="s">
        <v>1719</v>
      </c>
    </row>
    <row r="1681" spans="1:1" x14ac:dyDescent="0.25">
      <c r="A1681" s="1" t="s">
        <v>1720</v>
      </c>
    </row>
    <row r="1682" spans="1:1" x14ac:dyDescent="0.25">
      <c r="A1682" s="1" t="s">
        <v>1721</v>
      </c>
    </row>
    <row r="1683" spans="1:1" x14ac:dyDescent="0.25">
      <c r="A1683" s="1" t="s">
        <v>1722</v>
      </c>
    </row>
    <row r="1684" spans="1:1" x14ac:dyDescent="0.25">
      <c r="A1684" s="1" t="s">
        <v>1723</v>
      </c>
    </row>
    <row r="1685" spans="1:1" x14ac:dyDescent="0.25">
      <c r="A1685" s="1" t="s">
        <v>1724</v>
      </c>
    </row>
    <row r="1686" spans="1:1" x14ac:dyDescent="0.25">
      <c r="A1686" s="1" t="s">
        <v>1725</v>
      </c>
    </row>
    <row r="1687" spans="1:1" x14ac:dyDescent="0.25">
      <c r="A1687" s="1" t="s">
        <v>1726</v>
      </c>
    </row>
    <row r="1688" spans="1:1" x14ac:dyDescent="0.25">
      <c r="A1688" s="1" t="s">
        <v>1727</v>
      </c>
    </row>
    <row r="1689" spans="1:1" x14ac:dyDescent="0.25">
      <c r="A1689" s="1" t="s">
        <v>1728</v>
      </c>
    </row>
    <row r="1690" spans="1:1" x14ac:dyDescent="0.25">
      <c r="A1690" s="1" t="s">
        <v>1729</v>
      </c>
    </row>
    <row r="1691" spans="1:1" x14ac:dyDescent="0.25">
      <c r="A1691" s="1" t="s">
        <v>1730</v>
      </c>
    </row>
    <row r="1692" spans="1:1" x14ac:dyDescent="0.25">
      <c r="A1692" s="1" t="s">
        <v>1731</v>
      </c>
    </row>
    <row r="1693" spans="1:1" x14ac:dyDescent="0.25">
      <c r="A1693" s="1" t="s">
        <v>1732</v>
      </c>
    </row>
    <row r="1694" spans="1:1" x14ac:dyDescent="0.25">
      <c r="A1694" s="1" t="s">
        <v>1733</v>
      </c>
    </row>
    <row r="1695" spans="1:1" x14ac:dyDescent="0.25">
      <c r="A1695" s="1" t="s">
        <v>1734</v>
      </c>
    </row>
    <row r="1696" spans="1:1" x14ac:dyDescent="0.25">
      <c r="A1696" s="1" t="s">
        <v>1735</v>
      </c>
    </row>
    <row r="1697" spans="1:1" x14ac:dyDescent="0.25">
      <c r="A1697" s="1" t="s">
        <v>1736</v>
      </c>
    </row>
    <row r="1698" spans="1:1" x14ac:dyDescent="0.25">
      <c r="A1698" s="1" t="s">
        <v>1737</v>
      </c>
    </row>
    <row r="1699" spans="1:1" x14ac:dyDescent="0.25">
      <c r="A1699" s="1" t="s">
        <v>1738</v>
      </c>
    </row>
    <row r="1700" spans="1:1" x14ac:dyDescent="0.25">
      <c r="A1700" s="1" t="s">
        <v>1739</v>
      </c>
    </row>
    <row r="1701" spans="1:1" x14ac:dyDescent="0.25">
      <c r="A1701" s="1" t="s">
        <v>1740</v>
      </c>
    </row>
    <row r="1702" spans="1:1" x14ac:dyDescent="0.25">
      <c r="A1702" s="1" t="s">
        <v>1741</v>
      </c>
    </row>
    <row r="1703" spans="1:1" x14ac:dyDescent="0.25">
      <c r="A1703" s="1" t="s">
        <v>1742</v>
      </c>
    </row>
    <row r="1704" spans="1:1" x14ac:dyDescent="0.25">
      <c r="A1704" s="1" t="s">
        <v>1743</v>
      </c>
    </row>
    <row r="1705" spans="1:1" x14ac:dyDescent="0.25">
      <c r="A1705" s="1" t="s">
        <v>1744</v>
      </c>
    </row>
    <row r="1706" spans="1:1" x14ac:dyDescent="0.25">
      <c r="A1706" s="1" t="s">
        <v>1745</v>
      </c>
    </row>
    <row r="1707" spans="1:1" x14ac:dyDescent="0.25">
      <c r="A1707" s="1" t="s">
        <v>1746</v>
      </c>
    </row>
    <row r="1708" spans="1:1" x14ac:dyDescent="0.25">
      <c r="A1708" s="1" t="s">
        <v>1747</v>
      </c>
    </row>
    <row r="1709" spans="1:1" x14ac:dyDescent="0.25">
      <c r="A1709" s="1" t="s">
        <v>1748</v>
      </c>
    </row>
    <row r="1710" spans="1:1" x14ac:dyDescent="0.25">
      <c r="A1710" s="1" t="s">
        <v>1749</v>
      </c>
    </row>
    <row r="1711" spans="1:1" x14ac:dyDescent="0.25">
      <c r="A1711" s="1" t="s">
        <v>1750</v>
      </c>
    </row>
    <row r="1712" spans="1:1" x14ac:dyDescent="0.25">
      <c r="A1712" s="1" t="s">
        <v>1751</v>
      </c>
    </row>
    <row r="1713" spans="1:1" x14ac:dyDescent="0.25">
      <c r="A1713" s="1" t="s">
        <v>1752</v>
      </c>
    </row>
    <row r="1714" spans="1:1" x14ac:dyDescent="0.25">
      <c r="A1714" s="1" t="s">
        <v>1753</v>
      </c>
    </row>
    <row r="1715" spans="1:1" x14ac:dyDescent="0.25">
      <c r="A1715" s="1" t="s">
        <v>1754</v>
      </c>
    </row>
    <row r="1716" spans="1:1" x14ac:dyDescent="0.25">
      <c r="A1716" s="1" t="s">
        <v>1755</v>
      </c>
    </row>
    <row r="1717" spans="1:1" x14ac:dyDescent="0.25">
      <c r="A1717" s="1" t="s">
        <v>1756</v>
      </c>
    </row>
    <row r="1718" spans="1:1" x14ac:dyDescent="0.25">
      <c r="A1718" s="1" t="s">
        <v>1757</v>
      </c>
    </row>
    <row r="1719" spans="1:1" x14ac:dyDescent="0.25">
      <c r="A1719" s="1" t="s">
        <v>1758</v>
      </c>
    </row>
    <row r="1720" spans="1:1" x14ac:dyDescent="0.25">
      <c r="A1720" s="1" t="s">
        <v>1759</v>
      </c>
    </row>
    <row r="1721" spans="1:1" x14ac:dyDescent="0.25">
      <c r="A1721" s="1" t="s">
        <v>1760</v>
      </c>
    </row>
    <row r="1722" spans="1:1" x14ac:dyDescent="0.25">
      <c r="A1722" s="1" t="s">
        <v>1761</v>
      </c>
    </row>
    <row r="1723" spans="1:1" x14ac:dyDescent="0.25">
      <c r="A1723" s="1" t="s">
        <v>1762</v>
      </c>
    </row>
    <row r="1724" spans="1:1" x14ac:dyDescent="0.25">
      <c r="A1724" s="1" t="s">
        <v>1763</v>
      </c>
    </row>
    <row r="1725" spans="1:1" x14ac:dyDescent="0.25">
      <c r="A1725" s="1" t="s">
        <v>1764</v>
      </c>
    </row>
    <row r="1726" spans="1:1" x14ac:dyDescent="0.25">
      <c r="A1726" s="1" t="s">
        <v>1765</v>
      </c>
    </row>
    <row r="1727" spans="1:1" x14ac:dyDescent="0.25">
      <c r="A1727" s="1" t="s">
        <v>1766</v>
      </c>
    </row>
    <row r="1728" spans="1:1" x14ac:dyDescent="0.25">
      <c r="A1728" s="1" t="s">
        <v>1767</v>
      </c>
    </row>
    <row r="1729" spans="1:1" x14ac:dyDescent="0.25">
      <c r="A1729" s="1" t="s">
        <v>1768</v>
      </c>
    </row>
    <row r="1730" spans="1:1" x14ac:dyDescent="0.25">
      <c r="A1730" s="1" t="s">
        <v>1769</v>
      </c>
    </row>
    <row r="1731" spans="1:1" x14ac:dyDescent="0.25">
      <c r="A1731" s="1" t="s">
        <v>1770</v>
      </c>
    </row>
    <row r="1732" spans="1:1" x14ac:dyDescent="0.25">
      <c r="A1732" s="1" t="s">
        <v>1771</v>
      </c>
    </row>
    <row r="1733" spans="1:1" x14ac:dyDescent="0.25">
      <c r="A1733" s="1" t="s">
        <v>1772</v>
      </c>
    </row>
    <row r="1734" spans="1:1" x14ac:dyDescent="0.25">
      <c r="A1734" s="1" t="s">
        <v>1773</v>
      </c>
    </row>
    <row r="1735" spans="1:1" x14ac:dyDescent="0.25">
      <c r="A1735" s="1" t="s">
        <v>1774</v>
      </c>
    </row>
    <row r="1736" spans="1:1" x14ac:dyDescent="0.25">
      <c r="A1736" s="1" t="s">
        <v>1775</v>
      </c>
    </row>
    <row r="1737" spans="1:1" x14ac:dyDescent="0.25">
      <c r="A1737" s="1" t="s">
        <v>1776</v>
      </c>
    </row>
    <row r="1738" spans="1:1" x14ac:dyDescent="0.25">
      <c r="A1738" s="1" t="s">
        <v>1777</v>
      </c>
    </row>
    <row r="1739" spans="1:1" x14ac:dyDescent="0.25">
      <c r="A1739" s="1" t="s">
        <v>1778</v>
      </c>
    </row>
    <row r="1740" spans="1:1" x14ac:dyDescent="0.25">
      <c r="A1740" s="1" t="s">
        <v>1779</v>
      </c>
    </row>
    <row r="1741" spans="1:1" x14ac:dyDescent="0.25">
      <c r="A1741" s="1" t="s">
        <v>1780</v>
      </c>
    </row>
    <row r="1742" spans="1:1" x14ac:dyDescent="0.25">
      <c r="A1742" s="1" t="s">
        <v>1781</v>
      </c>
    </row>
    <row r="1743" spans="1:1" x14ac:dyDescent="0.25">
      <c r="A1743" s="1" t="s">
        <v>1782</v>
      </c>
    </row>
    <row r="1744" spans="1:1" x14ac:dyDescent="0.25">
      <c r="A1744" s="1" t="s">
        <v>1783</v>
      </c>
    </row>
    <row r="1745" spans="1:1" x14ac:dyDescent="0.25">
      <c r="A1745" s="1" t="s">
        <v>1784</v>
      </c>
    </row>
    <row r="1746" spans="1:1" x14ac:dyDescent="0.25">
      <c r="A1746" s="1" t="s">
        <v>1785</v>
      </c>
    </row>
    <row r="1747" spans="1:1" x14ac:dyDescent="0.25">
      <c r="A1747" s="1" t="s">
        <v>1786</v>
      </c>
    </row>
    <row r="1748" spans="1:1" x14ac:dyDescent="0.25">
      <c r="A1748" s="1" t="s">
        <v>1787</v>
      </c>
    </row>
    <row r="1749" spans="1:1" x14ac:dyDescent="0.25">
      <c r="A1749" s="1" t="s">
        <v>1788</v>
      </c>
    </row>
    <row r="1750" spans="1:1" x14ac:dyDescent="0.25">
      <c r="A1750" s="1" t="s">
        <v>1789</v>
      </c>
    </row>
    <row r="1751" spans="1:1" x14ac:dyDescent="0.25">
      <c r="A1751" s="1" t="s">
        <v>1790</v>
      </c>
    </row>
    <row r="1752" spans="1:1" x14ac:dyDescent="0.25">
      <c r="A1752" s="1" t="s">
        <v>1791</v>
      </c>
    </row>
    <row r="1753" spans="1:1" x14ac:dyDescent="0.25">
      <c r="A1753" s="1" t="s">
        <v>1792</v>
      </c>
    </row>
    <row r="1754" spans="1:1" x14ac:dyDescent="0.25">
      <c r="A1754" s="1" t="s">
        <v>1793</v>
      </c>
    </row>
    <row r="1755" spans="1:1" x14ac:dyDescent="0.25">
      <c r="A1755" s="1" t="s">
        <v>1794</v>
      </c>
    </row>
    <row r="1756" spans="1:1" x14ac:dyDescent="0.25">
      <c r="A1756" s="1" t="s">
        <v>1795</v>
      </c>
    </row>
    <row r="1757" spans="1:1" x14ac:dyDescent="0.25">
      <c r="A1757" s="1" t="s">
        <v>1796</v>
      </c>
    </row>
    <row r="1758" spans="1:1" x14ac:dyDescent="0.25">
      <c r="A1758" s="1" t="s">
        <v>1797</v>
      </c>
    </row>
    <row r="1759" spans="1:1" x14ac:dyDescent="0.25">
      <c r="A1759" s="1" t="s">
        <v>1798</v>
      </c>
    </row>
    <row r="1760" spans="1:1" x14ac:dyDescent="0.25">
      <c r="A1760" s="1" t="s">
        <v>1799</v>
      </c>
    </row>
    <row r="1761" spans="1:1" x14ac:dyDescent="0.25">
      <c r="A1761" s="1" t="s">
        <v>1800</v>
      </c>
    </row>
    <row r="1762" spans="1:1" x14ac:dyDescent="0.25">
      <c r="A1762" s="1" t="s">
        <v>1801</v>
      </c>
    </row>
    <row r="1763" spans="1:1" x14ac:dyDescent="0.25">
      <c r="A1763" s="1" t="s">
        <v>1802</v>
      </c>
    </row>
    <row r="1764" spans="1:1" x14ac:dyDescent="0.25">
      <c r="A1764" s="1" t="s">
        <v>1803</v>
      </c>
    </row>
    <row r="1765" spans="1:1" x14ac:dyDescent="0.25">
      <c r="A1765" s="1" t="s">
        <v>1804</v>
      </c>
    </row>
    <row r="1766" spans="1:1" x14ac:dyDescent="0.25">
      <c r="A1766" s="1" t="s">
        <v>1805</v>
      </c>
    </row>
    <row r="1767" spans="1:1" x14ac:dyDescent="0.25">
      <c r="A1767" s="1" t="s">
        <v>1806</v>
      </c>
    </row>
    <row r="1768" spans="1:1" x14ac:dyDescent="0.25">
      <c r="A1768" s="1" t="s">
        <v>1807</v>
      </c>
    </row>
    <row r="1769" spans="1:1" x14ac:dyDescent="0.25">
      <c r="A1769" s="1" t="s">
        <v>1808</v>
      </c>
    </row>
    <row r="1770" spans="1:1" x14ac:dyDescent="0.25">
      <c r="A1770" s="1" t="s">
        <v>1809</v>
      </c>
    </row>
    <row r="1771" spans="1:1" x14ac:dyDescent="0.25">
      <c r="A1771" s="1" t="s">
        <v>1810</v>
      </c>
    </row>
    <row r="1772" spans="1:1" x14ac:dyDescent="0.25">
      <c r="A1772" s="1" t="s">
        <v>1811</v>
      </c>
    </row>
    <row r="1773" spans="1:1" x14ac:dyDescent="0.25">
      <c r="A1773" s="1" t="s">
        <v>1812</v>
      </c>
    </row>
    <row r="1774" spans="1:1" x14ac:dyDescent="0.25">
      <c r="A1774" s="1" t="s">
        <v>1813</v>
      </c>
    </row>
    <row r="1775" spans="1:1" x14ac:dyDescent="0.25">
      <c r="A1775" s="1" t="s">
        <v>1814</v>
      </c>
    </row>
    <row r="1776" spans="1:1" x14ac:dyDescent="0.25">
      <c r="A1776" s="1" t="s">
        <v>1815</v>
      </c>
    </row>
    <row r="1777" spans="1:1" x14ac:dyDescent="0.25">
      <c r="A1777" s="1" t="s">
        <v>1816</v>
      </c>
    </row>
    <row r="1778" spans="1:1" x14ac:dyDescent="0.25">
      <c r="A1778" s="1" t="s">
        <v>1817</v>
      </c>
    </row>
    <row r="1779" spans="1:1" x14ac:dyDescent="0.25">
      <c r="A1779" s="1" t="s">
        <v>1818</v>
      </c>
    </row>
    <row r="1780" spans="1:1" x14ac:dyDescent="0.25">
      <c r="A1780" s="1" t="s">
        <v>1819</v>
      </c>
    </row>
    <row r="1781" spans="1:1" x14ac:dyDescent="0.25">
      <c r="A1781" s="1" t="s">
        <v>1820</v>
      </c>
    </row>
    <row r="1782" spans="1:1" x14ac:dyDescent="0.25">
      <c r="A1782" s="1" t="s">
        <v>1821</v>
      </c>
    </row>
    <row r="1783" spans="1:1" x14ac:dyDescent="0.25">
      <c r="A1783" s="1" t="s">
        <v>1822</v>
      </c>
    </row>
    <row r="1784" spans="1:1" x14ac:dyDescent="0.25">
      <c r="A1784" s="1" t="s">
        <v>1823</v>
      </c>
    </row>
    <row r="1785" spans="1:1" x14ac:dyDescent="0.25">
      <c r="A1785" s="1" t="s">
        <v>1824</v>
      </c>
    </row>
    <row r="1786" spans="1:1" x14ac:dyDescent="0.25">
      <c r="A1786" s="1" t="s">
        <v>1825</v>
      </c>
    </row>
    <row r="1787" spans="1:1" x14ac:dyDescent="0.25">
      <c r="A1787" s="1" t="s">
        <v>1826</v>
      </c>
    </row>
    <row r="1788" spans="1:1" x14ac:dyDescent="0.25">
      <c r="A1788" s="1" t="s">
        <v>1827</v>
      </c>
    </row>
    <row r="1789" spans="1:1" x14ac:dyDescent="0.25">
      <c r="A1789" s="1" t="s">
        <v>1828</v>
      </c>
    </row>
    <row r="1790" spans="1:1" x14ac:dyDescent="0.25">
      <c r="A1790" s="1" t="s">
        <v>1829</v>
      </c>
    </row>
    <row r="1791" spans="1:1" x14ac:dyDescent="0.25">
      <c r="A1791" s="1" t="s">
        <v>1830</v>
      </c>
    </row>
    <row r="1792" spans="1:1" x14ac:dyDescent="0.25">
      <c r="A1792" s="1" t="s">
        <v>1831</v>
      </c>
    </row>
    <row r="1793" spans="1:1" x14ac:dyDescent="0.25">
      <c r="A1793" s="1" t="s">
        <v>1832</v>
      </c>
    </row>
    <row r="1794" spans="1:1" x14ac:dyDescent="0.25">
      <c r="A1794" s="1" t="s">
        <v>1833</v>
      </c>
    </row>
    <row r="1795" spans="1:1" x14ac:dyDescent="0.25">
      <c r="A1795" s="1" t="s">
        <v>1834</v>
      </c>
    </row>
    <row r="1796" spans="1:1" x14ac:dyDescent="0.25">
      <c r="A1796" s="1" t="s">
        <v>1835</v>
      </c>
    </row>
    <row r="1797" spans="1:1" x14ac:dyDescent="0.25">
      <c r="A1797" s="1" t="s">
        <v>1836</v>
      </c>
    </row>
    <row r="1798" spans="1:1" x14ac:dyDescent="0.25">
      <c r="A1798" s="1" t="s">
        <v>1837</v>
      </c>
    </row>
    <row r="1799" spans="1:1" x14ac:dyDescent="0.25">
      <c r="A1799" s="1" t="s">
        <v>1838</v>
      </c>
    </row>
    <row r="1800" spans="1:1" x14ac:dyDescent="0.25">
      <c r="A1800" s="1" t="s">
        <v>1839</v>
      </c>
    </row>
    <row r="1801" spans="1:1" x14ac:dyDescent="0.25">
      <c r="A1801" s="1" t="s">
        <v>1840</v>
      </c>
    </row>
    <row r="1802" spans="1:1" x14ac:dyDescent="0.25">
      <c r="A1802" s="1" t="s">
        <v>1841</v>
      </c>
    </row>
    <row r="1803" spans="1:1" x14ac:dyDescent="0.25">
      <c r="A1803" s="1" t="s">
        <v>1842</v>
      </c>
    </row>
    <row r="1804" spans="1:1" x14ac:dyDescent="0.25">
      <c r="A1804" s="1" t="s">
        <v>1843</v>
      </c>
    </row>
    <row r="1805" spans="1:1" x14ac:dyDescent="0.25">
      <c r="A1805" s="1" t="s">
        <v>1844</v>
      </c>
    </row>
    <row r="1806" spans="1:1" x14ac:dyDescent="0.25">
      <c r="A1806" s="1" t="s">
        <v>1845</v>
      </c>
    </row>
    <row r="1807" spans="1:1" x14ac:dyDescent="0.25">
      <c r="A1807" s="1" t="s">
        <v>1846</v>
      </c>
    </row>
    <row r="1808" spans="1:1" x14ac:dyDescent="0.25">
      <c r="A1808" s="1" t="s">
        <v>1847</v>
      </c>
    </row>
    <row r="1809" spans="1:1" x14ac:dyDescent="0.25">
      <c r="A1809" s="1" t="s">
        <v>1848</v>
      </c>
    </row>
    <row r="1810" spans="1:1" x14ac:dyDescent="0.25">
      <c r="A1810" s="1" t="s">
        <v>1849</v>
      </c>
    </row>
    <row r="1811" spans="1:1" x14ac:dyDescent="0.25">
      <c r="A1811" s="1" t="s">
        <v>1850</v>
      </c>
    </row>
    <row r="1812" spans="1:1" x14ac:dyDescent="0.25">
      <c r="A1812" s="1" t="s">
        <v>1851</v>
      </c>
    </row>
    <row r="1813" spans="1:1" x14ac:dyDescent="0.25">
      <c r="A1813" s="1" t="s">
        <v>1852</v>
      </c>
    </row>
    <row r="1814" spans="1:1" x14ac:dyDescent="0.25">
      <c r="A1814" s="1" t="s">
        <v>1853</v>
      </c>
    </row>
    <row r="1815" spans="1:1" x14ac:dyDescent="0.25">
      <c r="A1815" s="1" t="s">
        <v>1854</v>
      </c>
    </row>
    <row r="1816" spans="1:1" x14ac:dyDescent="0.25">
      <c r="A1816" s="1" t="s">
        <v>1855</v>
      </c>
    </row>
    <row r="1817" spans="1:1" x14ac:dyDescent="0.25">
      <c r="A1817" s="1" t="s">
        <v>1856</v>
      </c>
    </row>
    <row r="1818" spans="1:1" x14ac:dyDescent="0.25">
      <c r="A1818" s="1" t="s">
        <v>1857</v>
      </c>
    </row>
    <row r="1819" spans="1:1" x14ac:dyDescent="0.25">
      <c r="A1819" s="1" t="s">
        <v>1858</v>
      </c>
    </row>
    <row r="1820" spans="1:1" x14ac:dyDescent="0.25">
      <c r="A1820" s="1" t="s">
        <v>1859</v>
      </c>
    </row>
    <row r="1821" spans="1:1" x14ac:dyDescent="0.25">
      <c r="A1821" s="1" t="s">
        <v>1860</v>
      </c>
    </row>
    <row r="1822" spans="1:1" x14ac:dyDescent="0.25">
      <c r="A1822" s="1" t="s">
        <v>1861</v>
      </c>
    </row>
    <row r="1823" spans="1:1" x14ac:dyDescent="0.25">
      <c r="A1823" s="1" t="s">
        <v>1862</v>
      </c>
    </row>
    <row r="1824" spans="1:1" x14ac:dyDescent="0.25">
      <c r="A1824" s="1" t="s">
        <v>1863</v>
      </c>
    </row>
    <row r="1825" spans="1:1" x14ac:dyDescent="0.25">
      <c r="A1825" s="1" t="s">
        <v>1864</v>
      </c>
    </row>
    <row r="1826" spans="1:1" x14ac:dyDescent="0.25">
      <c r="A1826" s="1" t="s">
        <v>1865</v>
      </c>
    </row>
    <row r="1827" spans="1:1" x14ac:dyDescent="0.25">
      <c r="A1827" s="1" t="s">
        <v>1866</v>
      </c>
    </row>
    <row r="1828" spans="1:1" x14ac:dyDescent="0.25">
      <c r="A1828" s="1" t="s">
        <v>1867</v>
      </c>
    </row>
    <row r="1829" spans="1:1" x14ac:dyDescent="0.25">
      <c r="A1829" s="1" t="s">
        <v>1868</v>
      </c>
    </row>
    <row r="1830" spans="1:1" x14ac:dyDescent="0.25">
      <c r="A1830" s="1" t="s">
        <v>1869</v>
      </c>
    </row>
    <row r="1831" spans="1:1" x14ac:dyDescent="0.25">
      <c r="A1831" s="1" t="s">
        <v>1870</v>
      </c>
    </row>
    <row r="1832" spans="1:1" x14ac:dyDescent="0.25">
      <c r="A1832" s="1" t="s">
        <v>1871</v>
      </c>
    </row>
    <row r="1833" spans="1:1" x14ac:dyDescent="0.25">
      <c r="A1833" s="1" t="s">
        <v>1872</v>
      </c>
    </row>
    <row r="1834" spans="1:1" x14ac:dyDescent="0.25">
      <c r="A1834" s="1" t="s">
        <v>1873</v>
      </c>
    </row>
    <row r="1835" spans="1:1" x14ac:dyDescent="0.25">
      <c r="A1835" s="1" t="s">
        <v>1874</v>
      </c>
    </row>
    <row r="1836" spans="1:1" x14ac:dyDescent="0.25">
      <c r="A1836" s="1" t="s">
        <v>1875</v>
      </c>
    </row>
    <row r="1837" spans="1:1" x14ac:dyDescent="0.25">
      <c r="A1837" s="1" t="s">
        <v>1876</v>
      </c>
    </row>
    <row r="1838" spans="1:1" x14ac:dyDescent="0.25">
      <c r="A1838" s="1" t="s">
        <v>1877</v>
      </c>
    </row>
    <row r="1839" spans="1:1" x14ac:dyDescent="0.25">
      <c r="A1839" s="1" t="s">
        <v>1878</v>
      </c>
    </row>
    <row r="1840" spans="1:1" x14ac:dyDescent="0.25">
      <c r="A1840" s="1" t="s">
        <v>1879</v>
      </c>
    </row>
    <row r="1841" spans="1:1" x14ac:dyDescent="0.25">
      <c r="A1841" s="1" t="s">
        <v>1880</v>
      </c>
    </row>
    <row r="1842" spans="1:1" x14ac:dyDescent="0.25">
      <c r="A1842" s="1" t="s">
        <v>1881</v>
      </c>
    </row>
    <row r="1843" spans="1:1" x14ac:dyDescent="0.25">
      <c r="A1843" s="1" t="s">
        <v>1882</v>
      </c>
    </row>
    <row r="1844" spans="1:1" x14ac:dyDescent="0.25">
      <c r="A1844" s="1" t="s">
        <v>1883</v>
      </c>
    </row>
    <row r="1845" spans="1:1" x14ac:dyDescent="0.25">
      <c r="A1845" s="1" t="s">
        <v>1884</v>
      </c>
    </row>
    <row r="1846" spans="1:1" x14ac:dyDescent="0.25">
      <c r="A1846" s="1" t="s">
        <v>1885</v>
      </c>
    </row>
    <row r="1847" spans="1:1" x14ac:dyDescent="0.25">
      <c r="A1847" s="1" t="s">
        <v>1886</v>
      </c>
    </row>
    <row r="1848" spans="1:1" x14ac:dyDescent="0.25">
      <c r="A1848" s="1" t="s">
        <v>1887</v>
      </c>
    </row>
    <row r="1849" spans="1:1" x14ac:dyDescent="0.25">
      <c r="A1849" s="1" t="s">
        <v>1888</v>
      </c>
    </row>
    <row r="1850" spans="1:1" x14ac:dyDescent="0.25">
      <c r="A1850" s="1" t="s">
        <v>1889</v>
      </c>
    </row>
    <row r="1851" spans="1:1" x14ac:dyDescent="0.25">
      <c r="A1851" s="1" t="s">
        <v>1890</v>
      </c>
    </row>
    <row r="1852" spans="1:1" x14ac:dyDescent="0.25">
      <c r="A1852" s="1" t="s">
        <v>1891</v>
      </c>
    </row>
    <row r="1853" spans="1:1" x14ac:dyDescent="0.25">
      <c r="A1853" s="1" t="s">
        <v>1892</v>
      </c>
    </row>
    <row r="1854" spans="1:1" x14ac:dyDescent="0.25">
      <c r="A1854" s="1" t="s">
        <v>1893</v>
      </c>
    </row>
    <row r="1855" spans="1:1" x14ac:dyDescent="0.25">
      <c r="A1855" s="1" t="s">
        <v>1894</v>
      </c>
    </row>
    <row r="1856" spans="1:1" x14ac:dyDescent="0.25">
      <c r="A1856" s="1" t="s">
        <v>1895</v>
      </c>
    </row>
    <row r="1857" spans="1:1" x14ac:dyDescent="0.25">
      <c r="A1857" s="1" t="s">
        <v>1896</v>
      </c>
    </row>
    <row r="1858" spans="1:1" x14ac:dyDescent="0.25">
      <c r="A1858" s="1" t="s">
        <v>1897</v>
      </c>
    </row>
    <row r="1859" spans="1:1" x14ac:dyDescent="0.25">
      <c r="A1859" s="1" t="s">
        <v>1898</v>
      </c>
    </row>
    <row r="1860" spans="1:1" x14ac:dyDescent="0.25">
      <c r="A1860" s="1" t="s">
        <v>1899</v>
      </c>
    </row>
    <row r="1861" spans="1:1" x14ac:dyDescent="0.25">
      <c r="A1861" s="1" t="s">
        <v>1900</v>
      </c>
    </row>
    <row r="1862" spans="1:1" x14ac:dyDescent="0.25">
      <c r="A1862" s="1" t="s">
        <v>1901</v>
      </c>
    </row>
    <row r="1863" spans="1:1" x14ac:dyDescent="0.25">
      <c r="A1863" s="1" t="s">
        <v>1902</v>
      </c>
    </row>
    <row r="1864" spans="1:1" x14ac:dyDescent="0.25">
      <c r="A1864" s="1" t="s">
        <v>1903</v>
      </c>
    </row>
    <row r="1865" spans="1:1" x14ac:dyDescent="0.25">
      <c r="A1865" s="1" t="s">
        <v>1904</v>
      </c>
    </row>
    <row r="1866" spans="1:1" x14ac:dyDescent="0.25">
      <c r="A1866" s="1" t="s">
        <v>1905</v>
      </c>
    </row>
    <row r="1867" spans="1:1" x14ac:dyDescent="0.25">
      <c r="A1867" s="1" t="s">
        <v>1906</v>
      </c>
    </row>
    <row r="1868" spans="1:1" x14ac:dyDescent="0.25">
      <c r="A1868" s="1" t="s">
        <v>1907</v>
      </c>
    </row>
    <row r="1869" spans="1:1" x14ac:dyDescent="0.25">
      <c r="A1869" s="1" t="s">
        <v>1908</v>
      </c>
    </row>
    <row r="1870" spans="1:1" x14ac:dyDescent="0.25">
      <c r="A1870" s="1" t="s">
        <v>1909</v>
      </c>
    </row>
    <row r="1871" spans="1:1" x14ac:dyDescent="0.25">
      <c r="A1871" s="1" t="s">
        <v>1910</v>
      </c>
    </row>
    <row r="1872" spans="1:1" x14ac:dyDescent="0.25">
      <c r="A1872" s="1" t="s">
        <v>1911</v>
      </c>
    </row>
    <row r="1873" spans="1:1" x14ac:dyDescent="0.25">
      <c r="A1873" s="1" t="s">
        <v>1912</v>
      </c>
    </row>
    <row r="1874" spans="1:1" x14ac:dyDescent="0.25">
      <c r="A1874" s="1" t="s">
        <v>1913</v>
      </c>
    </row>
    <row r="1875" spans="1:1" x14ac:dyDescent="0.25">
      <c r="A1875" s="1" t="s">
        <v>1914</v>
      </c>
    </row>
    <row r="1876" spans="1:1" x14ac:dyDescent="0.25">
      <c r="A1876" s="1" t="s">
        <v>1915</v>
      </c>
    </row>
    <row r="1877" spans="1:1" x14ac:dyDescent="0.25">
      <c r="A1877" s="1" t="s">
        <v>1916</v>
      </c>
    </row>
    <row r="1878" spans="1:1" x14ac:dyDescent="0.25">
      <c r="A1878" s="1" t="s">
        <v>1917</v>
      </c>
    </row>
    <row r="1879" spans="1:1" x14ac:dyDescent="0.25">
      <c r="A1879" s="1" t="s">
        <v>1918</v>
      </c>
    </row>
    <row r="1880" spans="1:1" x14ac:dyDescent="0.25">
      <c r="A1880" s="1" t="s">
        <v>1919</v>
      </c>
    </row>
    <row r="1881" spans="1:1" x14ac:dyDescent="0.25">
      <c r="A1881" s="1" t="s">
        <v>1920</v>
      </c>
    </row>
    <row r="1882" spans="1:1" x14ac:dyDescent="0.25">
      <c r="A1882" s="1" t="s">
        <v>1921</v>
      </c>
    </row>
    <row r="1883" spans="1:1" x14ac:dyDescent="0.25">
      <c r="A1883" s="1" t="s">
        <v>1922</v>
      </c>
    </row>
    <row r="1884" spans="1:1" x14ac:dyDescent="0.25">
      <c r="A1884" s="1" t="s">
        <v>1923</v>
      </c>
    </row>
    <row r="1885" spans="1:1" x14ac:dyDescent="0.25">
      <c r="A1885" s="1" t="s">
        <v>1924</v>
      </c>
    </row>
    <row r="1886" spans="1:1" x14ac:dyDescent="0.25">
      <c r="A1886" s="1" t="s">
        <v>1925</v>
      </c>
    </row>
    <row r="1887" spans="1:1" x14ac:dyDescent="0.25">
      <c r="A1887" s="1" t="s">
        <v>1926</v>
      </c>
    </row>
    <row r="1888" spans="1:1" x14ac:dyDescent="0.25">
      <c r="A1888" s="1" t="s">
        <v>1927</v>
      </c>
    </row>
    <row r="1889" spans="1:1" x14ac:dyDescent="0.25">
      <c r="A1889" s="1" t="s">
        <v>1928</v>
      </c>
    </row>
    <row r="1890" spans="1:1" x14ac:dyDescent="0.25">
      <c r="A1890" s="1" t="s">
        <v>1929</v>
      </c>
    </row>
    <row r="1891" spans="1:1" x14ac:dyDescent="0.25">
      <c r="A1891" s="1" t="s">
        <v>1930</v>
      </c>
    </row>
    <row r="1892" spans="1:1" x14ac:dyDescent="0.25">
      <c r="A1892" s="1" t="s">
        <v>1931</v>
      </c>
    </row>
    <row r="1893" spans="1:1" x14ac:dyDescent="0.25">
      <c r="A1893" s="1" t="s">
        <v>1932</v>
      </c>
    </row>
    <row r="1894" spans="1:1" x14ac:dyDescent="0.25">
      <c r="A1894" s="1" t="s">
        <v>1933</v>
      </c>
    </row>
    <row r="1895" spans="1:1" x14ac:dyDescent="0.25">
      <c r="A1895" s="1" t="s">
        <v>1934</v>
      </c>
    </row>
    <row r="1896" spans="1:1" x14ac:dyDescent="0.25">
      <c r="A1896" s="1" t="s">
        <v>1935</v>
      </c>
    </row>
    <row r="1897" spans="1:1" x14ac:dyDescent="0.25">
      <c r="A1897" s="1" t="s">
        <v>1936</v>
      </c>
    </row>
    <row r="1898" spans="1:1" x14ac:dyDescent="0.25">
      <c r="A1898" s="1" t="s">
        <v>1937</v>
      </c>
    </row>
    <row r="1899" spans="1:1" x14ac:dyDescent="0.25">
      <c r="A1899" s="1" t="s">
        <v>1938</v>
      </c>
    </row>
    <row r="1900" spans="1:1" x14ac:dyDescent="0.25">
      <c r="A1900" s="1" t="s">
        <v>1939</v>
      </c>
    </row>
    <row r="1901" spans="1:1" x14ac:dyDescent="0.25">
      <c r="A1901" s="1" t="s">
        <v>1940</v>
      </c>
    </row>
    <row r="1902" spans="1:1" x14ac:dyDescent="0.25">
      <c r="A1902" s="1" t="s">
        <v>1941</v>
      </c>
    </row>
    <row r="1903" spans="1:1" x14ac:dyDescent="0.25">
      <c r="A1903" s="1" t="s">
        <v>1942</v>
      </c>
    </row>
    <row r="1904" spans="1:1" x14ac:dyDescent="0.25">
      <c r="A1904" s="1" t="s">
        <v>1943</v>
      </c>
    </row>
    <row r="1905" spans="1:1" x14ac:dyDescent="0.25">
      <c r="A1905" s="1" t="s">
        <v>1944</v>
      </c>
    </row>
    <row r="1906" spans="1:1" x14ac:dyDescent="0.25">
      <c r="A1906" s="1" t="s">
        <v>1945</v>
      </c>
    </row>
    <row r="1907" spans="1:1" x14ac:dyDescent="0.25">
      <c r="A1907" s="1" t="s">
        <v>1946</v>
      </c>
    </row>
    <row r="1908" spans="1:1" x14ac:dyDescent="0.25">
      <c r="A1908" s="1" t="s">
        <v>1947</v>
      </c>
    </row>
    <row r="1909" spans="1:1" x14ac:dyDescent="0.25">
      <c r="A1909" s="1" t="s">
        <v>1948</v>
      </c>
    </row>
    <row r="1910" spans="1:1" x14ac:dyDescent="0.25">
      <c r="A1910" s="1" t="s">
        <v>1949</v>
      </c>
    </row>
    <row r="1911" spans="1:1" x14ac:dyDescent="0.25">
      <c r="A1911" s="1" t="s">
        <v>1950</v>
      </c>
    </row>
    <row r="1912" spans="1:1" x14ac:dyDescent="0.25">
      <c r="A1912" s="1" t="s">
        <v>1951</v>
      </c>
    </row>
    <row r="1913" spans="1:1" x14ac:dyDescent="0.25">
      <c r="A1913" s="1" t="s">
        <v>1952</v>
      </c>
    </row>
    <row r="1914" spans="1:1" x14ac:dyDescent="0.25">
      <c r="A1914" s="1" t="s">
        <v>1953</v>
      </c>
    </row>
    <row r="1915" spans="1:1" x14ac:dyDescent="0.25">
      <c r="A1915" s="1" t="s">
        <v>1954</v>
      </c>
    </row>
    <row r="1916" spans="1:1" x14ac:dyDescent="0.25">
      <c r="A1916" s="1" t="s">
        <v>1955</v>
      </c>
    </row>
    <row r="1917" spans="1:1" x14ac:dyDescent="0.25">
      <c r="A1917" s="1" t="s">
        <v>1956</v>
      </c>
    </row>
    <row r="1918" spans="1:1" x14ac:dyDescent="0.25">
      <c r="A1918" s="1" t="s">
        <v>1957</v>
      </c>
    </row>
    <row r="1919" spans="1:1" x14ac:dyDescent="0.25">
      <c r="A1919" s="1" t="s">
        <v>1958</v>
      </c>
    </row>
    <row r="1920" spans="1:1" x14ac:dyDescent="0.25">
      <c r="A1920" s="1" t="s">
        <v>1959</v>
      </c>
    </row>
    <row r="1921" spans="1:1" x14ac:dyDescent="0.25">
      <c r="A1921" s="1" t="s">
        <v>1960</v>
      </c>
    </row>
    <row r="1922" spans="1:1" x14ac:dyDescent="0.25">
      <c r="A1922" s="1" t="s">
        <v>1961</v>
      </c>
    </row>
    <row r="1923" spans="1:1" x14ac:dyDescent="0.25">
      <c r="A1923" s="1" t="s">
        <v>1962</v>
      </c>
    </row>
    <row r="1924" spans="1:1" x14ac:dyDescent="0.25">
      <c r="A1924" s="1" t="s">
        <v>1963</v>
      </c>
    </row>
    <row r="1925" spans="1:1" x14ac:dyDescent="0.25">
      <c r="A1925" s="1" t="s">
        <v>1964</v>
      </c>
    </row>
    <row r="1926" spans="1:1" x14ac:dyDescent="0.25">
      <c r="A1926" s="1" t="s">
        <v>1965</v>
      </c>
    </row>
    <row r="1927" spans="1:1" x14ac:dyDescent="0.25">
      <c r="A1927" s="1" t="s">
        <v>1966</v>
      </c>
    </row>
    <row r="1928" spans="1:1" x14ac:dyDescent="0.25">
      <c r="A1928" s="1" t="s">
        <v>1967</v>
      </c>
    </row>
    <row r="1929" spans="1:1" x14ac:dyDescent="0.25">
      <c r="A1929" s="1" t="s">
        <v>1968</v>
      </c>
    </row>
    <row r="1930" spans="1:1" x14ac:dyDescent="0.25">
      <c r="A1930" s="1" t="s">
        <v>1969</v>
      </c>
    </row>
    <row r="1931" spans="1:1" x14ac:dyDescent="0.25">
      <c r="A1931" s="1" t="s">
        <v>1970</v>
      </c>
    </row>
    <row r="1932" spans="1:1" x14ac:dyDescent="0.25">
      <c r="A1932" s="1" t="s">
        <v>1971</v>
      </c>
    </row>
    <row r="1933" spans="1:1" x14ac:dyDescent="0.25">
      <c r="A1933" s="1" t="s">
        <v>1972</v>
      </c>
    </row>
    <row r="1934" spans="1:1" x14ac:dyDescent="0.25">
      <c r="A1934" s="1" t="s">
        <v>1973</v>
      </c>
    </row>
    <row r="1935" spans="1:1" x14ac:dyDescent="0.25">
      <c r="A1935" s="1" t="s">
        <v>1974</v>
      </c>
    </row>
    <row r="1936" spans="1:1" x14ac:dyDescent="0.25">
      <c r="A1936" s="1" t="s">
        <v>1975</v>
      </c>
    </row>
    <row r="1937" spans="1:1" x14ac:dyDescent="0.25">
      <c r="A1937" s="1" t="s">
        <v>1976</v>
      </c>
    </row>
    <row r="1938" spans="1:1" x14ac:dyDescent="0.25">
      <c r="A1938" s="1" t="s">
        <v>1977</v>
      </c>
    </row>
    <row r="1939" spans="1:1" x14ac:dyDescent="0.25">
      <c r="A1939" s="1" t="s">
        <v>1978</v>
      </c>
    </row>
    <row r="1940" spans="1:1" x14ac:dyDescent="0.25">
      <c r="A1940" s="1" t="s">
        <v>1979</v>
      </c>
    </row>
    <row r="1941" spans="1:1" x14ac:dyDescent="0.25">
      <c r="A1941" s="1" t="s">
        <v>1980</v>
      </c>
    </row>
    <row r="1942" spans="1:1" x14ac:dyDescent="0.25">
      <c r="A1942" s="1" t="s">
        <v>1981</v>
      </c>
    </row>
    <row r="1943" spans="1:1" x14ac:dyDescent="0.25">
      <c r="A1943" s="1" t="s">
        <v>1982</v>
      </c>
    </row>
    <row r="1944" spans="1:1" x14ac:dyDescent="0.25">
      <c r="A1944" s="1" t="s">
        <v>1983</v>
      </c>
    </row>
    <row r="1945" spans="1:1" x14ac:dyDescent="0.25">
      <c r="A1945" s="1" t="s">
        <v>1984</v>
      </c>
    </row>
    <row r="1946" spans="1:1" x14ac:dyDescent="0.25">
      <c r="A1946" s="1" t="s">
        <v>1985</v>
      </c>
    </row>
    <row r="1947" spans="1:1" x14ac:dyDescent="0.25">
      <c r="A1947" s="1" t="s">
        <v>1986</v>
      </c>
    </row>
    <row r="1948" spans="1:1" x14ac:dyDescent="0.25">
      <c r="A1948" s="1" t="s">
        <v>1987</v>
      </c>
    </row>
    <row r="1949" spans="1:1" x14ac:dyDescent="0.25">
      <c r="A1949" s="1" t="s">
        <v>1988</v>
      </c>
    </row>
    <row r="1950" spans="1:1" x14ac:dyDescent="0.25">
      <c r="A1950" s="1" t="s">
        <v>1989</v>
      </c>
    </row>
    <row r="1951" spans="1:1" x14ac:dyDescent="0.25">
      <c r="A1951" s="1" t="s">
        <v>1990</v>
      </c>
    </row>
    <row r="1952" spans="1:1" x14ac:dyDescent="0.25">
      <c r="A1952" s="1" t="s">
        <v>1991</v>
      </c>
    </row>
    <row r="1953" spans="1:1" x14ac:dyDescent="0.25">
      <c r="A1953" s="1" t="s">
        <v>1992</v>
      </c>
    </row>
    <row r="1954" spans="1:1" x14ac:dyDescent="0.25">
      <c r="A1954" s="1" t="s">
        <v>1993</v>
      </c>
    </row>
    <row r="1955" spans="1:1" x14ac:dyDescent="0.25">
      <c r="A1955" s="1" t="s">
        <v>1994</v>
      </c>
    </row>
    <row r="1956" spans="1:1" x14ac:dyDescent="0.25">
      <c r="A1956" s="1" t="s">
        <v>1995</v>
      </c>
    </row>
    <row r="1957" spans="1:1" x14ac:dyDescent="0.25">
      <c r="A1957" s="1" t="s">
        <v>1996</v>
      </c>
    </row>
    <row r="1958" spans="1:1" x14ac:dyDescent="0.25">
      <c r="A1958" s="1" t="s">
        <v>1997</v>
      </c>
    </row>
    <row r="1959" spans="1:1" x14ac:dyDescent="0.25">
      <c r="A1959" s="1" t="s">
        <v>1998</v>
      </c>
    </row>
    <row r="1960" spans="1:1" x14ac:dyDescent="0.25">
      <c r="A1960" s="1" t="s">
        <v>1999</v>
      </c>
    </row>
    <row r="1961" spans="1:1" x14ac:dyDescent="0.25">
      <c r="A1961" s="1" t="s">
        <v>2000</v>
      </c>
    </row>
    <row r="1962" spans="1:1" x14ac:dyDescent="0.25">
      <c r="A1962" s="1" t="s">
        <v>2001</v>
      </c>
    </row>
    <row r="1963" spans="1:1" x14ac:dyDescent="0.25">
      <c r="A1963" s="1" t="s">
        <v>2002</v>
      </c>
    </row>
    <row r="1964" spans="1:1" x14ac:dyDescent="0.25">
      <c r="A1964" s="1" t="s">
        <v>2003</v>
      </c>
    </row>
    <row r="1965" spans="1:1" x14ac:dyDescent="0.25">
      <c r="A1965" s="1" t="s">
        <v>2004</v>
      </c>
    </row>
    <row r="1966" spans="1:1" x14ac:dyDescent="0.25">
      <c r="A1966" s="1" t="s">
        <v>2005</v>
      </c>
    </row>
    <row r="1967" spans="1:1" x14ac:dyDescent="0.25">
      <c r="A1967" s="1" t="s">
        <v>2006</v>
      </c>
    </row>
    <row r="1968" spans="1:1" x14ac:dyDescent="0.25">
      <c r="A1968" s="1" t="s">
        <v>2007</v>
      </c>
    </row>
    <row r="1969" spans="1:1" x14ac:dyDescent="0.25">
      <c r="A1969" s="1" t="s">
        <v>2008</v>
      </c>
    </row>
    <row r="1970" spans="1:1" x14ac:dyDescent="0.25">
      <c r="A1970" s="1" t="s">
        <v>2009</v>
      </c>
    </row>
    <row r="1971" spans="1:1" x14ac:dyDescent="0.25">
      <c r="A1971" s="1" t="s">
        <v>2010</v>
      </c>
    </row>
    <row r="1972" spans="1:1" x14ac:dyDescent="0.25">
      <c r="A1972" s="1" t="s">
        <v>2011</v>
      </c>
    </row>
    <row r="1973" spans="1:1" x14ac:dyDescent="0.25">
      <c r="A1973" s="1" t="s">
        <v>2012</v>
      </c>
    </row>
    <row r="1974" spans="1:1" x14ac:dyDescent="0.25">
      <c r="A1974" s="1" t="s">
        <v>2013</v>
      </c>
    </row>
    <row r="1975" spans="1:1" x14ac:dyDescent="0.25">
      <c r="A1975" s="1" t="s">
        <v>2014</v>
      </c>
    </row>
    <row r="1976" spans="1:1" x14ac:dyDescent="0.25">
      <c r="A1976" s="1" t="s">
        <v>2015</v>
      </c>
    </row>
    <row r="1977" spans="1:1" x14ac:dyDescent="0.25">
      <c r="A1977" s="1" t="s">
        <v>2016</v>
      </c>
    </row>
    <row r="1978" spans="1:1" x14ac:dyDescent="0.25">
      <c r="A1978" s="1" t="s">
        <v>2017</v>
      </c>
    </row>
    <row r="1979" spans="1:1" x14ac:dyDescent="0.25">
      <c r="A1979" s="1" t="s">
        <v>2018</v>
      </c>
    </row>
    <row r="1980" spans="1:1" x14ac:dyDescent="0.25">
      <c r="A1980" s="1" t="s">
        <v>2019</v>
      </c>
    </row>
    <row r="1981" spans="1:1" x14ac:dyDescent="0.25">
      <c r="A1981" s="1" t="s">
        <v>2020</v>
      </c>
    </row>
    <row r="1982" spans="1:1" x14ac:dyDescent="0.25">
      <c r="A1982" s="1" t="s">
        <v>2021</v>
      </c>
    </row>
    <row r="1983" spans="1:1" x14ac:dyDescent="0.25">
      <c r="A1983" s="1" t="s">
        <v>2022</v>
      </c>
    </row>
    <row r="1984" spans="1:1" x14ac:dyDescent="0.25">
      <c r="A1984" s="1" t="s">
        <v>2023</v>
      </c>
    </row>
    <row r="1985" spans="1:1" x14ac:dyDescent="0.25">
      <c r="A1985" s="1" t="s">
        <v>2024</v>
      </c>
    </row>
    <row r="1986" spans="1:1" x14ac:dyDescent="0.25">
      <c r="A1986" s="1" t="s">
        <v>2025</v>
      </c>
    </row>
    <row r="1987" spans="1:1" x14ac:dyDescent="0.25">
      <c r="A1987" s="1" t="s">
        <v>2026</v>
      </c>
    </row>
    <row r="1988" spans="1:1" x14ac:dyDescent="0.25">
      <c r="A1988" s="1" t="s">
        <v>2027</v>
      </c>
    </row>
    <row r="1989" spans="1:1" x14ac:dyDescent="0.25">
      <c r="A1989" s="1" t="s">
        <v>2028</v>
      </c>
    </row>
    <row r="1990" spans="1:1" x14ac:dyDescent="0.25">
      <c r="A1990" s="1" t="s">
        <v>2029</v>
      </c>
    </row>
    <row r="1991" spans="1:1" x14ac:dyDescent="0.25">
      <c r="A1991" s="1" t="s">
        <v>2030</v>
      </c>
    </row>
    <row r="1992" spans="1:1" x14ac:dyDescent="0.25">
      <c r="A1992" s="1" t="s">
        <v>2031</v>
      </c>
    </row>
    <row r="1993" spans="1:1" x14ac:dyDescent="0.25">
      <c r="A1993" s="1" t="s">
        <v>2032</v>
      </c>
    </row>
    <row r="1994" spans="1:1" x14ac:dyDescent="0.25">
      <c r="A1994" s="1" t="s">
        <v>2033</v>
      </c>
    </row>
    <row r="1995" spans="1:1" x14ac:dyDescent="0.25">
      <c r="A1995" s="1" t="s">
        <v>2034</v>
      </c>
    </row>
    <row r="1996" spans="1:1" x14ac:dyDescent="0.25">
      <c r="A1996" s="1" t="s">
        <v>2035</v>
      </c>
    </row>
    <row r="1997" spans="1:1" x14ac:dyDescent="0.25">
      <c r="A1997" s="1" t="s">
        <v>2036</v>
      </c>
    </row>
    <row r="1998" spans="1:1" x14ac:dyDescent="0.25">
      <c r="A1998" s="1" t="s">
        <v>2037</v>
      </c>
    </row>
    <row r="1999" spans="1:1" x14ac:dyDescent="0.25">
      <c r="A1999" s="1" t="s">
        <v>2038</v>
      </c>
    </row>
    <row r="2000" spans="1:1" x14ac:dyDescent="0.25">
      <c r="A2000" s="1" t="s">
        <v>2039</v>
      </c>
    </row>
    <row r="2001" spans="1:1" x14ac:dyDescent="0.25">
      <c r="A2001" s="1" t="s">
        <v>2040</v>
      </c>
    </row>
    <row r="2002" spans="1:1" x14ac:dyDescent="0.25">
      <c r="A2002" s="1" t="s">
        <v>2041</v>
      </c>
    </row>
    <row r="2003" spans="1:1" x14ac:dyDescent="0.25">
      <c r="A2003" s="1" t="s">
        <v>2042</v>
      </c>
    </row>
    <row r="2004" spans="1:1" x14ac:dyDescent="0.25">
      <c r="A2004" s="1" t="s">
        <v>2043</v>
      </c>
    </row>
    <row r="2005" spans="1:1" x14ac:dyDescent="0.25">
      <c r="A2005" s="1" t="s">
        <v>2044</v>
      </c>
    </row>
    <row r="2006" spans="1:1" x14ac:dyDescent="0.25">
      <c r="A2006" s="1" t="s">
        <v>2045</v>
      </c>
    </row>
    <row r="2007" spans="1:1" x14ac:dyDescent="0.25">
      <c r="A2007" s="1" t="s">
        <v>2046</v>
      </c>
    </row>
    <row r="2008" spans="1:1" x14ac:dyDescent="0.25">
      <c r="A2008" s="1" t="s">
        <v>2047</v>
      </c>
    </row>
    <row r="2009" spans="1:1" x14ac:dyDescent="0.25">
      <c r="A2009" s="1" t="s">
        <v>2048</v>
      </c>
    </row>
    <row r="2010" spans="1:1" x14ac:dyDescent="0.25">
      <c r="A2010" s="1" t="s">
        <v>2049</v>
      </c>
    </row>
    <row r="2011" spans="1:1" x14ac:dyDescent="0.25">
      <c r="A2011" s="1" t="s">
        <v>2050</v>
      </c>
    </row>
    <row r="2012" spans="1:1" x14ac:dyDescent="0.25">
      <c r="A2012" s="1" t="s">
        <v>2051</v>
      </c>
    </row>
    <row r="2013" spans="1:1" x14ac:dyDescent="0.25">
      <c r="A2013" s="1" t="s">
        <v>2052</v>
      </c>
    </row>
    <row r="2014" spans="1:1" x14ac:dyDescent="0.25">
      <c r="A2014" s="1" t="s">
        <v>2053</v>
      </c>
    </row>
    <row r="2015" spans="1:1" x14ac:dyDescent="0.25">
      <c r="A2015" s="1" t="s">
        <v>2054</v>
      </c>
    </row>
    <row r="2016" spans="1:1" x14ac:dyDescent="0.25">
      <c r="A2016" s="1" t="s">
        <v>2055</v>
      </c>
    </row>
    <row r="2017" spans="1:1" x14ac:dyDescent="0.25">
      <c r="A2017" s="1" t="s">
        <v>2056</v>
      </c>
    </row>
    <row r="2018" spans="1:1" x14ac:dyDescent="0.25">
      <c r="A2018" s="1" t="s">
        <v>2057</v>
      </c>
    </row>
    <row r="2019" spans="1:1" x14ac:dyDescent="0.25">
      <c r="A2019" s="1" t="s">
        <v>2058</v>
      </c>
    </row>
    <row r="2020" spans="1:1" x14ac:dyDescent="0.25">
      <c r="A2020" s="1" t="s">
        <v>2059</v>
      </c>
    </row>
    <row r="2021" spans="1:1" x14ac:dyDescent="0.25">
      <c r="A2021" s="1" t="s">
        <v>2060</v>
      </c>
    </row>
    <row r="2022" spans="1:1" x14ac:dyDescent="0.25">
      <c r="A2022" s="1" t="s">
        <v>2061</v>
      </c>
    </row>
    <row r="2023" spans="1:1" x14ac:dyDescent="0.25">
      <c r="A2023" s="1" t="s">
        <v>2062</v>
      </c>
    </row>
    <row r="2024" spans="1:1" x14ac:dyDescent="0.25">
      <c r="A2024" s="1" t="s">
        <v>2063</v>
      </c>
    </row>
    <row r="2025" spans="1:1" x14ac:dyDescent="0.25">
      <c r="A2025" s="1" t="s">
        <v>2064</v>
      </c>
    </row>
    <row r="2026" spans="1:1" x14ac:dyDescent="0.25">
      <c r="A2026" s="1" t="s">
        <v>2065</v>
      </c>
    </row>
    <row r="2027" spans="1:1" x14ac:dyDescent="0.25">
      <c r="A2027" s="1" t="s">
        <v>2066</v>
      </c>
    </row>
    <row r="2028" spans="1:1" x14ac:dyDescent="0.25">
      <c r="A2028" s="1" t="s">
        <v>2067</v>
      </c>
    </row>
    <row r="2029" spans="1:1" x14ac:dyDescent="0.25">
      <c r="A2029" s="1" t="s">
        <v>2068</v>
      </c>
    </row>
    <row r="2030" spans="1:1" x14ac:dyDescent="0.25">
      <c r="A2030" s="1" t="s">
        <v>2069</v>
      </c>
    </row>
    <row r="2031" spans="1:1" x14ac:dyDescent="0.25">
      <c r="A2031" s="1" t="s">
        <v>2070</v>
      </c>
    </row>
    <row r="2032" spans="1:1" x14ac:dyDescent="0.25">
      <c r="A2032" s="1" t="s">
        <v>2071</v>
      </c>
    </row>
    <row r="2033" spans="1:1" x14ac:dyDescent="0.25">
      <c r="A2033" s="1" t="s">
        <v>2072</v>
      </c>
    </row>
    <row r="2034" spans="1:1" x14ac:dyDescent="0.25">
      <c r="A2034" s="1" t="s">
        <v>2073</v>
      </c>
    </row>
    <row r="2035" spans="1:1" x14ac:dyDescent="0.25">
      <c r="A2035" s="1" t="s">
        <v>2074</v>
      </c>
    </row>
    <row r="2036" spans="1:1" x14ac:dyDescent="0.25">
      <c r="A2036" s="1" t="s">
        <v>2075</v>
      </c>
    </row>
    <row r="2037" spans="1:1" x14ac:dyDescent="0.25">
      <c r="A2037" s="1" t="s">
        <v>2076</v>
      </c>
    </row>
    <row r="2038" spans="1:1" x14ac:dyDescent="0.25">
      <c r="A2038" s="1" t="s">
        <v>2077</v>
      </c>
    </row>
    <row r="2039" spans="1:1" x14ac:dyDescent="0.25">
      <c r="A2039" s="1" t="s">
        <v>2078</v>
      </c>
    </row>
    <row r="2040" spans="1:1" x14ac:dyDescent="0.25">
      <c r="A2040" s="1" t="s">
        <v>2079</v>
      </c>
    </row>
    <row r="2041" spans="1:1" x14ac:dyDescent="0.25">
      <c r="A2041" s="1" t="s">
        <v>2080</v>
      </c>
    </row>
    <row r="2042" spans="1:1" x14ac:dyDescent="0.25">
      <c r="A2042" s="1" t="s">
        <v>2081</v>
      </c>
    </row>
    <row r="2043" spans="1:1" x14ac:dyDescent="0.25">
      <c r="A2043" s="1" t="s">
        <v>2082</v>
      </c>
    </row>
    <row r="2044" spans="1:1" x14ac:dyDescent="0.25">
      <c r="A2044" s="1" t="s">
        <v>2083</v>
      </c>
    </row>
    <row r="2045" spans="1:1" x14ac:dyDescent="0.25">
      <c r="A2045" s="1" t="s">
        <v>2084</v>
      </c>
    </row>
    <row r="2046" spans="1:1" x14ac:dyDescent="0.25">
      <c r="A2046" s="1" t="s">
        <v>2085</v>
      </c>
    </row>
    <row r="2047" spans="1:1" x14ac:dyDescent="0.25">
      <c r="A2047" s="1" t="s">
        <v>2086</v>
      </c>
    </row>
    <row r="2048" spans="1:1" x14ac:dyDescent="0.25">
      <c r="A2048" s="1" t="s">
        <v>2087</v>
      </c>
    </row>
    <row r="2049" spans="1:1" x14ac:dyDescent="0.25">
      <c r="A2049" s="1" t="s">
        <v>2088</v>
      </c>
    </row>
    <row r="2050" spans="1:1" x14ac:dyDescent="0.25">
      <c r="A2050" s="1" t="s">
        <v>2089</v>
      </c>
    </row>
    <row r="2051" spans="1:1" x14ac:dyDescent="0.25">
      <c r="A2051" s="1" t="s">
        <v>2090</v>
      </c>
    </row>
    <row r="2052" spans="1:1" x14ac:dyDescent="0.25">
      <c r="A2052" s="1" t="s">
        <v>2091</v>
      </c>
    </row>
    <row r="2053" spans="1:1" x14ac:dyDescent="0.25">
      <c r="A2053" s="1" t="s">
        <v>2092</v>
      </c>
    </row>
    <row r="2054" spans="1:1" x14ac:dyDescent="0.25">
      <c r="A2054" s="1" t="s">
        <v>2093</v>
      </c>
    </row>
    <row r="2055" spans="1:1" x14ac:dyDescent="0.25">
      <c r="A2055" s="1" t="s">
        <v>2094</v>
      </c>
    </row>
    <row r="2056" spans="1:1" x14ac:dyDescent="0.25">
      <c r="A2056" s="1" t="s">
        <v>2095</v>
      </c>
    </row>
    <row r="2057" spans="1:1" x14ac:dyDescent="0.25">
      <c r="A2057" s="1" t="s">
        <v>2096</v>
      </c>
    </row>
    <row r="2058" spans="1:1" x14ac:dyDescent="0.25">
      <c r="A2058" s="1" t="s">
        <v>2097</v>
      </c>
    </row>
    <row r="2059" spans="1:1" x14ac:dyDescent="0.25">
      <c r="A2059" s="1" t="s">
        <v>2098</v>
      </c>
    </row>
    <row r="2060" spans="1:1" x14ac:dyDescent="0.25">
      <c r="A2060" s="1" t="s">
        <v>2099</v>
      </c>
    </row>
    <row r="2061" spans="1:1" x14ac:dyDescent="0.25">
      <c r="A2061" s="1" t="s">
        <v>2100</v>
      </c>
    </row>
    <row r="2062" spans="1:1" x14ac:dyDescent="0.25">
      <c r="A2062" s="1" t="s">
        <v>2101</v>
      </c>
    </row>
    <row r="2063" spans="1:1" x14ac:dyDescent="0.25">
      <c r="A2063" s="1" t="s">
        <v>2102</v>
      </c>
    </row>
    <row r="2064" spans="1:1" x14ac:dyDescent="0.25">
      <c r="A2064" s="1" t="s">
        <v>2103</v>
      </c>
    </row>
    <row r="2065" spans="1:1" x14ac:dyDescent="0.25">
      <c r="A2065" s="1" t="s">
        <v>2104</v>
      </c>
    </row>
    <row r="2066" spans="1:1" x14ac:dyDescent="0.25">
      <c r="A2066" s="1" t="s">
        <v>2105</v>
      </c>
    </row>
    <row r="2067" spans="1:1" x14ac:dyDescent="0.25">
      <c r="A2067" s="1" t="s">
        <v>2106</v>
      </c>
    </row>
    <row r="2068" spans="1:1" x14ac:dyDescent="0.25">
      <c r="A2068" s="1" t="s">
        <v>2107</v>
      </c>
    </row>
    <row r="2069" spans="1:1" x14ac:dyDescent="0.25">
      <c r="A2069" s="1" t="s">
        <v>2108</v>
      </c>
    </row>
    <row r="2070" spans="1:1" x14ac:dyDescent="0.25">
      <c r="A2070" s="1" t="s">
        <v>2109</v>
      </c>
    </row>
    <row r="2071" spans="1:1" x14ac:dyDescent="0.25">
      <c r="A2071" s="1" t="s">
        <v>2110</v>
      </c>
    </row>
    <row r="2072" spans="1:1" x14ac:dyDescent="0.25">
      <c r="A2072" s="1" t="s">
        <v>2111</v>
      </c>
    </row>
    <row r="2073" spans="1:1" x14ac:dyDescent="0.25">
      <c r="A2073" s="1" t="s">
        <v>2112</v>
      </c>
    </row>
    <row r="2074" spans="1:1" x14ac:dyDescent="0.25">
      <c r="A2074" s="1" t="s">
        <v>2113</v>
      </c>
    </row>
    <row r="2075" spans="1:1" x14ac:dyDescent="0.25">
      <c r="A2075" s="1" t="s">
        <v>2114</v>
      </c>
    </row>
    <row r="2076" spans="1:1" x14ac:dyDescent="0.25">
      <c r="A2076" s="1" t="s">
        <v>2115</v>
      </c>
    </row>
    <row r="2077" spans="1:1" x14ac:dyDescent="0.25">
      <c r="A2077" s="1" t="s">
        <v>2116</v>
      </c>
    </row>
    <row r="2078" spans="1:1" x14ac:dyDescent="0.25">
      <c r="A2078" s="1" t="s">
        <v>2117</v>
      </c>
    </row>
    <row r="2079" spans="1:1" x14ac:dyDescent="0.25">
      <c r="A2079" s="1" t="s">
        <v>2118</v>
      </c>
    </row>
    <row r="2080" spans="1:1" x14ac:dyDescent="0.25">
      <c r="A2080" s="1" t="s">
        <v>2119</v>
      </c>
    </row>
    <row r="2081" spans="1:1" x14ac:dyDescent="0.25">
      <c r="A2081" s="1" t="s">
        <v>2120</v>
      </c>
    </row>
    <row r="2082" spans="1:1" x14ac:dyDescent="0.25">
      <c r="A2082" s="1" t="s">
        <v>2121</v>
      </c>
    </row>
    <row r="2083" spans="1:1" x14ac:dyDescent="0.25">
      <c r="A2083" s="1" t="s">
        <v>2122</v>
      </c>
    </row>
    <row r="2084" spans="1:1" x14ac:dyDescent="0.25">
      <c r="A2084" s="1" t="s">
        <v>2123</v>
      </c>
    </row>
    <row r="2085" spans="1:1" x14ac:dyDescent="0.25">
      <c r="A2085" s="1" t="s">
        <v>2124</v>
      </c>
    </row>
    <row r="2086" spans="1:1" x14ac:dyDescent="0.25">
      <c r="A2086" s="1" t="s">
        <v>2125</v>
      </c>
    </row>
    <row r="2087" spans="1:1" x14ac:dyDescent="0.25">
      <c r="A2087" s="1" t="s">
        <v>2126</v>
      </c>
    </row>
    <row r="2088" spans="1:1" x14ac:dyDescent="0.25">
      <c r="A2088" s="1" t="s">
        <v>2127</v>
      </c>
    </row>
    <row r="2089" spans="1:1" x14ac:dyDescent="0.25">
      <c r="A2089" s="1" t="s">
        <v>2128</v>
      </c>
    </row>
    <row r="2090" spans="1:1" x14ac:dyDescent="0.25">
      <c r="A2090" s="1" t="s">
        <v>2129</v>
      </c>
    </row>
    <row r="2091" spans="1:1" x14ac:dyDescent="0.25">
      <c r="A2091" s="1" t="s">
        <v>2130</v>
      </c>
    </row>
    <row r="2092" spans="1:1" x14ac:dyDescent="0.25">
      <c r="A2092" s="1" t="s">
        <v>2131</v>
      </c>
    </row>
    <row r="2093" spans="1:1" x14ac:dyDescent="0.25">
      <c r="A2093" s="1" t="s">
        <v>2132</v>
      </c>
    </row>
    <row r="2094" spans="1:1" x14ac:dyDescent="0.25">
      <c r="A2094" s="1" t="s">
        <v>2133</v>
      </c>
    </row>
    <row r="2095" spans="1:1" x14ac:dyDescent="0.25">
      <c r="A2095" s="1" t="s">
        <v>2134</v>
      </c>
    </row>
    <row r="2096" spans="1:1" x14ac:dyDescent="0.25">
      <c r="A2096" s="1" t="s">
        <v>2135</v>
      </c>
    </row>
    <row r="2097" spans="1:1" x14ac:dyDescent="0.25">
      <c r="A2097" s="1" t="s">
        <v>2136</v>
      </c>
    </row>
    <row r="2098" spans="1:1" x14ac:dyDescent="0.25">
      <c r="A2098" s="1" t="s">
        <v>2137</v>
      </c>
    </row>
    <row r="2099" spans="1:1" x14ac:dyDescent="0.25">
      <c r="A2099" s="1" t="s">
        <v>2138</v>
      </c>
    </row>
    <row r="2100" spans="1:1" x14ac:dyDescent="0.25">
      <c r="A2100" s="1" t="s">
        <v>2139</v>
      </c>
    </row>
    <row r="2101" spans="1:1" x14ac:dyDescent="0.25">
      <c r="A2101" s="1" t="s">
        <v>2140</v>
      </c>
    </row>
    <row r="2102" spans="1:1" x14ac:dyDescent="0.25">
      <c r="A2102" s="1" t="s">
        <v>2141</v>
      </c>
    </row>
    <row r="2103" spans="1:1" x14ac:dyDescent="0.25">
      <c r="A2103" s="1" t="s">
        <v>2142</v>
      </c>
    </row>
    <row r="2104" spans="1:1" x14ac:dyDescent="0.25">
      <c r="A2104" s="1" t="s">
        <v>2143</v>
      </c>
    </row>
    <row r="2105" spans="1:1" x14ac:dyDescent="0.25">
      <c r="A2105" s="1" t="s">
        <v>2144</v>
      </c>
    </row>
    <row r="2106" spans="1:1" x14ac:dyDescent="0.25">
      <c r="A2106" s="1" t="s">
        <v>2145</v>
      </c>
    </row>
    <row r="2107" spans="1:1" x14ac:dyDescent="0.25">
      <c r="A2107" s="1" t="s">
        <v>2146</v>
      </c>
    </row>
    <row r="2108" spans="1:1" x14ac:dyDescent="0.25">
      <c r="A2108" s="1" t="s">
        <v>2147</v>
      </c>
    </row>
    <row r="2109" spans="1:1" x14ac:dyDescent="0.25">
      <c r="A2109" s="1" t="s">
        <v>2148</v>
      </c>
    </row>
    <row r="2110" spans="1:1" x14ac:dyDescent="0.25">
      <c r="A2110" s="1" t="s">
        <v>2149</v>
      </c>
    </row>
    <row r="2111" spans="1:1" x14ac:dyDescent="0.25">
      <c r="A2111" s="1" t="s">
        <v>2150</v>
      </c>
    </row>
    <row r="2112" spans="1:1" x14ac:dyDescent="0.25">
      <c r="A2112" s="1" t="s">
        <v>2151</v>
      </c>
    </row>
    <row r="2113" spans="1:1" x14ac:dyDescent="0.25">
      <c r="A2113" s="1" t="s">
        <v>2152</v>
      </c>
    </row>
    <row r="2114" spans="1:1" x14ac:dyDescent="0.25">
      <c r="A2114" s="1" t="s">
        <v>2153</v>
      </c>
    </row>
    <row r="2115" spans="1:1" x14ac:dyDescent="0.25">
      <c r="A2115" s="1" t="s">
        <v>2154</v>
      </c>
    </row>
    <row r="2116" spans="1:1" x14ac:dyDescent="0.25">
      <c r="A2116" s="1" t="s">
        <v>2155</v>
      </c>
    </row>
    <row r="2117" spans="1:1" x14ac:dyDescent="0.25">
      <c r="A2117" s="1" t="s">
        <v>2156</v>
      </c>
    </row>
    <row r="2118" spans="1:1" x14ac:dyDescent="0.25">
      <c r="A2118" s="1" t="s">
        <v>2157</v>
      </c>
    </row>
    <row r="2119" spans="1:1" x14ac:dyDescent="0.25">
      <c r="A2119" s="1" t="s">
        <v>2158</v>
      </c>
    </row>
    <row r="2120" spans="1:1" x14ac:dyDescent="0.25">
      <c r="A2120" s="1" t="s">
        <v>2159</v>
      </c>
    </row>
    <row r="2121" spans="1:1" x14ac:dyDescent="0.25">
      <c r="A2121" s="1" t="s">
        <v>2160</v>
      </c>
    </row>
    <row r="2122" spans="1:1" x14ac:dyDescent="0.25">
      <c r="A2122" s="1" t="s">
        <v>2161</v>
      </c>
    </row>
    <row r="2123" spans="1:1" x14ac:dyDescent="0.25">
      <c r="A2123" s="1" t="s">
        <v>2162</v>
      </c>
    </row>
    <row r="2124" spans="1:1" x14ac:dyDescent="0.25">
      <c r="A2124" s="1" t="s">
        <v>2163</v>
      </c>
    </row>
    <row r="2125" spans="1:1" x14ac:dyDescent="0.25">
      <c r="A2125" s="1" t="s">
        <v>2164</v>
      </c>
    </row>
    <row r="2126" spans="1:1" x14ac:dyDescent="0.25">
      <c r="A2126" s="1" t="s">
        <v>2165</v>
      </c>
    </row>
    <row r="2127" spans="1:1" x14ac:dyDescent="0.25">
      <c r="A2127" s="1" t="s">
        <v>2166</v>
      </c>
    </row>
    <row r="2128" spans="1:1" x14ac:dyDescent="0.25">
      <c r="A2128" s="1" t="s">
        <v>2167</v>
      </c>
    </row>
    <row r="2129" spans="1:1" x14ac:dyDescent="0.25">
      <c r="A2129" s="1" t="s">
        <v>2168</v>
      </c>
    </row>
    <row r="2130" spans="1:1" x14ac:dyDescent="0.25">
      <c r="A2130" s="1" t="s">
        <v>2169</v>
      </c>
    </row>
    <row r="2131" spans="1:1" x14ac:dyDescent="0.25">
      <c r="A2131" s="1" t="s">
        <v>2170</v>
      </c>
    </row>
    <row r="2132" spans="1:1" x14ac:dyDescent="0.25">
      <c r="A2132" s="1" t="s">
        <v>2171</v>
      </c>
    </row>
    <row r="2133" spans="1:1" x14ac:dyDescent="0.25">
      <c r="A2133" s="1" t="s">
        <v>2172</v>
      </c>
    </row>
    <row r="2134" spans="1:1" x14ac:dyDescent="0.25">
      <c r="A2134" s="1" t="s">
        <v>2173</v>
      </c>
    </row>
    <row r="2135" spans="1:1" x14ac:dyDescent="0.25">
      <c r="A2135" s="1" t="s">
        <v>2174</v>
      </c>
    </row>
    <row r="2136" spans="1:1" x14ac:dyDescent="0.25">
      <c r="A2136" s="1" t="s">
        <v>2175</v>
      </c>
    </row>
    <row r="2137" spans="1:1" x14ac:dyDescent="0.25">
      <c r="A2137" s="1" t="s">
        <v>2176</v>
      </c>
    </row>
    <row r="2138" spans="1:1" x14ac:dyDescent="0.25">
      <c r="A2138" s="1" t="s">
        <v>2177</v>
      </c>
    </row>
    <row r="2139" spans="1:1" x14ac:dyDescent="0.25">
      <c r="A2139" s="1" t="s">
        <v>2178</v>
      </c>
    </row>
    <row r="2140" spans="1:1" x14ac:dyDescent="0.25">
      <c r="A2140" s="1" t="s">
        <v>2179</v>
      </c>
    </row>
    <row r="2141" spans="1:1" x14ac:dyDescent="0.25">
      <c r="A2141" s="1" t="s">
        <v>2180</v>
      </c>
    </row>
    <row r="2142" spans="1:1" x14ac:dyDescent="0.25">
      <c r="A2142" s="1" t="s">
        <v>2181</v>
      </c>
    </row>
    <row r="2143" spans="1:1" x14ac:dyDescent="0.25">
      <c r="A2143" s="1" t="s">
        <v>2182</v>
      </c>
    </row>
    <row r="2144" spans="1:1" x14ac:dyDescent="0.25">
      <c r="A2144" s="1" t="s">
        <v>2183</v>
      </c>
    </row>
    <row r="2145" spans="1:1" x14ac:dyDescent="0.25">
      <c r="A2145" s="1" t="s">
        <v>2184</v>
      </c>
    </row>
    <row r="2146" spans="1:1" x14ac:dyDescent="0.25">
      <c r="A2146" s="1" t="s">
        <v>2185</v>
      </c>
    </row>
    <row r="2147" spans="1:1" x14ac:dyDescent="0.25">
      <c r="A2147" s="1" t="s">
        <v>2186</v>
      </c>
    </row>
    <row r="2148" spans="1:1" x14ac:dyDescent="0.25">
      <c r="A2148" s="1" t="s">
        <v>2187</v>
      </c>
    </row>
    <row r="2149" spans="1:1" x14ac:dyDescent="0.25">
      <c r="A2149" s="1" t="s">
        <v>2188</v>
      </c>
    </row>
    <row r="2150" spans="1:1" x14ac:dyDescent="0.25">
      <c r="A2150" s="1" t="s">
        <v>2189</v>
      </c>
    </row>
    <row r="2151" spans="1:1" x14ac:dyDescent="0.25">
      <c r="A2151" s="1" t="s">
        <v>2190</v>
      </c>
    </row>
    <row r="2152" spans="1:1" x14ac:dyDescent="0.25">
      <c r="A2152" s="1" t="s">
        <v>2191</v>
      </c>
    </row>
    <row r="2153" spans="1:1" x14ac:dyDescent="0.25">
      <c r="A2153" s="1" t="s">
        <v>2192</v>
      </c>
    </row>
    <row r="2154" spans="1:1" x14ac:dyDescent="0.25">
      <c r="A2154" s="1" t="s">
        <v>2193</v>
      </c>
    </row>
    <row r="2155" spans="1:1" x14ac:dyDescent="0.25">
      <c r="A2155" s="1" t="s">
        <v>2194</v>
      </c>
    </row>
    <row r="2156" spans="1:1" x14ac:dyDescent="0.25">
      <c r="A2156" s="1" t="s">
        <v>2195</v>
      </c>
    </row>
    <row r="2157" spans="1:1" x14ac:dyDescent="0.25">
      <c r="A2157" s="1" t="s">
        <v>2196</v>
      </c>
    </row>
    <row r="2158" spans="1:1" x14ac:dyDescent="0.25">
      <c r="A2158" s="1" t="s">
        <v>2197</v>
      </c>
    </row>
    <row r="2159" spans="1:1" x14ac:dyDescent="0.25">
      <c r="A2159" s="1" t="s">
        <v>2198</v>
      </c>
    </row>
    <row r="2160" spans="1:1" x14ac:dyDescent="0.25">
      <c r="A2160" s="1" t="s">
        <v>2199</v>
      </c>
    </row>
    <row r="2161" spans="1:1" x14ac:dyDescent="0.25">
      <c r="A2161" s="1" t="s">
        <v>2200</v>
      </c>
    </row>
    <row r="2162" spans="1:1" x14ac:dyDescent="0.25">
      <c r="A2162" s="1" t="s">
        <v>2201</v>
      </c>
    </row>
    <row r="2163" spans="1:1" x14ac:dyDescent="0.25">
      <c r="A2163" s="1" t="s">
        <v>2202</v>
      </c>
    </row>
    <row r="2164" spans="1:1" x14ac:dyDescent="0.25">
      <c r="A2164" s="1" t="s">
        <v>2203</v>
      </c>
    </row>
    <row r="2165" spans="1:1" x14ac:dyDescent="0.25">
      <c r="A2165" s="1" t="s">
        <v>2204</v>
      </c>
    </row>
    <row r="2166" spans="1:1" x14ac:dyDescent="0.25">
      <c r="A2166" s="1" t="s">
        <v>2205</v>
      </c>
    </row>
    <row r="2167" spans="1:1" x14ac:dyDescent="0.25">
      <c r="A2167" s="1" t="s">
        <v>2206</v>
      </c>
    </row>
    <row r="2168" spans="1:1" x14ac:dyDescent="0.25">
      <c r="A2168" s="1" t="s">
        <v>2207</v>
      </c>
    </row>
    <row r="2169" spans="1:1" x14ac:dyDescent="0.25">
      <c r="A2169" s="1" t="s">
        <v>2208</v>
      </c>
    </row>
    <row r="2170" spans="1:1" x14ac:dyDescent="0.25">
      <c r="A2170" s="1" t="s">
        <v>2209</v>
      </c>
    </row>
    <row r="2171" spans="1:1" x14ac:dyDescent="0.25">
      <c r="A2171" s="1" t="s">
        <v>2210</v>
      </c>
    </row>
    <row r="2172" spans="1:1" x14ac:dyDescent="0.25">
      <c r="A2172" s="1" t="s">
        <v>2211</v>
      </c>
    </row>
    <row r="2173" spans="1:1" x14ac:dyDescent="0.25">
      <c r="A2173" s="1" t="s">
        <v>2212</v>
      </c>
    </row>
    <row r="2174" spans="1:1" x14ac:dyDescent="0.25">
      <c r="A2174" s="1" t="s">
        <v>2213</v>
      </c>
    </row>
    <row r="2175" spans="1:1" x14ac:dyDescent="0.25">
      <c r="A2175" s="1" t="s">
        <v>2214</v>
      </c>
    </row>
    <row r="2176" spans="1:1" x14ac:dyDescent="0.25">
      <c r="A2176" s="1" t="s">
        <v>2215</v>
      </c>
    </row>
    <row r="2177" spans="1:1" x14ac:dyDescent="0.25">
      <c r="A2177" s="1" t="s">
        <v>2216</v>
      </c>
    </row>
    <row r="2178" spans="1:1" x14ac:dyDescent="0.25">
      <c r="A2178" s="1" t="s">
        <v>2217</v>
      </c>
    </row>
    <row r="2179" spans="1:1" x14ac:dyDescent="0.25">
      <c r="A2179" s="1" t="s">
        <v>2218</v>
      </c>
    </row>
    <row r="2180" spans="1:1" x14ac:dyDescent="0.25">
      <c r="A2180" s="1" t="s">
        <v>2219</v>
      </c>
    </row>
    <row r="2181" spans="1:1" x14ac:dyDescent="0.25">
      <c r="A2181" s="1" t="s">
        <v>2220</v>
      </c>
    </row>
    <row r="2182" spans="1:1" x14ac:dyDescent="0.25">
      <c r="A2182" s="1" t="s">
        <v>2221</v>
      </c>
    </row>
    <row r="2183" spans="1:1" x14ac:dyDescent="0.25">
      <c r="A2183" s="1" t="s">
        <v>2222</v>
      </c>
    </row>
    <row r="2184" spans="1:1" x14ac:dyDescent="0.25">
      <c r="A2184" s="1" t="s">
        <v>2223</v>
      </c>
    </row>
    <row r="2185" spans="1:1" x14ac:dyDescent="0.25">
      <c r="A2185" s="1" t="s">
        <v>2224</v>
      </c>
    </row>
    <row r="2186" spans="1:1" x14ac:dyDescent="0.25">
      <c r="A2186" s="1" t="s">
        <v>2225</v>
      </c>
    </row>
    <row r="2187" spans="1:1" x14ac:dyDescent="0.25">
      <c r="A2187" s="1" t="s">
        <v>2226</v>
      </c>
    </row>
    <row r="2188" spans="1:1" x14ac:dyDescent="0.25">
      <c r="A2188" s="1" t="s">
        <v>2227</v>
      </c>
    </row>
    <row r="2189" spans="1:1" x14ac:dyDescent="0.25">
      <c r="A2189" s="1" t="s">
        <v>2228</v>
      </c>
    </row>
    <row r="2190" spans="1:1" x14ac:dyDescent="0.25">
      <c r="A2190" s="1" t="s">
        <v>2229</v>
      </c>
    </row>
    <row r="2191" spans="1:1" x14ac:dyDescent="0.25">
      <c r="A2191" s="1" t="s">
        <v>2230</v>
      </c>
    </row>
    <row r="2192" spans="1:1" x14ac:dyDescent="0.25">
      <c r="A2192" s="1" t="s">
        <v>2231</v>
      </c>
    </row>
    <row r="2193" spans="1:1" x14ac:dyDescent="0.25">
      <c r="A2193" s="1" t="s">
        <v>2232</v>
      </c>
    </row>
    <row r="2194" spans="1:1" x14ac:dyDescent="0.25">
      <c r="A2194" s="1" t="s">
        <v>2233</v>
      </c>
    </row>
    <row r="2195" spans="1:1" x14ac:dyDescent="0.25">
      <c r="A2195" s="1" t="s">
        <v>2234</v>
      </c>
    </row>
    <row r="2196" spans="1:1" x14ac:dyDescent="0.25">
      <c r="A2196" s="1" t="s">
        <v>2235</v>
      </c>
    </row>
    <row r="2197" spans="1:1" x14ac:dyDescent="0.25">
      <c r="A2197" s="1" t="s">
        <v>2236</v>
      </c>
    </row>
    <row r="2198" spans="1:1" x14ac:dyDescent="0.25">
      <c r="A2198" s="1" t="s">
        <v>2237</v>
      </c>
    </row>
    <row r="2199" spans="1:1" x14ac:dyDescent="0.25">
      <c r="A2199" s="1" t="s">
        <v>2238</v>
      </c>
    </row>
    <row r="2200" spans="1:1" x14ac:dyDescent="0.25">
      <c r="A2200" s="1" t="s">
        <v>2239</v>
      </c>
    </row>
    <row r="2201" spans="1:1" x14ac:dyDescent="0.25">
      <c r="A2201" s="1" t="s">
        <v>2240</v>
      </c>
    </row>
    <row r="2202" spans="1:1" x14ac:dyDescent="0.25">
      <c r="A2202" s="1" t="s">
        <v>2241</v>
      </c>
    </row>
    <row r="2203" spans="1:1" x14ac:dyDescent="0.25">
      <c r="A2203" s="1" t="s">
        <v>2242</v>
      </c>
    </row>
    <row r="2204" spans="1:1" x14ac:dyDescent="0.25">
      <c r="A2204" s="1" t="s">
        <v>2243</v>
      </c>
    </row>
    <row r="2205" spans="1:1" x14ac:dyDescent="0.25">
      <c r="A2205" s="1" t="s">
        <v>2244</v>
      </c>
    </row>
    <row r="2206" spans="1:1" x14ac:dyDescent="0.25">
      <c r="A2206" s="1" t="s">
        <v>2245</v>
      </c>
    </row>
    <row r="2207" spans="1:1" x14ac:dyDescent="0.25">
      <c r="A2207" s="1" t="s">
        <v>2246</v>
      </c>
    </row>
    <row r="2208" spans="1:1" x14ac:dyDescent="0.25">
      <c r="A2208" s="1" t="s">
        <v>2247</v>
      </c>
    </row>
    <row r="2209" spans="1:1" x14ac:dyDescent="0.25">
      <c r="A2209" s="1" t="s">
        <v>2248</v>
      </c>
    </row>
    <row r="2210" spans="1:1" x14ac:dyDescent="0.25">
      <c r="A2210" s="1" t="s">
        <v>2249</v>
      </c>
    </row>
    <row r="2211" spans="1:1" x14ac:dyDescent="0.25">
      <c r="A2211" s="1" t="s">
        <v>2250</v>
      </c>
    </row>
    <row r="2212" spans="1:1" x14ac:dyDescent="0.25">
      <c r="A2212" s="1" t="s">
        <v>2251</v>
      </c>
    </row>
    <row r="2213" spans="1:1" x14ac:dyDescent="0.25">
      <c r="A2213" s="1" t="s">
        <v>2252</v>
      </c>
    </row>
    <row r="2214" spans="1:1" x14ac:dyDescent="0.25">
      <c r="A2214" s="1" t="s">
        <v>2253</v>
      </c>
    </row>
    <row r="2215" spans="1:1" x14ac:dyDescent="0.25">
      <c r="A2215" s="1" t="s">
        <v>2254</v>
      </c>
    </row>
    <row r="2216" spans="1:1" x14ac:dyDescent="0.25">
      <c r="A2216" s="1" t="s">
        <v>2255</v>
      </c>
    </row>
    <row r="2217" spans="1:1" x14ac:dyDescent="0.25">
      <c r="A2217" s="1" t="s">
        <v>2256</v>
      </c>
    </row>
    <row r="2218" spans="1:1" x14ac:dyDescent="0.25">
      <c r="A2218" s="1" t="s">
        <v>2257</v>
      </c>
    </row>
    <row r="2219" spans="1:1" x14ac:dyDescent="0.25">
      <c r="A2219" s="1" t="s">
        <v>2258</v>
      </c>
    </row>
    <row r="2220" spans="1:1" x14ac:dyDescent="0.25">
      <c r="A2220" s="1" t="s">
        <v>2259</v>
      </c>
    </row>
    <row r="2221" spans="1:1" x14ac:dyDescent="0.25">
      <c r="A2221" s="1" t="s">
        <v>2260</v>
      </c>
    </row>
    <row r="2222" spans="1:1" x14ac:dyDescent="0.25">
      <c r="A2222" s="1" t="s">
        <v>2261</v>
      </c>
    </row>
    <row r="2223" spans="1:1" x14ac:dyDescent="0.25">
      <c r="A2223" s="1" t="s">
        <v>2262</v>
      </c>
    </row>
    <row r="2224" spans="1:1" x14ac:dyDescent="0.25">
      <c r="A2224" s="1" t="s">
        <v>2263</v>
      </c>
    </row>
    <row r="2225" spans="1:1" x14ac:dyDescent="0.25">
      <c r="A2225" s="1" t="s">
        <v>2264</v>
      </c>
    </row>
    <row r="2226" spans="1:1" x14ac:dyDescent="0.25">
      <c r="A2226" s="1" t="s">
        <v>2265</v>
      </c>
    </row>
    <row r="2227" spans="1:1" x14ac:dyDescent="0.25">
      <c r="A2227" s="1" t="s">
        <v>2266</v>
      </c>
    </row>
    <row r="2228" spans="1:1" x14ac:dyDescent="0.25">
      <c r="A2228" s="1" t="s">
        <v>2267</v>
      </c>
    </row>
    <row r="2229" spans="1:1" x14ac:dyDescent="0.25">
      <c r="A2229" s="1" t="s">
        <v>2268</v>
      </c>
    </row>
    <row r="2230" spans="1:1" x14ac:dyDescent="0.25">
      <c r="A2230" s="1" t="s">
        <v>2269</v>
      </c>
    </row>
    <row r="2231" spans="1:1" x14ac:dyDescent="0.25">
      <c r="A2231" s="1" t="s">
        <v>2270</v>
      </c>
    </row>
    <row r="2232" spans="1:1" x14ac:dyDescent="0.25">
      <c r="A2232" s="1" t="s">
        <v>2271</v>
      </c>
    </row>
    <row r="2233" spans="1:1" x14ac:dyDescent="0.25">
      <c r="A2233" s="1" t="s">
        <v>2272</v>
      </c>
    </row>
    <row r="2234" spans="1:1" x14ac:dyDescent="0.25">
      <c r="A2234" s="1" t="s">
        <v>2273</v>
      </c>
    </row>
    <row r="2235" spans="1:1" x14ac:dyDescent="0.25">
      <c r="A2235" s="1" t="s">
        <v>2274</v>
      </c>
    </row>
    <row r="2236" spans="1:1" x14ac:dyDescent="0.25">
      <c r="A2236" s="1" t="s">
        <v>2275</v>
      </c>
    </row>
    <row r="2237" spans="1:1" x14ac:dyDescent="0.25">
      <c r="A2237" s="1" t="s">
        <v>2276</v>
      </c>
    </row>
    <row r="2238" spans="1:1" x14ac:dyDescent="0.25">
      <c r="A2238" s="1" t="s">
        <v>2277</v>
      </c>
    </row>
    <row r="2239" spans="1:1" x14ac:dyDescent="0.25">
      <c r="A2239" s="1" t="s">
        <v>2278</v>
      </c>
    </row>
    <row r="2240" spans="1:1" x14ac:dyDescent="0.25">
      <c r="A2240" s="1" t="s">
        <v>2279</v>
      </c>
    </row>
    <row r="2241" spans="1:1" x14ac:dyDescent="0.25">
      <c r="A2241" s="1" t="s">
        <v>2280</v>
      </c>
    </row>
    <row r="2242" spans="1:1" x14ac:dyDescent="0.25">
      <c r="A2242" s="1" t="s">
        <v>2281</v>
      </c>
    </row>
    <row r="2243" spans="1:1" x14ac:dyDescent="0.25">
      <c r="A2243" s="1" t="s">
        <v>2282</v>
      </c>
    </row>
    <row r="2244" spans="1:1" x14ac:dyDescent="0.25">
      <c r="A2244" s="1" t="s">
        <v>2283</v>
      </c>
    </row>
    <row r="2245" spans="1:1" x14ac:dyDescent="0.25">
      <c r="A2245" s="1" t="s">
        <v>2284</v>
      </c>
    </row>
    <row r="2246" spans="1:1" x14ac:dyDescent="0.25">
      <c r="A2246" s="1" t="s">
        <v>2285</v>
      </c>
    </row>
    <row r="2247" spans="1:1" x14ac:dyDescent="0.25">
      <c r="A2247" s="1" t="s">
        <v>2286</v>
      </c>
    </row>
    <row r="2248" spans="1:1" x14ac:dyDescent="0.25">
      <c r="A2248" s="1" t="s">
        <v>2287</v>
      </c>
    </row>
    <row r="2249" spans="1:1" x14ac:dyDescent="0.25">
      <c r="A2249" s="1" t="s">
        <v>2288</v>
      </c>
    </row>
    <row r="2250" spans="1:1" x14ac:dyDescent="0.25">
      <c r="A2250" s="1" t="s">
        <v>2289</v>
      </c>
    </row>
    <row r="2251" spans="1:1" x14ac:dyDescent="0.25">
      <c r="A2251" s="1" t="s">
        <v>2290</v>
      </c>
    </row>
    <row r="2252" spans="1:1" x14ac:dyDescent="0.25">
      <c r="A2252" s="1" t="s">
        <v>2291</v>
      </c>
    </row>
    <row r="2253" spans="1:1" x14ac:dyDescent="0.25">
      <c r="A2253" s="1" t="s">
        <v>2292</v>
      </c>
    </row>
    <row r="2254" spans="1:1" x14ac:dyDescent="0.25">
      <c r="A2254" s="1" t="s">
        <v>2293</v>
      </c>
    </row>
    <row r="2255" spans="1:1" x14ac:dyDescent="0.25">
      <c r="A2255" s="1" t="s">
        <v>2294</v>
      </c>
    </row>
    <row r="2256" spans="1:1" x14ac:dyDescent="0.25">
      <c r="A2256" s="1" t="s">
        <v>2295</v>
      </c>
    </row>
    <row r="2257" spans="1:1" x14ac:dyDescent="0.25">
      <c r="A2257" s="1" t="s">
        <v>2296</v>
      </c>
    </row>
    <row r="2258" spans="1:1" x14ac:dyDescent="0.25">
      <c r="A2258" s="1" t="s">
        <v>2297</v>
      </c>
    </row>
    <row r="2259" spans="1:1" x14ac:dyDescent="0.25">
      <c r="A2259" s="1" t="s">
        <v>2298</v>
      </c>
    </row>
    <row r="2260" spans="1:1" x14ac:dyDescent="0.25">
      <c r="A2260" s="1" t="s">
        <v>2299</v>
      </c>
    </row>
    <row r="2261" spans="1:1" x14ac:dyDescent="0.25">
      <c r="A2261" s="1" t="s">
        <v>2300</v>
      </c>
    </row>
    <row r="2262" spans="1:1" x14ac:dyDescent="0.25">
      <c r="A2262" s="1" t="s">
        <v>2301</v>
      </c>
    </row>
    <row r="2263" spans="1:1" x14ac:dyDescent="0.25">
      <c r="A2263" s="1" t="s">
        <v>2302</v>
      </c>
    </row>
    <row r="2264" spans="1:1" x14ac:dyDescent="0.25">
      <c r="A2264" s="1" t="s">
        <v>2303</v>
      </c>
    </row>
    <row r="2265" spans="1:1" x14ac:dyDescent="0.25">
      <c r="A2265" s="1" t="s">
        <v>2304</v>
      </c>
    </row>
    <row r="2266" spans="1:1" x14ac:dyDescent="0.25">
      <c r="A2266" s="1" t="s">
        <v>2305</v>
      </c>
    </row>
    <row r="2267" spans="1:1" x14ac:dyDescent="0.25">
      <c r="A2267" s="1" t="s">
        <v>2306</v>
      </c>
    </row>
    <row r="2268" spans="1:1" x14ac:dyDescent="0.25">
      <c r="A2268" s="1" t="s">
        <v>2307</v>
      </c>
    </row>
    <row r="2269" spans="1:1" x14ac:dyDescent="0.25">
      <c r="A2269" s="1" t="s">
        <v>2308</v>
      </c>
    </row>
    <row r="2270" spans="1:1" x14ac:dyDescent="0.25">
      <c r="A2270" s="1" t="s">
        <v>2309</v>
      </c>
    </row>
    <row r="2271" spans="1:1" x14ac:dyDescent="0.25">
      <c r="A2271" s="1" t="s">
        <v>2310</v>
      </c>
    </row>
    <row r="2272" spans="1:1" x14ac:dyDescent="0.25">
      <c r="A2272" s="1" t="s">
        <v>2311</v>
      </c>
    </row>
    <row r="2273" spans="1:1" x14ac:dyDescent="0.25">
      <c r="A2273" s="1" t="s">
        <v>2312</v>
      </c>
    </row>
    <row r="2274" spans="1:1" x14ac:dyDescent="0.25">
      <c r="A2274" s="1" t="s">
        <v>2313</v>
      </c>
    </row>
    <row r="2275" spans="1:1" x14ac:dyDescent="0.25">
      <c r="A2275" s="1" t="s">
        <v>2314</v>
      </c>
    </row>
    <row r="2276" spans="1:1" x14ac:dyDescent="0.25">
      <c r="A2276" s="1" t="s">
        <v>2315</v>
      </c>
    </row>
    <row r="2277" spans="1:1" x14ac:dyDescent="0.25">
      <c r="A2277" s="1" t="s">
        <v>2316</v>
      </c>
    </row>
    <row r="2278" spans="1:1" x14ac:dyDescent="0.25">
      <c r="A2278" s="1" t="s">
        <v>2317</v>
      </c>
    </row>
    <row r="2279" spans="1:1" x14ac:dyDescent="0.25">
      <c r="A2279" s="1" t="s">
        <v>2318</v>
      </c>
    </row>
    <row r="2280" spans="1:1" x14ac:dyDescent="0.25">
      <c r="A2280" s="1" t="s">
        <v>2319</v>
      </c>
    </row>
    <row r="2281" spans="1:1" x14ac:dyDescent="0.25">
      <c r="A2281" s="1" t="s">
        <v>2320</v>
      </c>
    </row>
    <row r="2282" spans="1:1" x14ac:dyDescent="0.25">
      <c r="A2282" s="1" t="s">
        <v>2321</v>
      </c>
    </row>
    <row r="2283" spans="1:1" x14ac:dyDescent="0.25">
      <c r="A2283" s="1" t="s">
        <v>2322</v>
      </c>
    </row>
    <row r="2284" spans="1:1" x14ac:dyDescent="0.25">
      <c r="A2284" s="1" t="s">
        <v>2323</v>
      </c>
    </row>
    <row r="2285" spans="1:1" x14ac:dyDescent="0.25">
      <c r="A2285" s="1" t="s">
        <v>2324</v>
      </c>
    </row>
    <row r="2286" spans="1:1" x14ac:dyDescent="0.25">
      <c r="A2286" s="1" t="s">
        <v>2325</v>
      </c>
    </row>
    <row r="2287" spans="1:1" x14ac:dyDescent="0.25">
      <c r="A2287" s="1" t="s">
        <v>2326</v>
      </c>
    </row>
    <row r="2288" spans="1:1" x14ac:dyDescent="0.25">
      <c r="A2288" s="1" t="s">
        <v>2327</v>
      </c>
    </row>
    <row r="2289" spans="1:1" x14ac:dyDescent="0.25">
      <c r="A2289" s="1" t="s">
        <v>2328</v>
      </c>
    </row>
    <row r="2290" spans="1:1" x14ac:dyDescent="0.25">
      <c r="A2290" s="1" t="s">
        <v>2329</v>
      </c>
    </row>
    <row r="2291" spans="1:1" x14ac:dyDescent="0.25">
      <c r="A2291" s="1" t="s">
        <v>2330</v>
      </c>
    </row>
    <row r="2292" spans="1:1" x14ac:dyDescent="0.25">
      <c r="A2292" s="1" t="s">
        <v>2331</v>
      </c>
    </row>
    <row r="2293" spans="1:1" x14ac:dyDescent="0.25">
      <c r="A2293" s="1" t="s">
        <v>2332</v>
      </c>
    </row>
    <row r="2294" spans="1:1" x14ac:dyDescent="0.25">
      <c r="A2294" s="1" t="s">
        <v>2333</v>
      </c>
    </row>
    <row r="2295" spans="1:1" x14ac:dyDescent="0.25">
      <c r="A2295" s="1" t="s">
        <v>2334</v>
      </c>
    </row>
    <row r="2296" spans="1:1" x14ac:dyDescent="0.25">
      <c r="A2296" s="1" t="s">
        <v>2335</v>
      </c>
    </row>
    <row r="2297" spans="1:1" x14ac:dyDescent="0.25">
      <c r="A2297" s="1" t="s">
        <v>2336</v>
      </c>
    </row>
    <row r="2298" spans="1:1" x14ac:dyDescent="0.25">
      <c r="A2298" s="1" t="s">
        <v>2337</v>
      </c>
    </row>
    <row r="2299" spans="1:1" x14ac:dyDescent="0.25">
      <c r="A2299" s="1" t="s">
        <v>2338</v>
      </c>
    </row>
    <row r="2300" spans="1:1" x14ac:dyDescent="0.25">
      <c r="A2300" s="1" t="s">
        <v>2339</v>
      </c>
    </row>
    <row r="2301" spans="1:1" x14ac:dyDescent="0.25">
      <c r="A2301" s="1" t="s">
        <v>2340</v>
      </c>
    </row>
    <row r="2302" spans="1:1" x14ac:dyDescent="0.25">
      <c r="A2302" s="1" t="s">
        <v>2341</v>
      </c>
    </row>
    <row r="2303" spans="1:1" x14ac:dyDescent="0.25">
      <c r="A2303" s="1" t="s">
        <v>2342</v>
      </c>
    </row>
    <row r="2304" spans="1:1" x14ac:dyDescent="0.25">
      <c r="A2304" s="1" t="s">
        <v>2343</v>
      </c>
    </row>
    <row r="2305" spans="1:1" x14ac:dyDescent="0.25">
      <c r="A2305" s="1" t="s">
        <v>2344</v>
      </c>
    </row>
    <row r="2306" spans="1:1" x14ac:dyDescent="0.25">
      <c r="A2306" s="1" t="s">
        <v>2345</v>
      </c>
    </row>
    <row r="2307" spans="1:1" x14ac:dyDescent="0.25">
      <c r="A2307" s="1" t="s">
        <v>2346</v>
      </c>
    </row>
    <row r="2308" spans="1:1" x14ac:dyDescent="0.25">
      <c r="A2308" s="1" t="s">
        <v>2347</v>
      </c>
    </row>
    <row r="2309" spans="1:1" x14ac:dyDescent="0.25">
      <c r="A2309" s="1" t="s">
        <v>2348</v>
      </c>
    </row>
    <row r="2310" spans="1:1" x14ac:dyDescent="0.25">
      <c r="A2310" s="1" t="s">
        <v>2349</v>
      </c>
    </row>
    <row r="2311" spans="1:1" x14ac:dyDescent="0.25">
      <c r="A2311" s="1" t="s">
        <v>2350</v>
      </c>
    </row>
    <row r="2312" spans="1:1" x14ac:dyDescent="0.25">
      <c r="A2312" s="1" t="s">
        <v>2351</v>
      </c>
    </row>
    <row r="2313" spans="1:1" x14ac:dyDescent="0.25">
      <c r="A2313" s="1" t="s">
        <v>2352</v>
      </c>
    </row>
    <row r="2314" spans="1:1" x14ac:dyDescent="0.25">
      <c r="A2314" s="1" t="s">
        <v>2353</v>
      </c>
    </row>
    <row r="2315" spans="1:1" x14ac:dyDescent="0.25">
      <c r="A2315" s="1" t="s">
        <v>2354</v>
      </c>
    </row>
    <row r="2316" spans="1:1" x14ac:dyDescent="0.25">
      <c r="A2316" s="1" t="s">
        <v>2355</v>
      </c>
    </row>
    <row r="2317" spans="1:1" x14ac:dyDescent="0.25">
      <c r="A2317" s="1" t="s">
        <v>2356</v>
      </c>
    </row>
    <row r="2318" spans="1:1" x14ac:dyDescent="0.25">
      <c r="A2318" s="1" t="s">
        <v>2357</v>
      </c>
    </row>
    <row r="2319" spans="1:1" x14ac:dyDescent="0.25">
      <c r="A2319" s="1" t="s">
        <v>2358</v>
      </c>
    </row>
    <row r="2320" spans="1:1" x14ac:dyDescent="0.25">
      <c r="A2320" s="1" t="s">
        <v>2359</v>
      </c>
    </row>
    <row r="2321" spans="1:1" x14ac:dyDescent="0.25">
      <c r="A2321" s="1" t="s">
        <v>2360</v>
      </c>
    </row>
    <row r="2322" spans="1:1" x14ac:dyDescent="0.25">
      <c r="A2322" s="1" t="s">
        <v>2361</v>
      </c>
    </row>
    <row r="2323" spans="1:1" x14ac:dyDescent="0.25">
      <c r="A2323" s="1" t="s">
        <v>2362</v>
      </c>
    </row>
    <row r="2324" spans="1:1" x14ac:dyDescent="0.25">
      <c r="A2324" s="1" t="s">
        <v>2363</v>
      </c>
    </row>
    <row r="2325" spans="1:1" x14ac:dyDescent="0.25">
      <c r="A2325" s="1" t="s">
        <v>2364</v>
      </c>
    </row>
    <row r="2326" spans="1:1" x14ac:dyDescent="0.25">
      <c r="A2326" s="1" t="s">
        <v>2365</v>
      </c>
    </row>
    <row r="2327" spans="1:1" x14ac:dyDescent="0.25">
      <c r="A2327" s="1" t="s">
        <v>2366</v>
      </c>
    </row>
    <row r="2328" spans="1:1" x14ac:dyDescent="0.25">
      <c r="A2328" s="1" t="s">
        <v>2367</v>
      </c>
    </row>
    <row r="2329" spans="1:1" x14ac:dyDescent="0.25">
      <c r="A2329" s="1" t="s">
        <v>2368</v>
      </c>
    </row>
    <row r="2330" spans="1:1" x14ac:dyDescent="0.25">
      <c r="A2330" s="1" t="s">
        <v>2369</v>
      </c>
    </row>
    <row r="2331" spans="1:1" x14ac:dyDescent="0.25">
      <c r="A2331" s="1" t="s">
        <v>2370</v>
      </c>
    </row>
    <row r="2332" spans="1:1" x14ac:dyDescent="0.25">
      <c r="A2332" s="1" t="s">
        <v>2371</v>
      </c>
    </row>
    <row r="2333" spans="1:1" x14ac:dyDescent="0.25">
      <c r="A2333" s="1" t="s">
        <v>2372</v>
      </c>
    </row>
    <row r="2334" spans="1:1" x14ac:dyDescent="0.25">
      <c r="A2334" s="1" t="s">
        <v>2373</v>
      </c>
    </row>
    <row r="2335" spans="1:1" x14ac:dyDescent="0.25">
      <c r="A2335" s="1" t="s">
        <v>2374</v>
      </c>
    </row>
    <row r="2336" spans="1:1" x14ac:dyDescent="0.25">
      <c r="A2336" s="1" t="s">
        <v>2375</v>
      </c>
    </row>
    <row r="2337" spans="1:1" x14ac:dyDescent="0.25">
      <c r="A2337" s="1" t="s">
        <v>2376</v>
      </c>
    </row>
    <row r="2338" spans="1:1" x14ac:dyDescent="0.25">
      <c r="A2338" s="1" t="s">
        <v>2377</v>
      </c>
    </row>
    <row r="2339" spans="1:1" x14ac:dyDescent="0.25">
      <c r="A2339" s="1" t="s">
        <v>2378</v>
      </c>
    </row>
    <row r="2340" spans="1:1" x14ac:dyDescent="0.25">
      <c r="A2340" s="1" t="s">
        <v>2379</v>
      </c>
    </row>
    <row r="2341" spans="1:1" x14ac:dyDescent="0.25">
      <c r="A2341" s="1" t="s">
        <v>2380</v>
      </c>
    </row>
    <row r="2342" spans="1:1" x14ac:dyDescent="0.25">
      <c r="A2342" s="1" t="s">
        <v>2381</v>
      </c>
    </row>
    <row r="2343" spans="1:1" x14ac:dyDescent="0.25">
      <c r="A2343" s="1" t="s">
        <v>2382</v>
      </c>
    </row>
    <row r="2344" spans="1:1" x14ac:dyDescent="0.25">
      <c r="A2344" s="1" t="s">
        <v>2383</v>
      </c>
    </row>
    <row r="2345" spans="1:1" x14ac:dyDescent="0.25">
      <c r="A2345" s="1" t="s">
        <v>2384</v>
      </c>
    </row>
    <row r="2346" spans="1:1" x14ac:dyDescent="0.25">
      <c r="A2346" s="1" t="s">
        <v>2385</v>
      </c>
    </row>
    <row r="2347" spans="1:1" x14ac:dyDescent="0.25">
      <c r="A2347" s="1" t="s">
        <v>2386</v>
      </c>
    </row>
    <row r="2348" spans="1:1" x14ac:dyDescent="0.25">
      <c r="A2348" s="1" t="s">
        <v>2387</v>
      </c>
    </row>
    <row r="2349" spans="1:1" x14ac:dyDescent="0.25">
      <c r="A2349" s="1" t="s">
        <v>2388</v>
      </c>
    </row>
    <row r="2350" spans="1:1" x14ac:dyDescent="0.25">
      <c r="A2350" s="1" t="s">
        <v>2389</v>
      </c>
    </row>
    <row r="2351" spans="1:1" x14ac:dyDescent="0.25">
      <c r="A2351" s="1" t="s">
        <v>2390</v>
      </c>
    </row>
    <row r="2352" spans="1:1" x14ac:dyDescent="0.25">
      <c r="A2352" s="1" t="s">
        <v>2391</v>
      </c>
    </row>
    <row r="2353" spans="1:1" x14ac:dyDescent="0.25">
      <c r="A2353" s="1" t="s">
        <v>2392</v>
      </c>
    </row>
    <row r="2354" spans="1:1" x14ac:dyDescent="0.25">
      <c r="A2354" s="1" t="s">
        <v>2393</v>
      </c>
    </row>
    <row r="2355" spans="1:1" x14ac:dyDescent="0.25">
      <c r="A2355" s="1" t="s">
        <v>2394</v>
      </c>
    </row>
    <row r="2356" spans="1:1" x14ac:dyDescent="0.25">
      <c r="A2356" s="1" t="s">
        <v>2395</v>
      </c>
    </row>
    <row r="2357" spans="1:1" x14ac:dyDescent="0.25">
      <c r="A2357" s="1" t="s">
        <v>2396</v>
      </c>
    </row>
    <row r="2358" spans="1:1" x14ac:dyDescent="0.25">
      <c r="A2358" s="1" t="s">
        <v>2397</v>
      </c>
    </row>
    <row r="2359" spans="1:1" x14ac:dyDescent="0.25">
      <c r="A2359" s="1" t="s">
        <v>2398</v>
      </c>
    </row>
    <row r="2360" spans="1:1" x14ac:dyDescent="0.25">
      <c r="A2360" s="1" t="s">
        <v>2399</v>
      </c>
    </row>
    <row r="2361" spans="1:1" x14ac:dyDescent="0.25">
      <c r="A2361" s="1" t="s">
        <v>2400</v>
      </c>
    </row>
    <row r="2362" spans="1:1" x14ac:dyDescent="0.25">
      <c r="A2362" s="1" t="s">
        <v>2401</v>
      </c>
    </row>
    <row r="2363" spans="1:1" x14ac:dyDescent="0.25">
      <c r="A2363" s="1" t="s">
        <v>2402</v>
      </c>
    </row>
    <row r="2364" spans="1:1" x14ac:dyDescent="0.25">
      <c r="A2364" s="1" t="s">
        <v>2403</v>
      </c>
    </row>
    <row r="2365" spans="1:1" x14ac:dyDescent="0.25">
      <c r="A2365" s="1" t="s">
        <v>2404</v>
      </c>
    </row>
    <row r="2366" spans="1:1" x14ac:dyDescent="0.25">
      <c r="A2366" s="1" t="s">
        <v>2405</v>
      </c>
    </row>
    <row r="2367" spans="1:1" x14ac:dyDescent="0.25">
      <c r="A2367" s="1" t="s">
        <v>2406</v>
      </c>
    </row>
    <row r="2368" spans="1:1" x14ac:dyDescent="0.25">
      <c r="A2368" s="1" t="s">
        <v>2407</v>
      </c>
    </row>
    <row r="2369" spans="1:1" x14ac:dyDescent="0.25">
      <c r="A2369" s="1" t="s">
        <v>2408</v>
      </c>
    </row>
    <row r="2370" spans="1:1" x14ac:dyDescent="0.25">
      <c r="A2370" s="1" t="s">
        <v>2409</v>
      </c>
    </row>
    <row r="2371" spans="1:1" x14ac:dyDescent="0.25">
      <c r="A2371" s="1" t="s">
        <v>2410</v>
      </c>
    </row>
    <row r="2372" spans="1:1" x14ac:dyDescent="0.25">
      <c r="A2372" s="1" t="s">
        <v>2411</v>
      </c>
    </row>
    <row r="2373" spans="1:1" x14ac:dyDescent="0.25">
      <c r="A2373" s="1" t="s">
        <v>2412</v>
      </c>
    </row>
    <row r="2374" spans="1:1" x14ac:dyDescent="0.25">
      <c r="A2374" s="1" t="s">
        <v>2413</v>
      </c>
    </row>
    <row r="2375" spans="1:1" x14ac:dyDescent="0.25">
      <c r="A2375" s="1" t="s">
        <v>2414</v>
      </c>
    </row>
    <row r="2376" spans="1:1" x14ac:dyDescent="0.25">
      <c r="A2376" s="1" t="s">
        <v>2415</v>
      </c>
    </row>
    <row r="2377" spans="1:1" x14ac:dyDescent="0.25">
      <c r="A2377" s="1" t="s">
        <v>2416</v>
      </c>
    </row>
    <row r="2378" spans="1:1" x14ac:dyDescent="0.25">
      <c r="A2378" s="1" t="s">
        <v>2417</v>
      </c>
    </row>
    <row r="2379" spans="1:1" x14ac:dyDescent="0.25">
      <c r="A2379" s="1" t="s">
        <v>2418</v>
      </c>
    </row>
    <row r="2380" spans="1:1" x14ac:dyDescent="0.25">
      <c r="A2380" s="1" t="s">
        <v>2419</v>
      </c>
    </row>
    <row r="2381" spans="1:1" x14ac:dyDescent="0.25">
      <c r="A2381" s="1" t="s">
        <v>2420</v>
      </c>
    </row>
    <row r="2382" spans="1:1" x14ac:dyDescent="0.25">
      <c r="A2382" s="1" t="s">
        <v>2421</v>
      </c>
    </row>
    <row r="2383" spans="1:1" x14ac:dyDescent="0.25">
      <c r="A2383" s="1" t="s">
        <v>2422</v>
      </c>
    </row>
    <row r="2384" spans="1:1" x14ac:dyDescent="0.25">
      <c r="A2384" s="1" t="s">
        <v>2423</v>
      </c>
    </row>
    <row r="2385" spans="1:1" x14ac:dyDescent="0.25">
      <c r="A2385" s="1" t="s">
        <v>2424</v>
      </c>
    </row>
    <row r="2386" spans="1:1" x14ac:dyDescent="0.25">
      <c r="A2386" s="1" t="s">
        <v>2425</v>
      </c>
    </row>
    <row r="2387" spans="1:1" x14ac:dyDescent="0.25">
      <c r="A2387" s="1" t="s">
        <v>2426</v>
      </c>
    </row>
    <row r="2388" spans="1:1" x14ac:dyDescent="0.25">
      <c r="A2388" s="1" t="s">
        <v>2427</v>
      </c>
    </row>
    <row r="2389" spans="1:1" x14ac:dyDescent="0.25">
      <c r="A2389" s="1" t="s">
        <v>2428</v>
      </c>
    </row>
    <row r="2390" spans="1:1" x14ac:dyDescent="0.25">
      <c r="A2390" s="1" t="s">
        <v>2429</v>
      </c>
    </row>
    <row r="2391" spans="1:1" x14ac:dyDescent="0.25">
      <c r="A2391" s="1" t="s">
        <v>2430</v>
      </c>
    </row>
    <row r="2392" spans="1:1" x14ac:dyDescent="0.25">
      <c r="A2392" s="1" t="s">
        <v>2431</v>
      </c>
    </row>
    <row r="2393" spans="1:1" x14ac:dyDescent="0.25">
      <c r="A2393" s="1" t="s">
        <v>2432</v>
      </c>
    </row>
    <row r="2394" spans="1:1" x14ac:dyDescent="0.25">
      <c r="A2394" s="1" t="s">
        <v>2433</v>
      </c>
    </row>
    <row r="2395" spans="1:1" x14ac:dyDescent="0.25">
      <c r="A2395" s="1" t="s">
        <v>2434</v>
      </c>
    </row>
    <row r="2396" spans="1:1" x14ac:dyDescent="0.25">
      <c r="A2396" s="1" t="s">
        <v>2435</v>
      </c>
    </row>
    <row r="2397" spans="1:1" x14ac:dyDescent="0.25">
      <c r="A2397" s="1" t="s">
        <v>2436</v>
      </c>
    </row>
    <row r="2398" spans="1:1" x14ac:dyDescent="0.25">
      <c r="A2398" s="1" t="s">
        <v>2437</v>
      </c>
    </row>
    <row r="2399" spans="1:1" x14ac:dyDescent="0.25">
      <c r="A2399" s="1" t="s">
        <v>2438</v>
      </c>
    </row>
    <row r="2400" spans="1:1" x14ac:dyDescent="0.25">
      <c r="A2400" s="1" t="s">
        <v>2439</v>
      </c>
    </row>
    <row r="2401" spans="1:1" x14ac:dyDescent="0.25">
      <c r="A2401" s="1" t="s">
        <v>2440</v>
      </c>
    </row>
    <row r="2402" spans="1:1" x14ac:dyDescent="0.25">
      <c r="A2402" s="1" t="s">
        <v>2441</v>
      </c>
    </row>
    <row r="2403" spans="1:1" x14ac:dyDescent="0.25">
      <c r="A2403" s="1" t="s">
        <v>2442</v>
      </c>
    </row>
    <row r="2404" spans="1:1" x14ac:dyDescent="0.25">
      <c r="A2404" s="1" t="s">
        <v>2443</v>
      </c>
    </row>
    <row r="2405" spans="1:1" x14ac:dyDescent="0.25">
      <c r="A2405" s="1" t="s">
        <v>2444</v>
      </c>
    </row>
    <row r="2406" spans="1:1" x14ac:dyDescent="0.25">
      <c r="A2406" s="1" t="s">
        <v>2445</v>
      </c>
    </row>
    <row r="2407" spans="1:1" x14ac:dyDescent="0.25">
      <c r="A2407" s="1" t="s">
        <v>2446</v>
      </c>
    </row>
    <row r="2408" spans="1:1" x14ac:dyDescent="0.25">
      <c r="A2408" s="1" t="s">
        <v>2447</v>
      </c>
    </row>
    <row r="2409" spans="1:1" x14ac:dyDescent="0.25">
      <c r="A2409" s="1" t="s">
        <v>2448</v>
      </c>
    </row>
    <row r="2410" spans="1:1" x14ac:dyDescent="0.25">
      <c r="A2410" s="1" t="s">
        <v>2449</v>
      </c>
    </row>
    <row r="2411" spans="1:1" x14ac:dyDescent="0.25">
      <c r="A2411" s="1" t="s">
        <v>2450</v>
      </c>
    </row>
    <row r="2412" spans="1:1" x14ac:dyDescent="0.25">
      <c r="A2412" s="1" t="s">
        <v>2451</v>
      </c>
    </row>
    <row r="2413" spans="1:1" x14ac:dyDescent="0.25">
      <c r="A2413" s="1" t="s">
        <v>2452</v>
      </c>
    </row>
    <row r="2414" spans="1:1" x14ac:dyDescent="0.25">
      <c r="A2414" s="1" t="s">
        <v>2453</v>
      </c>
    </row>
    <row r="2415" spans="1:1" x14ac:dyDescent="0.25">
      <c r="A2415" s="1" t="s">
        <v>2454</v>
      </c>
    </row>
    <row r="2416" spans="1:1" x14ac:dyDescent="0.25">
      <c r="A2416" s="1" t="s">
        <v>2455</v>
      </c>
    </row>
    <row r="2417" spans="1:1" x14ac:dyDescent="0.25">
      <c r="A2417" s="1" t="s">
        <v>2456</v>
      </c>
    </row>
    <row r="2418" spans="1:1" x14ac:dyDescent="0.25">
      <c r="A2418" s="1" t="s">
        <v>2457</v>
      </c>
    </row>
    <row r="2419" spans="1:1" x14ac:dyDescent="0.25">
      <c r="A2419" s="1" t="s">
        <v>2458</v>
      </c>
    </row>
    <row r="2420" spans="1:1" x14ac:dyDescent="0.25">
      <c r="A2420" s="1" t="s">
        <v>2459</v>
      </c>
    </row>
    <row r="2421" spans="1:1" x14ac:dyDescent="0.25">
      <c r="A2421" s="1" t="s">
        <v>2460</v>
      </c>
    </row>
    <row r="2422" spans="1:1" x14ac:dyDescent="0.25">
      <c r="A2422" s="1" t="s">
        <v>2461</v>
      </c>
    </row>
    <row r="2423" spans="1:1" x14ac:dyDescent="0.25">
      <c r="A2423" s="1" t="s">
        <v>2462</v>
      </c>
    </row>
    <row r="2424" spans="1:1" x14ac:dyDescent="0.25">
      <c r="A2424" s="1" t="s">
        <v>2463</v>
      </c>
    </row>
    <row r="2425" spans="1:1" x14ac:dyDescent="0.25">
      <c r="A2425" s="1" t="s">
        <v>2464</v>
      </c>
    </row>
    <row r="2426" spans="1:1" x14ac:dyDescent="0.25">
      <c r="A2426" s="1" t="s">
        <v>2465</v>
      </c>
    </row>
    <row r="2427" spans="1:1" x14ac:dyDescent="0.25">
      <c r="A2427" s="1" t="s">
        <v>2466</v>
      </c>
    </row>
    <row r="2428" spans="1:1" x14ac:dyDescent="0.25">
      <c r="A2428" s="1" t="s">
        <v>2467</v>
      </c>
    </row>
    <row r="2429" spans="1:1" x14ac:dyDescent="0.25">
      <c r="A2429" s="1" t="s">
        <v>2468</v>
      </c>
    </row>
    <row r="2430" spans="1:1" x14ac:dyDescent="0.25">
      <c r="A2430" s="1" t="s">
        <v>2469</v>
      </c>
    </row>
    <row r="2431" spans="1:1" x14ac:dyDescent="0.25">
      <c r="A2431" s="1" t="s">
        <v>2470</v>
      </c>
    </row>
    <row r="2432" spans="1:1" x14ac:dyDescent="0.25">
      <c r="A2432" s="1" t="s">
        <v>2471</v>
      </c>
    </row>
    <row r="2433" spans="1:1" x14ac:dyDescent="0.25">
      <c r="A2433" s="1" t="s">
        <v>2472</v>
      </c>
    </row>
    <row r="2434" spans="1:1" x14ac:dyDescent="0.25">
      <c r="A2434" s="1" t="s">
        <v>2473</v>
      </c>
    </row>
    <row r="2435" spans="1:1" x14ac:dyDescent="0.25">
      <c r="A2435" s="1" t="s">
        <v>2474</v>
      </c>
    </row>
    <row r="2436" spans="1:1" x14ac:dyDescent="0.25">
      <c r="A2436" s="1" t="s">
        <v>2475</v>
      </c>
    </row>
    <row r="2437" spans="1:1" x14ac:dyDescent="0.25">
      <c r="A2437" s="1" t="s">
        <v>2476</v>
      </c>
    </row>
    <row r="2438" spans="1:1" x14ac:dyDescent="0.25">
      <c r="A2438" s="1" t="s">
        <v>2477</v>
      </c>
    </row>
    <row r="2439" spans="1:1" x14ac:dyDescent="0.25">
      <c r="A2439" s="1" t="s">
        <v>2478</v>
      </c>
    </row>
    <row r="2440" spans="1:1" x14ac:dyDescent="0.25">
      <c r="A2440" s="1" t="s">
        <v>2479</v>
      </c>
    </row>
    <row r="2441" spans="1:1" x14ac:dyDescent="0.25">
      <c r="A2441" s="1" t="s">
        <v>2480</v>
      </c>
    </row>
    <row r="2442" spans="1:1" x14ac:dyDescent="0.25">
      <c r="A2442" s="1" t="s">
        <v>2481</v>
      </c>
    </row>
    <row r="2443" spans="1:1" x14ac:dyDescent="0.25">
      <c r="A2443" s="1" t="s">
        <v>2482</v>
      </c>
    </row>
    <row r="2444" spans="1:1" x14ac:dyDescent="0.25">
      <c r="A2444" s="1" t="s">
        <v>2483</v>
      </c>
    </row>
    <row r="2445" spans="1:1" x14ac:dyDescent="0.25">
      <c r="A2445" s="1" t="s">
        <v>2484</v>
      </c>
    </row>
    <row r="2446" spans="1:1" x14ac:dyDescent="0.25">
      <c r="A2446" s="1" t="s">
        <v>2485</v>
      </c>
    </row>
    <row r="2447" spans="1:1" x14ac:dyDescent="0.25">
      <c r="A2447" s="1" t="s">
        <v>2486</v>
      </c>
    </row>
    <row r="2448" spans="1:1" x14ac:dyDescent="0.25">
      <c r="A2448" s="1" t="s">
        <v>2487</v>
      </c>
    </row>
    <row r="2449" spans="1:1" x14ac:dyDescent="0.25">
      <c r="A2449" s="1" t="s">
        <v>2488</v>
      </c>
    </row>
    <row r="2450" spans="1:1" x14ac:dyDescent="0.25">
      <c r="A2450" s="1" t="s">
        <v>2489</v>
      </c>
    </row>
    <row r="2451" spans="1:1" x14ac:dyDescent="0.25">
      <c r="A2451" s="1" t="s">
        <v>2490</v>
      </c>
    </row>
    <row r="2452" spans="1:1" x14ac:dyDescent="0.25">
      <c r="A2452" s="1" t="s">
        <v>2491</v>
      </c>
    </row>
    <row r="2453" spans="1:1" x14ac:dyDescent="0.25">
      <c r="A2453" s="1" t="s">
        <v>2492</v>
      </c>
    </row>
    <row r="2454" spans="1:1" x14ac:dyDescent="0.25">
      <c r="A2454" s="1" t="s">
        <v>2493</v>
      </c>
    </row>
    <row r="2455" spans="1:1" x14ac:dyDescent="0.25">
      <c r="A2455" s="1" t="s">
        <v>2494</v>
      </c>
    </row>
    <row r="2456" spans="1:1" x14ac:dyDescent="0.25">
      <c r="A2456" s="1" t="s">
        <v>2495</v>
      </c>
    </row>
    <row r="2457" spans="1:1" x14ac:dyDescent="0.25">
      <c r="A2457" s="1" t="s">
        <v>2496</v>
      </c>
    </row>
    <row r="2458" spans="1:1" x14ac:dyDescent="0.25">
      <c r="A2458" s="1" t="s">
        <v>2497</v>
      </c>
    </row>
    <row r="2459" spans="1:1" x14ac:dyDescent="0.25">
      <c r="A2459" s="1" t="s">
        <v>2498</v>
      </c>
    </row>
    <row r="2460" spans="1:1" x14ac:dyDescent="0.25">
      <c r="A2460" s="1" t="s">
        <v>2499</v>
      </c>
    </row>
    <row r="2461" spans="1:1" x14ac:dyDescent="0.25">
      <c r="A2461" s="1" t="s">
        <v>2500</v>
      </c>
    </row>
    <row r="2462" spans="1:1" x14ac:dyDescent="0.25">
      <c r="A2462" s="1" t="s">
        <v>2501</v>
      </c>
    </row>
    <row r="2463" spans="1:1" x14ac:dyDescent="0.25">
      <c r="A2463" s="1" t="s">
        <v>2502</v>
      </c>
    </row>
    <row r="2464" spans="1:1" x14ac:dyDescent="0.25">
      <c r="A2464" s="1" t="s">
        <v>2503</v>
      </c>
    </row>
    <row r="2465" spans="1:1" x14ac:dyDescent="0.25">
      <c r="A2465" s="1" t="s">
        <v>2504</v>
      </c>
    </row>
    <row r="2466" spans="1:1" x14ac:dyDescent="0.25">
      <c r="A2466" s="1" t="s">
        <v>2505</v>
      </c>
    </row>
    <row r="2467" spans="1:1" x14ac:dyDescent="0.25">
      <c r="A2467" s="1" t="s">
        <v>2506</v>
      </c>
    </row>
    <row r="2468" spans="1:1" x14ac:dyDescent="0.25">
      <c r="A2468" s="1" t="s">
        <v>2507</v>
      </c>
    </row>
    <row r="2469" spans="1:1" x14ac:dyDescent="0.25">
      <c r="A2469" s="1" t="s">
        <v>2508</v>
      </c>
    </row>
    <row r="2470" spans="1:1" x14ac:dyDescent="0.25">
      <c r="A2470" s="1" t="s">
        <v>2509</v>
      </c>
    </row>
    <row r="2471" spans="1:1" x14ac:dyDescent="0.25">
      <c r="A2471" s="1" t="s">
        <v>2510</v>
      </c>
    </row>
    <row r="2472" spans="1:1" x14ac:dyDescent="0.25">
      <c r="A2472" s="1" t="s">
        <v>2511</v>
      </c>
    </row>
    <row r="2473" spans="1:1" x14ac:dyDescent="0.25">
      <c r="A2473" s="1" t="s">
        <v>2512</v>
      </c>
    </row>
    <row r="2474" spans="1:1" x14ac:dyDescent="0.25">
      <c r="A2474" s="1" t="s">
        <v>2513</v>
      </c>
    </row>
    <row r="2475" spans="1:1" x14ac:dyDescent="0.25">
      <c r="A2475" s="1" t="s">
        <v>2514</v>
      </c>
    </row>
    <row r="2476" spans="1:1" x14ac:dyDescent="0.25">
      <c r="A2476" s="1" t="s">
        <v>2515</v>
      </c>
    </row>
    <row r="2477" spans="1:1" x14ac:dyDescent="0.25">
      <c r="A2477" s="1" t="s">
        <v>2516</v>
      </c>
    </row>
    <row r="2478" spans="1:1" x14ac:dyDescent="0.25">
      <c r="A2478" s="1" t="s">
        <v>2517</v>
      </c>
    </row>
    <row r="2479" spans="1:1" x14ac:dyDescent="0.25">
      <c r="A2479" s="1" t="s">
        <v>2518</v>
      </c>
    </row>
    <row r="2480" spans="1:1" x14ac:dyDescent="0.25">
      <c r="A2480" s="1" t="s">
        <v>2519</v>
      </c>
    </row>
    <row r="2481" spans="1:1" x14ac:dyDescent="0.25">
      <c r="A2481" s="1" t="s">
        <v>2520</v>
      </c>
    </row>
    <row r="2482" spans="1:1" x14ac:dyDescent="0.25">
      <c r="A2482" s="1" t="s">
        <v>2521</v>
      </c>
    </row>
    <row r="2483" spans="1:1" x14ac:dyDescent="0.25">
      <c r="A2483" s="1" t="s">
        <v>2522</v>
      </c>
    </row>
    <row r="2484" spans="1:1" x14ac:dyDescent="0.25">
      <c r="A2484" s="1" t="s">
        <v>2523</v>
      </c>
    </row>
    <row r="2485" spans="1:1" x14ac:dyDescent="0.25">
      <c r="A2485" s="1" t="s">
        <v>2524</v>
      </c>
    </row>
    <row r="2486" spans="1:1" x14ac:dyDescent="0.25">
      <c r="A2486" s="1" t="s">
        <v>2525</v>
      </c>
    </row>
    <row r="2487" spans="1:1" x14ac:dyDescent="0.25">
      <c r="A2487" s="1" t="s">
        <v>2526</v>
      </c>
    </row>
    <row r="2488" spans="1:1" x14ac:dyDescent="0.25">
      <c r="A2488" s="1" t="s">
        <v>2527</v>
      </c>
    </row>
    <row r="2489" spans="1:1" x14ac:dyDescent="0.25">
      <c r="A2489" s="1" t="s">
        <v>2528</v>
      </c>
    </row>
    <row r="2490" spans="1:1" x14ac:dyDescent="0.25">
      <c r="A2490" s="1" t="s">
        <v>2529</v>
      </c>
    </row>
    <row r="2491" spans="1:1" x14ac:dyDescent="0.25">
      <c r="A2491" s="1" t="s">
        <v>2530</v>
      </c>
    </row>
    <row r="2492" spans="1:1" x14ac:dyDescent="0.25">
      <c r="A2492" s="1" t="s">
        <v>2531</v>
      </c>
    </row>
    <row r="2493" spans="1:1" x14ac:dyDescent="0.25">
      <c r="A2493" s="1" t="s">
        <v>2532</v>
      </c>
    </row>
    <row r="2494" spans="1:1" x14ac:dyDescent="0.25">
      <c r="A2494" s="1" t="s">
        <v>2533</v>
      </c>
    </row>
    <row r="2495" spans="1:1" x14ac:dyDescent="0.25">
      <c r="A2495" s="1" t="s">
        <v>2534</v>
      </c>
    </row>
    <row r="2496" spans="1:1" x14ac:dyDescent="0.25">
      <c r="A2496" s="1" t="s">
        <v>2535</v>
      </c>
    </row>
    <row r="2497" spans="1:1" x14ac:dyDescent="0.25">
      <c r="A2497" s="1" t="s">
        <v>2536</v>
      </c>
    </row>
    <row r="2498" spans="1:1" x14ac:dyDescent="0.25">
      <c r="A2498" s="1" t="s">
        <v>2537</v>
      </c>
    </row>
    <row r="2499" spans="1:1" x14ac:dyDescent="0.25">
      <c r="A2499" s="1" t="s">
        <v>2538</v>
      </c>
    </row>
    <row r="2500" spans="1:1" x14ac:dyDescent="0.25">
      <c r="A2500" s="1" t="s">
        <v>2539</v>
      </c>
    </row>
    <row r="2501" spans="1:1" x14ac:dyDescent="0.25">
      <c r="A2501" s="1" t="s">
        <v>2540</v>
      </c>
    </row>
    <row r="2502" spans="1:1" x14ac:dyDescent="0.25">
      <c r="A2502" s="1" t="s">
        <v>2541</v>
      </c>
    </row>
    <row r="2503" spans="1:1" x14ac:dyDescent="0.25">
      <c r="A2503" s="1" t="s">
        <v>2542</v>
      </c>
    </row>
    <row r="2504" spans="1:1" x14ac:dyDescent="0.25">
      <c r="A2504" s="1" t="s">
        <v>2543</v>
      </c>
    </row>
    <row r="2505" spans="1:1" x14ac:dyDescent="0.25">
      <c r="A2505" s="1" t="s">
        <v>2544</v>
      </c>
    </row>
    <row r="2506" spans="1:1" x14ac:dyDescent="0.25">
      <c r="A2506" s="1" t="s">
        <v>2545</v>
      </c>
    </row>
    <row r="2507" spans="1:1" x14ac:dyDescent="0.25">
      <c r="A2507" s="1" t="s">
        <v>2546</v>
      </c>
    </row>
    <row r="2508" spans="1:1" x14ac:dyDescent="0.25">
      <c r="A2508" s="1" t="s">
        <v>2547</v>
      </c>
    </row>
    <row r="2509" spans="1:1" x14ac:dyDescent="0.25">
      <c r="A2509" s="1" t="s">
        <v>2548</v>
      </c>
    </row>
    <row r="2510" spans="1:1" x14ac:dyDescent="0.25">
      <c r="A2510" s="1" t="s">
        <v>2549</v>
      </c>
    </row>
    <row r="2511" spans="1:1" x14ac:dyDescent="0.25">
      <c r="A2511" s="1" t="s">
        <v>2550</v>
      </c>
    </row>
    <row r="2512" spans="1:1" x14ac:dyDescent="0.25">
      <c r="A2512" s="1" t="s">
        <v>2551</v>
      </c>
    </row>
    <row r="2513" spans="1:1" x14ac:dyDescent="0.25">
      <c r="A2513" s="1" t="s">
        <v>2552</v>
      </c>
    </row>
    <row r="2514" spans="1:1" x14ac:dyDescent="0.25">
      <c r="A2514" s="1" t="s">
        <v>2553</v>
      </c>
    </row>
    <row r="2515" spans="1:1" x14ac:dyDescent="0.25">
      <c r="A2515" s="1" t="s">
        <v>2554</v>
      </c>
    </row>
    <row r="2516" spans="1:1" x14ac:dyDescent="0.25">
      <c r="A2516" s="1" t="s">
        <v>2555</v>
      </c>
    </row>
    <row r="2517" spans="1:1" x14ac:dyDescent="0.25">
      <c r="A2517" s="1" t="s">
        <v>2556</v>
      </c>
    </row>
    <row r="2518" spans="1:1" x14ac:dyDescent="0.25">
      <c r="A2518" s="1" t="s">
        <v>2557</v>
      </c>
    </row>
    <row r="2519" spans="1:1" x14ac:dyDescent="0.25">
      <c r="A2519" s="1" t="s">
        <v>2558</v>
      </c>
    </row>
    <row r="2520" spans="1:1" x14ac:dyDescent="0.25">
      <c r="A2520" s="1" t="s">
        <v>2559</v>
      </c>
    </row>
    <row r="2521" spans="1:1" x14ac:dyDescent="0.25">
      <c r="A2521" s="1" t="s">
        <v>2560</v>
      </c>
    </row>
    <row r="2522" spans="1:1" x14ac:dyDescent="0.25">
      <c r="A2522" s="1" t="s">
        <v>2561</v>
      </c>
    </row>
    <row r="2523" spans="1:1" x14ac:dyDescent="0.25">
      <c r="A2523" s="1" t="s">
        <v>2562</v>
      </c>
    </row>
    <row r="2524" spans="1:1" x14ac:dyDescent="0.25">
      <c r="A2524" s="1" t="s">
        <v>2563</v>
      </c>
    </row>
    <row r="2525" spans="1:1" x14ac:dyDescent="0.25">
      <c r="A2525" s="1" t="s">
        <v>2564</v>
      </c>
    </row>
    <row r="2526" spans="1:1" x14ac:dyDescent="0.25">
      <c r="A2526" s="1" t="s">
        <v>2565</v>
      </c>
    </row>
    <row r="2527" spans="1:1" x14ac:dyDescent="0.25">
      <c r="A2527" s="1" t="s">
        <v>2566</v>
      </c>
    </row>
    <row r="2528" spans="1:1" x14ac:dyDescent="0.25">
      <c r="A2528" s="1" t="s">
        <v>2567</v>
      </c>
    </row>
    <row r="2529" spans="1:1" x14ac:dyDescent="0.25">
      <c r="A2529" s="1" t="s">
        <v>2568</v>
      </c>
    </row>
    <row r="2530" spans="1:1" x14ac:dyDescent="0.25">
      <c r="A2530" s="1" t="s">
        <v>2569</v>
      </c>
    </row>
    <row r="2531" spans="1:1" x14ac:dyDescent="0.25">
      <c r="A2531" s="1" t="s">
        <v>2570</v>
      </c>
    </row>
    <row r="2532" spans="1:1" x14ac:dyDescent="0.25">
      <c r="A2532" s="1" t="s">
        <v>2571</v>
      </c>
    </row>
    <row r="2533" spans="1:1" x14ac:dyDescent="0.25">
      <c r="A2533" s="1" t="s">
        <v>2572</v>
      </c>
    </row>
    <row r="2534" spans="1:1" x14ac:dyDescent="0.25">
      <c r="A2534" s="1" t="s">
        <v>2573</v>
      </c>
    </row>
    <row r="2535" spans="1:1" x14ac:dyDescent="0.25">
      <c r="A2535" s="1" t="s">
        <v>2574</v>
      </c>
    </row>
    <row r="2536" spans="1:1" x14ac:dyDescent="0.25">
      <c r="A2536" s="1" t="s">
        <v>2575</v>
      </c>
    </row>
    <row r="2537" spans="1:1" x14ac:dyDescent="0.25">
      <c r="A2537" s="1" t="s">
        <v>2576</v>
      </c>
    </row>
    <row r="2538" spans="1:1" x14ac:dyDescent="0.25">
      <c r="A2538" s="1" t="s">
        <v>2577</v>
      </c>
    </row>
    <row r="2539" spans="1:1" x14ac:dyDescent="0.25">
      <c r="A2539" s="1" t="s">
        <v>2578</v>
      </c>
    </row>
    <row r="2540" spans="1:1" x14ac:dyDescent="0.25">
      <c r="A2540" s="1" t="s">
        <v>2579</v>
      </c>
    </row>
    <row r="2541" spans="1:1" x14ac:dyDescent="0.25">
      <c r="A2541" s="1" t="s">
        <v>2580</v>
      </c>
    </row>
    <row r="2542" spans="1:1" x14ac:dyDescent="0.25">
      <c r="A2542" s="1" t="s">
        <v>2581</v>
      </c>
    </row>
    <row r="2543" spans="1:1" x14ac:dyDescent="0.25">
      <c r="A2543" s="1" t="s">
        <v>2582</v>
      </c>
    </row>
    <row r="2544" spans="1:1" x14ac:dyDescent="0.25">
      <c r="A2544" s="1" t="s">
        <v>2583</v>
      </c>
    </row>
    <row r="2545" spans="1:1" x14ac:dyDescent="0.25">
      <c r="A2545" s="1" t="s">
        <v>2584</v>
      </c>
    </row>
    <row r="2546" spans="1:1" x14ac:dyDescent="0.25">
      <c r="A2546" s="1" t="s">
        <v>2585</v>
      </c>
    </row>
    <row r="2547" spans="1:1" x14ac:dyDescent="0.25">
      <c r="A2547" s="1" t="s">
        <v>2586</v>
      </c>
    </row>
    <row r="2548" spans="1:1" x14ac:dyDescent="0.25">
      <c r="A2548" s="1" t="s">
        <v>2587</v>
      </c>
    </row>
    <row r="2549" spans="1:1" x14ac:dyDescent="0.25">
      <c r="A2549" s="1" t="s">
        <v>2588</v>
      </c>
    </row>
    <row r="2550" spans="1:1" x14ac:dyDescent="0.25">
      <c r="A2550" s="1" t="s">
        <v>2589</v>
      </c>
    </row>
    <row r="2551" spans="1:1" x14ac:dyDescent="0.25">
      <c r="A2551" s="1" t="s">
        <v>2590</v>
      </c>
    </row>
    <row r="2552" spans="1:1" x14ac:dyDescent="0.25">
      <c r="A2552" s="1" t="s">
        <v>2591</v>
      </c>
    </row>
    <row r="2553" spans="1:1" x14ac:dyDescent="0.25">
      <c r="A2553" s="1" t="s">
        <v>2592</v>
      </c>
    </row>
    <row r="2554" spans="1:1" x14ac:dyDescent="0.25">
      <c r="A2554" s="1" t="s">
        <v>2593</v>
      </c>
    </row>
    <row r="2555" spans="1:1" x14ac:dyDescent="0.25">
      <c r="A2555" s="1" t="s">
        <v>2594</v>
      </c>
    </row>
    <row r="2556" spans="1:1" x14ac:dyDescent="0.25">
      <c r="A2556" s="1" t="s">
        <v>2595</v>
      </c>
    </row>
    <row r="2557" spans="1:1" x14ac:dyDescent="0.25">
      <c r="A2557" s="1" t="s">
        <v>2596</v>
      </c>
    </row>
    <row r="2558" spans="1:1" x14ac:dyDescent="0.25">
      <c r="A2558" s="1" t="s">
        <v>2597</v>
      </c>
    </row>
    <row r="2559" spans="1:1" x14ac:dyDescent="0.25">
      <c r="A2559" s="1" t="s">
        <v>2598</v>
      </c>
    </row>
    <row r="2560" spans="1:1" x14ac:dyDescent="0.25">
      <c r="A2560" s="1" t="s">
        <v>2599</v>
      </c>
    </row>
    <row r="2561" spans="1:1" x14ac:dyDescent="0.25">
      <c r="A2561" s="1" t="s">
        <v>2600</v>
      </c>
    </row>
    <row r="2562" spans="1:1" x14ac:dyDescent="0.25">
      <c r="A2562" s="1" t="s">
        <v>2601</v>
      </c>
    </row>
    <row r="2563" spans="1:1" x14ac:dyDescent="0.25">
      <c r="A2563" s="1" t="s">
        <v>2602</v>
      </c>
    </row>
    <row r="2564" spans="1:1" x14ac:dyDescent="0.25">
      <c r="A2564" s="1" t="s">
        <v>2603</v>
      </c>
    </row>
    <row r="2565" spans="1:1" x14ac:dyDescent="0.25">
      <c r="A2565" s="1" t="s">
        <v>2604</v>
      </c>
    </row>
    <row r="2566" spans="1:1" x14ac:dyDescent="0.25">
      <c r="A2566" s="1" t="s">
        <v>2605</v>
      </c>
    </row>
    <row r="2567" spans="1:1" x14ac:dyDescent="0.25">
      <c r="A2567" s="1" t="s">
        <v>2606</v>
      </c>
    </row>
    <row r="2568" spans="1:1" x14ac:dyDescent="0.25">
      <c r="A2568" s="1" t="s">
        <v>2607</v>
      </c>
    </row>
    <row r="2569" spans="1:1" x14ac:dyDescent="0.25">
      <c r="A2569" s="1" t="s">
        <v>2608</v>
      </c>
    </row>
    <row r="2570" spans="1:1" x14ac:dyDescent="0.25">
      <c r="A2570" s="1" t="s">
        <v>2609</v>
      </c>
    </row>
    <row r="2571" spans="1:1" x14ac:dyDescent="0.25">
      <c r="A2571" s="1" t="s">
        <v>2610</v>
      </c>
    </row>
    <row r="2572" spans="1:1" x14ac:dyDescent="0.25">
      <c r="A2572" s="1" t="s">
        <v>2611</v>
      </c>
    </row>
    <row r="2573" spans="1:1" x14ac:dyDescent="0.25">
      <c r="A2573" s="1" t="s">
        <v>2612</v>
      </c>
    </row>
    <row r="2574" spans="1:1" x14ac:dyDescent="0.25">
      <c r="A2574" s="1" t="s">
        <v>2613</v>
      </c>
    </row>
    <row r="2575" spans="1:1" x14ac:dyDescent="0.25">
      <c r="A2575" s="1" t="s">
        <v>2614</v>
      </c>
    </row>
    <row r="2576" spans="1:1" x14ac:dyDescent="0.25">
      <c r="A2576" s="1" t="s">
        <v>2615</v>
      </c>
    </row>
    <row r="2577" spans="1:1" x14ac:dyDescent="0.25">
      <c r="A2577" s="1" t="s">
        <v>2616</v>
      </c>
    </row>
    <row r="2578" spans="1:1" x14ac:dyDescent="0.25">
      <c r="A2578" s="1" t="s">
        <v>2617</v>
      </c>
    </row>
    <row r="2579" spans="1:1" x14ac:dyDescent="0.25">
      <c r="A2579" s="1" t="s">
        <v>2618</v>
      </c>
    </row>
    <row r="2580" spans="1:1" x14ac:dyDescent="0.25">
      <c r="A2580" s="1" t="s">
        <v>2619</v>
      </c>
    </row>
    <row r="2581" spans="1:1" x14ac:dyDescent="0.25">
      <c r="A2581" s="1" t="s">
        <v>2620</v>
      </c>
    </row>
    <row r="2582" spans="1:1" x14ac:dyDescent="0.25">
      <c r="A2582" s="1" t="s">
        <v>2621</v>
      </c>
    </row>
    <row r="2583" spans="1:1" x14ac:dyDescent="0.25">
      <c r="A2583" s="1" t="s">
        <v>2622</v>
      </c>
    </row>
    <row r="2584" spans="1:1" x14ac:dyDescent="0.25">
      <c r="A2584" s="1" t="s">
        <v>2623</v>
      </c>
    </row>
    <row r="2585" spans="1:1" x14ac:dyDescent="0.25">
      <c r="A2585" s="1" t="s">
        <v>2624</v>
      </c>
    </row>
    <row r="2586" spans="1:1" x14ac:dyDescent="0.25">
      <c r="A2586" s="1" t="s">
        <v>2625</v>
      </c>
    </row>
    <row r="2587" spans="1:1" x14ac:dyDescent="0.25">
      <c r="A2587" s="1" t="s">
        <v>2626</v>
      </c>
    </row>
    <row r="2588" spans="1:1" x14ac:dyDescent="0.25">
      <c r="A2588" s="1" t="s">
        <v>2627</v>
      </c>
    </row>
    <row r="2589" spans="1:1" x14ac:dyDescent="0.25">
      <c r="A2589" s="1" t="s">
        <v>2628</v>
      </c>
    </row>
    <row r="2590" spans="1:1" x14ac:dyDescent="0.25">
      <c r="A2590" s="1" t="s">
        <v>2629</v>
      </c>
    </row>
    <row r="2591" spans="1:1" x14ac:dyDescent="0.25">
      <c r="A2591" s="1" t="s">
        <v>2630</v>
      </c>
    </row>
    <row r="2592" spans="1:1" x14ac:dyDescent="0.25">
      <c r="A2592" s="1" t="s">
        <v>2631</v>
      </c>
    </row>
    <row r="2593" spans="1:1" x14ac:dyDescent="0.25">
      <c r="A2593" s="1" t="s">
        <v>2632</v>
      </c>
    </row>
    <row r="2594" spans="1:1" x14ac:dyDescent="0.25">
      <c r="A2594" s="1" t="s">
        <v>2633</v>
      </c>
    </row>
    <row r="2595" spans="1:1" x14ac:dyDescent="0.25">
      <c r="A2595" s="1" t="s">
        <v>2634</v>
      </c>
    </row>
    <row r="2596" spans="1:1" x14ac:dyDescent="0.25">
      <c r="A2596" s="1" t="s">
        <v>2635</v>
      </c>
    </row>
    <row r="2597" spans="1:1" x14ac:dyDescent="0.25">
      <c r="A2597" s="1" t="s">
        <v>2636</v>
      </c>
    </row>
    <row r="2598" spans="1:1" x14ac:dyDescent="0.25">
      <c r="A2598" s="1" t="s">
        <v>2637</v>
      </c>
    </row>
    <row r="2599" spans="1:1" x14ac:dyDescent="0.25">
      <c r="A2599" s="1" t="s">
        <v>2638</v>
      </c>
    </row>
    <row r="2600" spans="1:1" x14ac:dyDescent="0.25">
      <c r="A2600" s="1" t="s">
        <v>2639</v>
      </c>
    </row>
    <row r="2601" spans="1:1" x14ac:dyDescent="0.25">
      <c r="A2601" s="1" t="s">
        <v>2640</v>
      </c>
    </row>
    <row r="2602" spans="1:1" x14ac:dyDescent="0.25">
      <c r="A2602" s="1" t="s">
        <v>2641</v>
      </c>
    </row>
    <row r="2603" spans="1:1" x14ac:dyDescent="0.25">
      <c r="A2603" s="1" t="s">
        <v>2642</v>
      </c>
    </row>
    <row r="2604" spans="1:1" x14ac:dyDescent="0.25">
      <c r="A2604" s="1" t="s">
        <v>2643</v>
      </c>
    </row>
    <row r="2605" spans="1:1" x14ac:dyDescent="0.25">
      <c r="A2605" s="1" t="s">
        <v>2644</v>
      </c>
    </row>
    <row r="2606" spans="1:1" x14ac:dyDescent="0.25">
      <c r="A2606" s="1" t="s">
        <v>2645</v>
      </c>
    </row>
    <row r="2607" spans="1:1" x14ac:dyDescent="0.25">
      <c r="A2607" s="1" t="s">
        <v>2646</v>
      </c>
    </row>
    <row r="2608" spans="1:1" x14ac:dyDescent="0.25">
      <c r="A2608" s="1" t="s">
        <v>2647</v>
      </c>
    </row>
    <row r="2609" spans="1:1" x14ac:dyDescent="0.25">
      <c r="A2609" s="1" t="s">
        <v>2648</v>
      </c>
    </row>
    <row r="2610" spans="1:1" x14ac:dyDescent="0.25">
      <c r="A2610" s="1" t="s">
        <v>2649</v>
      </c>
    </row>
    <row r="2611" spans="1:1" x14ac:dyDescent="0.25">
      <c r="A2611" s="1" t="s">
        <v>2650</v>
      </c>
    </row>
    <row r="2612" spans="1:1" x14ac:dyDescent="0.25">
      <c r="A2612" s="1" t="s">
        <v>2651</v>
      </c>
    </row>
    <row r="2613" spans="1:1" x14ac:dyDescent="0.25">
      <c r="A2613" s="1" t="s">
        <v>2652</v>
      </c>
    </row>
    <row r="2614" spans="1:1" x14ac:dyDescent="0.25">
      <c r="A2614" s="1" t="s">
        <v>2653</v>
      </c>
    </row>
    <row r="2615" spans="1:1" x14ac:dyDescent="0.25">
      <c r="A2615" s="1" t="s">
        <v>2654</v>
      </c>
    </row>
    <row r="2616" spans="1:1" x14ac:dyDescent="0.25">
      <c r="A2616" s="1" t="s">
        <v>2655</v>
      </c>
    </row>
    <row r="2617" spans="1:1" x14ac:dyDescent="0.25">
      <c r="A2617" s="1" t="s">
        <v>2656</v>
      </c>
    </row>
    <row r="2618" spans="1:1" x14ac:dyDescent="0.25">
      <c r="A2618" s="1" t="s">
        <v>2657</v>
      </c>
    </row>
    <row r="2619" spans="1:1" x14ac:dyDescent="0.25">
      <c r="A2619" s="1" t="s">
        <v>2658</v>
      </c>
    </row>
    <row r="2620" spans="1:1" x14ac:dyDescent="0.25">
      <c r="A2620" s="1" t="s">
        <v>2659</v>
      </c>
    </row>
    <row r="2621" spans="1:1" x14ac:dyDescent="0.25">
      <c r="A2621" s="1" t="s">
        <v>2660</v>
      </c>
    </row>
    <row r="2622" spans="1:1" x14ac:dyDescent="0.25">
      <c r="A2622" s="1" t="s">
        <v>2661</v>
      </c>
    </row>
    <row r="2623" spans="1:1" x14ac:dyDescent="0.25">
      <c r="A2623" s="1" t="s">
        <v>2662</v>
      </c>
    </row>
    <row r="2624" spans="1:1" x14ac:dyDescent="0.25">
      <c r="A2624" s="1" t="s">
        <v>2663</v>
      </c>
    </row>
    <row r="2625" spans="1:1" x14ac:dyDescent="0.25">
      <c r="A2625" s="1" t="s">
        <v>2664</v>
      </c>
    </row>
    <row r="2626" spans="1:1" x14ac:dyDescent="0.25">
      <c r="A2626" s="1" t="s">
        <v>2665</v>
      </c>
    </row>
    <row r="2627" spans="1:1" x14ac:dyDescent="0.25">
      <c r="A2627" s="1" t="s">
        <v>2666</v>
      </c>
    </row>
    <row r="2628" spans="1:1" x14ac:dyDescent="0.25">
      <c r="A2628" s="1" t="s">
        <v>2667</v>
      </c>
    </row>
    <row r="2629" spans="1:1" x14ac:dyDescent="0.25">
      <c r="A2629" s="1" t="s">
        <v>2668</v>
      </c>
    </row>
    <row r="2630" spans="1:1" x14ac:dyDescent="0.25">
      <c r="A2630" s="1" t="s">
        <v>2669</v>
      </c>
    </row>
    <row r="2631" spans="1:1" x14ac:dyDescent="0.25">
      <c r="A2631" s="1" t="s">
        <v>2670</v>
      </c>
    </row>
    <row r="2632" spans="1:1" x14ac:dyDescent="0.25">
      <c r="A2632" s="1" t="s">
        <v>2671</v>
      </c>
    </row>
    <row r="2633" spans="1:1" x14ac:dyDescent="0.25">
      <c r="A2633" s="1" t="s">
        <v>2672</v>
      </c>
    </row>
    <row r="2634" spans="1:1" x14ac:dyDescent="0.25">
      <c r="A2634" s="1" t="s">
        <v>2673</v>
      </c>
    </row>
    <row r="2635" spans="1:1" x14ac:dyDescent="0.25">
      <c r="A2635" s="1" t="s">
        <v>2674</v>
      </c>
    </row>
    <row r="2636" spans="1:1" x14ac:dyDescent="0.25">
      <c r="A2636" s="1" t="s">
        <v>2675</v>
      </c>
    </row>
    <row r="2637" spans="1:1" x14ac:dyDescent="0.25">
      <c r="A2637" s="1" t="s">
        <v>2676</v>
      </c>
    </row>
    <row r="2638" spans="1:1" x14ac:dyDescent="0.25">
      <c r="A2638" s="1" t="s">
        <v>2677</v>
      </c>
    </row>
    <row r="2639" spans="1:1" x14ac:dyDescent="0.25">
      <c r="A2639" s="1" t="s">
        <v>2678</v>
      </c>
    </row>
    <row r="2640" spans="1:1" x14ac:dyDescent="0.25">
      <c r="A2640" s="1" t="s">
        <v>2679</v>
      </c>
    </row>
    <row r="2641" spans="1:1" x14ac:dyDescent="0.25">
      <c r="A2641" s="1" t="s">
        <v>2680</v>
      </c>
    </row>
    <row r="2642" spans="1:1" x14ac:dyDescent="0.25">
      <c r="A2642" s="1" t="s">
        <v>2681</v>
      </c>
    </row>
    <row r="2643" spans="1:1" x14ac:dyDescent="0.25">
      <c r="A2643" s="1" t="s">
        <v>2682</v>
      </c>
    </row>
    <row r="2644" spans="1:1" x14ac:dyDescent="0.25">
      <c r="A2644" s="1" t="s">
        <v>2683</v>
      </c>
    </row>
    <row r="2645" spans="1:1" x14ac:dyDescent="0.25">
      <c r="A2645" s="1" t="s">
        <v>2684</v>
      </c>
    </row>
    <row r="2646" spans="1:1" x14ac:dyDescent="0.25">
      <c r="A2646" s="1" t="s">
        <v>2685</v>
      </c>
    </row>
    <row r="2647" spans="1:1" x14ac:dyDescent="0.25">
      <c r="A2647" s="1" t="s">
        <v>2686</v>
      </c>
    </row>
    <row r="2648" spans="1:1" x14ac:dyDescent="0.25">
      <c r="A2648" s="1" t="s">
        <v>2687</v>
      </c>
    </row>
    <row r="2649" spans="1:1" x14ac:dyDescent="0.25">
      <c r="A2649" s="1" t="s">
        <v>2688</v>
      </c>
    </row>
    <row r="2650" spans="1:1" x14ac:dyDescent="0.25">
      <c r="A2650" s="1" t="s">
        <v>2689</v>
      </c>
    </row>
    <row r="2651" spans="1:1" x14ac:dyDescent="0.25">
      <c r="A2651" s="1" t="s">
        <v>2690</v>
      </c>
    </row>
    <row r="2652" spans="1:1" x14ac:dyDescent="0.25">
      <c r="A2652" s="1" t="s">
        <v>2691</v>
      </c>
    </row>
    <row r="2653" spans="1:1" x14ac:dyDescent="0.25">
      <c r="A2653" s="1" t="s">
        <v>2692</v>
      </c>
    </row>
    <row r="2654" spans="1:1" x14ac:dyDescent="0.25">
      <c r="A2654" s="1" t="s">
        <v>2693</v>
      </c>
    </row>
    <row r="2655" spans="1:1" x14ac:dyDescent="0.25">
      <c r="A2655" s="1" t="s">
        <v>2694</v>
      </c>
    </row>
    <row r="2656" spans="1:1" x14ac:dyDescent="0.25">
      <c r="A2656" s="1" t="s">
        <v>2695</v>
      </c>
    </row>
    <row r="2657" spans="1:1" x14ac:dyDescent="0.25">
      <c r="A2657" s="1" t="s">
        <v>2696</v>
      </c>
    </row>
    <row r="2658" spans="1:1" x14ac:dyDescent="0.25">
      <c r="A2658" s="1" t="s">
        <v>2697</v>
      </c>
    </row>
    <row r="2659" spans="1:1" x14ac:dyDescent="0.25">
      <c r="A2659" s="1" t="s">
        <v>2698</v>
      </c>
    </row>
    <row r="2660" spans="1:1" x14ac:dyDescent="0.25">
      <c r="A2660" s="1" t="s">
        <v>2699</v>
      </c>
    </row>
    <row r="2661" spans="1:1" x14ac:dyDescent="0.25">
      <c r="A2661" s="1" t="s">
        <v>2700</v>
      </c>
    </row>
    <row r="2662" spans="1:1" x14ac:dyDescent="0.25">
      <c r="A2662" s="1" t="s">
        <v>2701</v>
      </c>
    </row>
    <row r="2663" spans="1:1" x14ac:dyDescent="0.25">
      <c r="A2663" s="1" t="s">
        <v>2702</v>
      </c>
    </row>
    <row r="2664" spans="1:1" x14ac:dyDescent="0.25">
      <c r="A2664" s="1" t="s">
        <v>2703</v>
      </c>
    </row>
    <row r="2665" spans="1:1" x14ac:dyDescent="0.25">
      <c r="A2665" s="1" t="s">
        <v>2704</v>
      </c>
    </row>
    <row r="2666" spans="1:1" x14ac:dyDescent="0.25">
      <c r="A2666" s="1" t="s">
        <v>2705</v>
      </c>
    </row>
    <row r="2667" spans="1:1" x14ac:dyDescent="0.25">
      <c r="A2667" s="1" t="s">
        <v>2706</v>
      </c>
    </row>
    <row r="2668" spans="1:1" x14ac:dyDescent="0.25">
      <c r="A2668" s="1" t="s">
        <v>2707</v>
      </c>
    </row>
    <row r="2669" spans="1:1" x14ac:dyDescent="0.25">
      <c r="A2669" s="1" t="s">
        <v>2708</v>
      </c>
    </row>
    <row r="2670" spans="1:1" x14ac:dyDescent="0.25">
      <c r="A2670" s="1" t="s">
        <v>2709</v>
      </c>
    </row>
    <row r="2671" spans="1:1" x14ac:dyDescent="0.25">
      <c r="A2671" s="1" t="s">
        <v>2710</v>
      </c>
    </row>
    <row r="2672" spans="1:1" x14ac:dyDescent="0.25">
      <c r="A2672" s="1" t="s">
        <v>2711</v>
      </c>
    </row>
    <row r="2673" spans="1:1" x14ac:dyDescent="0.25">
      <c r="A2673" s="1" t="s">
        <v>2712</v>
      </c>
    </row>
    <row r="2674" spans="1:1" x14ac:dyDescent="0.25">
      <c r="A2674" s="1" t="s">
        <v>2713</v>
      </c>
    </row>
    <row r="2675" spans="1:1" x14ac:dyDescent="0.25">
      <c r="A2675" s="1" t="s">
        <v>2714</v>
      </c>
    </row>
    <row r="2676" spans="1:1" x14ac:dyDescent="0.25">
      <c r="A2676" s="1" t="s">
        <v>2715</v>
      </c>
    </row>
    <row r="2677" spans="1:1" x14ac:dyDescent="0.25">
      <c r="A2677" s="1" t="s">
        <v>2716</v>
      </c>
    </row>
    <row r="2678" spans="1:1" x14ac:dyDescent="0.25">
      <c r="A2678" s="1" t="s">
        <v>2717</v>
      </c>
    </row>
    <row r="2679" spans="1:1" x14ac:dyDescent="0.25">
      <c r="A2679" s="1" t="s">
        <v>2718</v>
      </c>
    </row>
    <row r="2680" spans="1:1" x14ac:dyDescent="0.25">
      <c r="A2680" s="1" t="s">
        <v>2719</v>
      </c>
    </row>
    <row r="2681" spans="1:1" x14ac:dyDescent="0.25">
      <c r="A2681" s="1" t="s">
        <v>2720</v>
      </c>
    </row>
    <row r="2682" spans="1:1" x14ac:dyDescent="0.25">
      <c r="A2682" s="1" t="s">
        <v>2721</v>
      </c>
    </row>
    <row r="2683" spans="1:1" x14ac:dyDescent="0.25">
      <c r="A2683" s="1" t="s">
        <v>2722</v>
      </c>
    </row>
    <row r="2684" spans="1:1" x14ac:dyDescent="0.25">
      <c r="A2684" s="1" t="s">
        <v>2723</v>
      </c>
    </row>
    <row r="2685" spans="1:1" x14ac:dyDescent="0.25">
      <c r="A2685" s="1" t="s">
        <v>2724</v>
      </c>
    </row>
    <row r="2686" spans="1:1" x14ac:dyDescent="0.25">
      <c r="A2686" s="1" t="s">
        <v>2725</v>
      </c>
    </row>
    <row r="2687" spans="1:1" x14ac:dyDescent="0.25">
      <c r="A2687" s="1" t="s">
        <v>2726</v>
      </c>
    </row>
    <row r="2688" spans="1:1" x14ac:dyDescent="0.25">
      <c r="A2688" s="1" t="s">
        <v>2727</v>
      </c>
    </row>
    <row r="2689" spans="1:1" x14ac:dyDescent="0.25">
      <c r="A2689" s="1" t="s">
        <v>2728</v>
      </c>
    </row>
    <row r="2690" spans="1:1" x14ac:dyDescent="0.25">
      <c r="A2690" s="1" t="s">
        <v>2729</v>
      </c>
    </row>
    <row r="2691" spans="1:1" x14ac:dyDescent="0.25">
      <c r="A2691" s="1" t="s">
        <v>2730</v>
      </c>
    </row>
    <row r="2692" spans="1:1" x14ac:dyDescent="0.25">
      <c r="A2692" s="1" t="s">
        <v>2731</v>
      </c>
    </row>
    <row r="2693" spans="1:1" x14ac:dyDescent="0.25">
      <c r="A2693" s="1" t="s">
        <v>2732</v>
      </c>
    </row>
    <row r="2694" spans="1:1" x14ac:dyDescent="0.25">
      <c r="A2694" s="1" t="s">
        <v>2733</v>
      </c>
    </row>
    <row r="2695" spans="1:1" x14ac:dyDescent="0.25">
      <c r="A2695" s="1" t="s">
        <v>2734</v>
      </c>
    </row>
    <row r="2696" spans="1:1" x14ac:dyDescent="0.25">
      <c r="A2696" s="1" t="s">
        <v>2735</v>
      </c>
    </row>
    <row r="2697" spans="1:1" x14ac:dyDescent="0.25">
      <c r="A2697" s="1" t="s">
        <v>2736</v>
      </c>
    </row>
    <row r="2698" spans="1:1" x14ac:dyDescent="0.25">
      <c r="A2698" s="1" t="s">
        <v>2737</v>
      </c>
    </row>
    <row r="2699" spans="1:1" x14ac:dyDescent="0.25">
      <c r="A2699" s="1" t="s">
        <v>2738</v>
      </c>
    </row>
    <row r="2700" spans="1:1" x14ac:dyDescent="0.25">
      <c r="A2700" s="1" t="s">
        <v>2739</v>
      </c>
    </row>
    <row r="2701" spans="1:1" x14ac:dyDescent="0.25">
      <c r="A2701" s="1" t="s">
        <v>2740</v>
      </c>
    </row>
    <row r="2702" spans="1:1" x14ac:dyDescent="0.25">
      <c r="A2702" s="1" t="s">
        <v>2741</v>
      </c>
    </row>
    <row r="2703" spans="1:1" x14ac:dyDescent="0.25">
      <c r="A2703" s="1" t="s">
        <v>2742</v>
      </c>
    </row>
    <row r="2704" spans="1:1" x14ac:dyDescent="0.25">
      <c r="A2704" s="1" t="s">
        <v>2743</v>
      </c>
    </row>
    <row r="2705" spans="1:1" x14ac:dyDescent="0.25">
      <c r="A2705" s="1" t="s">
        <v>2744</v>
      </c>
    </row>
    <row r="2706" spans="1:1" x14ac:dyDescent="0.25">
      <c r="A2706" s="1" t="s">
        <v>2745</v>
      </c>
    </row>
    <row r="2707" spans="1:1" x14ac:dyDescent="0.25">
      <c r="A2707" s="1" t="s">
        <v>2746</v>
      </c>
    </row>
    <row r="2708" spans="1:1" x14ac:dyDescent="0.25">
      <c r="A2708" s="1" t="s">
        <v>2747</v>
      </c>
    </row>
    <row r="2709" spans="1:1" x14ac:dyDescent="0.25">
      <c r="A2709" s="1" t="s">
        <v>2748</v>
      </c>
    </row>
    <row r="2710" spans="1:1" x14ac:dyDescent="0.25">
      <c r="A2710" s="1" t="s">
        <v>2749</v>
      </c>
    </row>
    <row r="2711" spans="1:1" x14ac:dyDescent="0.25">
      <c r="A2711" s="1" t="s">
        <v>2750</v>
      </c>
    </row>
    <row r="2712" spans="1:1" x14ac:dyDescent="0.25">
      <c r="A2712" s="1" t="s">
        <v>2751</v>
      </c>
    </row>
    <row r="2713" spans="1:1" x14ac:dyDescent="0.25">
      <c r="A2713" s="1" t="s">
        <v>2752</v>
      </c>
    </row>
    <row r="2714" spans="1:1" x14ac:dyDescent="0.25">
      <c r="A2714" s="1" t="s">
        <v>2753</v>
      </c>
    </row>
    <row r="2715" spans="1:1" x14ac:dyDescent="0.25">
      <c r="A2715" s="1" t="s">
        <v>2754</v>
      </c>
    </row>
    <row r="2716" spans="1:1" x14ac:dyDescent="0.25">
      <c r="A2716" s="1" t="s">
        <v>2755</v>
      </c>
    </row>
    <row r="2717" spans="1:1" x14ac:dyDescent="0.25">
      <c r="A2717" s="1" t="s">
        <v>2756</v>
      </c>
    </row>
    <row r="2718" spans="1:1" x14ac:dyDescent="0.25">
      <c r="A2718" s="1" t="s">
        <v>2757</v>
      </c>
    </row>
    <row r="2719" spans="1:1" x14ac:dyDescent="0.25">
      <c r="A2719" s="1" t="s">
        <v>2758</v>
      </c>
    </row>
    <row r="2720" spans="1:1" x14ac:dyDescent="0.25">
      <c r="A2720" s="1" t="s">
        <v>2759</v>
      </c>
    </row>
    <row r="2721" spans="1:1" x14ac:dyDescent="0.25">
      <c r="A2721" s="1" t="s">
        <v>2760</v>
      </c>
    </row>
    <row r="2722" spans="1:1" x14ac:dyDescent="0.25">
      <c r="A2722" s="1" t="s">
        <v>2761</v>
      </c>
    </row>
    <row r="2723" spans="1:1" x14ac:dyDescent="0.25">
      <c r="A2723" s="1" t="s">
        <v>2762</v>
      </c>
    </row>
    <row r="2724" spans="1:1" x14ac:dyDescent="0.25">
      <c r="A2724" s="1" t="s">
        <v>2763</v>
      </c>
    </row>
    <row r="2725" spans="1:1" x14ac:dyDescent="0.25">
      <c r="A2725" s="1" t="s">
        <v>2764</v>
      </c>
    </row>
    <row r="2726" spans="1:1" x14ac:dyDescent="0.25">
      <c r="A2726" s="1" t="s">
        <v>2765</v>
      </c>
    </row>
    <row r="2727" spans="1:1" x14ac:dyDescent="0.25">
      <c r="A2727" s="1" t="s">
        <v>2766</v>
      </c>
    </row>
    <row r="2728" spans="1:1" x14ac:dyDescent="0.25">
      <c r="A2728" s="1" t="s">
        <v>2767</v>
      </c>
    </row>
    <row r="2729" spans="1:1" x14ac:dyDescent="0.25">
      <c r="A2729" s="1" t="s">
        <v>2768</v>
      </c>
    </row>
    <row r="2730" spans="1:1" x14ac:dyDescent="0.25">
      <c r="A2730" s="1" t="s">
        <v>2769</v>
      </c>
    </row>
    <row r="2731" spans="1:1" x14ac:dyDescent="0.25">
      <c r="A2731" s="1" t="s">
        <v>2770</v>
      </c>
    </row>
    <row r="2732" spans="1:1" x14ac:dyDescent="0.25">
      <c r="A2732" s="1" t="s">
        <v>2771</v>
      </c>
    </row>
    <row r="2733" spans="1:1" x14ac:dyDescent="0.25">
      <c r="A2733" s="1" t="s">
        <v>2772</v>
      </c>
    </row>
    <row r="2734" spans="1:1" x14ac:dyDescent="0.25">
      <c r="A2734" s="1" t="s">
        <v>2773</v>
      </c>
    </row>
    <row r="2735" spans="1:1" x14ac:dyDescent="0.25">
      <c r="A2735" s="1" t="s">
        <v>2774</v>
      </c>
    </row>
    <row r="2736" spans="1:1" x14ac:dyDescent="0.25">
      <c r="A2736" s="1" t="s">
        <v>2775</v>
      </c>
    </row>
    <row r="2737" spans="1:1" x14ac:dyDescent="0.25">
      <c r="A2737" s="1" t="s">
        <v>2776</v>
      </c>
    </row>
    <row r="2738" spans="1:1" x14ac:dyDescent="0.25">
      <c r="A2738" s="1" t="s">
        <v>2777</v>
      </c>
    </row>
    <row r="2739" spans="1:1" x14ac:dyDescent="0.25">
      <c r="A2739" s="1" t="s">
        <v>2778</v>
      </c>
    </row>
    <row r="2740" spans="1:1" x14ac:dyDescent="0.25">
      <c r="A2740" s="1" t="s">
        <v>2779</v>
      </c>
    </row>
    <row r="2741" spans="1:1" x14ac:dyDescent="0.25">
      <c r="A2741" s="1" t="s">
        <v>2780</v>
      </c>
    </row>
    <row r="2742" spans="1:1" x14ac:dyDescent="0.25">
      <c r="A2742" s="1" t="s">
        <v>2781</v>
      </c>
    </row>
    <row r="2743" spans="1:1" x14ac:dyDescent="0.25">
      <c r="A2743" s="1" t="s">
        <v>2782</v>
      </c>
    </row>
    <row r="2744" spans="1:1" x14ac:dyDescent="0.25">
      <c r="A2744" s="1" t="s">
        <v>2783</v>
      </c>
    </row>
    <row r="2745" spans="1:1" x14ac:dyDescent="0.25">
      <c r="A2745" s="1" t="s">
        <v>2784</v>
      </c>
    </row>
    <row r="2746" spans="1:1" x14ac:dyDescent="0.25">
      <c r="A2746" s="1" t="s">
        <v>2785</v>
      </c>
    </row>
    <row r="2747" spans="1:1" x14ac:dyDescent="0.25">
      <c r="A2747" s="1" t="s">
        <v>2786</v>
      </c>
    </row>
    <row r="2748" spans="1:1" x14ac:dyDescent="0.25">
      <c r="A2748" s="1" t="s">
        <v>2787</v>
      </c>
    </row>
    <row r="2749" spans="1:1" x14ac:dyDescent="0.25">
      <c r="A2749" s="1" t="s">
        <v>2788</v>
      </c>
    </row>
    <row r="2750" spans="1:1" x14ac:dyDescent="0.25">
      <c r="A2750" s="1" t="s">
        <v>2789</v>
      </c>
    </row>
    <row r="2751" spans="1:1" x14ac:dyDescent="0.25">
      <c r="A2751" s="1" t="s">
        <v>2790</v>
      </c>
    </row>
    <row r="2752" spans="1:1" x14ac:dyDescent="0.25">
      <c r="A2752" s="1" t="s">
        <v>2791</v>
      </c>
    </row>
    <row r="2753" spans="1:1" x14ac:dyDescent="0.25">
      <c r="A2753" s="1" t="s">
        <v>2792</v>
      </c>
    </row>
    <row r="2754" spans="1:1" x14ac:dyDescent="0.25">
      <c r="A2754" s="1" t="s">
        <v>2793</v>
      </c>
    </row>
    <row r="2755" spans="1:1" x14ac:dyDescent="0.25">
      <c r="A2755" s="1" t="s">
        <v>2794</v>
      </c>
    </row>
    <row r="2756" spans="1:1" x14ac:dyDescent="0.25">
      <c r="A2756" s="1" t="s">
        <v>2795</v>
      </c>
    </row>
    <row r="2757" spans="1:1" x14ac:dyDescent="0.25">
      <c r="A2757" s="1" t="s">
        <v>2796</v>
      </c>
    </row>
    <row r="2758" spans="1:1" x14ac:dyDescent="0.25">
      <c r="A2758" s="1" t="s">
        <v>2797</v>
      </c>
    </row>
    <row r="2759" spans="1:1" x14ac:dyDescent="0.25">
      <c r="A2759" s="1" t="s">
        <v>2798</v>
      </c>
    </row>
    <row r="2760" spans="1:1" x14ac:dyDescent="0.25">
      <c r="A2760" s="1" t="s">
        <v>2799</v>
      </c>
    </row>
    <row r="2761" spans="1:1" x14ac:dyDescent="0.25">
      <c r="A2761" s="1" t="s">
        <v>2800</v>
      </c>
    </row>
    <row r="2762" spans="1:1" x14ac:dyDescent="0.25">
      <c r="A2762" s="1" t="s">
        <v>2801</v>
      </c>
    </row>
    <row r="2763" spans="1:1" x14ac:dyDescent="0.25">
      <c r="A2763" s="1" t="s">
        <v>2802</v>
      </c>
    </row>
    <row r="2764" spans="1:1" x14ac:dyDescent="0.25">
      <c r="A2764" s="1" t="s">
        <v>2803</v>
      </c>
    </row>
    <row r="2765" spans="1:1" x14ac:dyDescent="0.25">
      <c r="A2765" s="1" t="s">
        <v>2804</v>
      </c>
    </row>
    <row r="2766" spans="1:1" x14ac:dyDescent="0.25">
      <c r="A2766" s="1" t="s">
        <v>2805</v>
      </c>
    </row>
    <row r="2767" spans="1:1" x14ac:dyDescent="0.25">
      <c r="A2767" s="1" t="s">
        <v>2806</v>
      </c>
    </row>
    <row r="2768" spans="1:1" x14ac:dyDescent="0.25">
      <c r="A2768" s="1" t="s">
        <v>2807</v>
      </c>
    </row>
    <row r="2769" spans="1:1" x14ac:dyDescent="0.25">
      <c r="A2769" s="1" t="s">
        <v>2808</v>
      </c>
    </row>
    <row r="2770" spans="1:1" x14ac:dyDescent="0.25">
      <c r="A2770" s="1" t="s">
        <v>2809</v>
      </c>
    </row>
    <row r="2771" spans="1:1" x14ac:dyDescent="0.25">
      <c r="A2771" s="1" t="s">
        <v>2810</v>
      </c>
    </row>
    <row r="2772" spans="1:1" x14ac:dyDescent="0.25">
      <c r="A2772" s="1" t="s">
        <v>2811</v>
      </c>
    </row>
    <row r="2773" spans="1:1" x14ac:dyDescent="0.25">
      <c r="A2773" s="1" t="s">
        <v>2812</v>
      </c>
    </row>
    <row r="2774" spans="1:1" x14ac:dyDescent="0.25">
      <c r="A2774" s="1" t="s">
        <v>2813</v>
      </c>
    </row>
    <row r="2775" spans="1:1" x14ac:dyDescent="0.25">
      <c r="A2775" s="1" t="s">
        <v>2814</v>
      </c>
    </row>
    <row r="2776" spans="1:1" x14ac:dyDescent="0.25">
      <c r="A2776" s="1" t="s">
        <v>2815</v>
      </c>
    </row>
    <row r="2777" spans="1:1" x14ac:dyDescent="0.25">
      <c r="A2777" s="1" t="s">
        <v>2816</v>
      </c>
    </row>
    <row r="2778" spans="1:1" x14ac:dyDescent="0.25">
      <c r="A2778" s="1" t="s">
        <v>2817</v>
      </c>
    </row>
    <row r="2779" spans="1:1" x14ac:dyDescent="0.25">
      <c r="A2779" s="1" t="s">
        <v>2818</v>
      </c>
    </row>
    <row r="2780" spans="1:1" x14ac:dyDescent="0.25">
      <c r="A2780" s="1" t="s">
        <v>2819</v>
      </c>
    </row>
    <row r="2781" spans="1:1" x14ac:dyDescent="0.25">
      <c r="A2781" s="1" t="s">
        <v>2820</v>
      </c>
    </row>
    <row r="2782" spans="1:1" x14ac:dyDescent="0.25">
      <c r="A2782" s="1" t="s">
        <v>2821</v>
      </c>
    </row>
    <row r="2783" spans="1:1" x14ac:dyDescent="0.25">
      <c r="A2783" s="1" t="s">
        <v>2822</v>
      </c>
    </row>
    <row r="2784" spans="1:1" x14ac:dyDescent="0.25">
      <c r="A2784" s="1" t="s">
        <v>2823</v>
      </c>
    </row>
    <row r="2785" spans="1:1" x14ac:dyDescent="0.25">
      <c r="A2785" s="1" t="s">
        <v>2824</v>
      </c>
    </row>
    <row r="2786" spans="1:1" x14ac:dyDescent="0.25">
      <c r="A2786" s="1" t="s">
        <v>2825</v>
      </c>
    </row>
    <row r="2787" spans="1:1" x14ac:dyDescent="0.25">
      <c r="A2787" s="1" t="s">
        <v>2826</v>
      </c>
    </row>
    <row r="2788" spans="1:1" x14ac:dyDescent="0.25">
      <c r="A2788" s="1" t="s">
        <v>2827</v>
      </c>
    </row>
    <row r="2789" spans="1:1" x14ac:dyDescent="0.25">
      <c r="A2789" s="1" t="s">
        <v>2828</v>
      </c>
    </row>
    <row r="2790" spans="1:1" x14ac:dyDescent="0.25">
      <c r="A2790" s="1" t="s">
        <v>2829</v>
      </c>
    </row>
    <row r="2791" spans="1:1" x14ac:dyDescent="0.25">
      <c r="A2791" s="1" t="s">
        <v>2830</v>
      </c>
    </row>
    <row r="2792" spans="1:1" x14ac:dyDescent="0.25">
      <c r="A2792" s="1" t="s">
        <v>2831</v>
      </c>
    </row>
    <row r="2793" spans="1:1" x14ac:dyDescent="0.25">
      <c r="A2793" s="1" t="s">
        <v>2832</v>
      </c>
    </row>
    <row r="2794" spans="1:1" x14ac:dyDescent="0.25">
      <c r="A2794" s="1" t="s">
        <v>2833</v>
      </c>
    </row>
    <row r="2795" spans="1:1" x14ac:dyDescent="0.25">
      <c r="A2795" s="1" t="s">
        <v>2834</v>
      </c>
    </row>
    <row r="2796" spans="1:1" x14ac:dyDescent="0.25">
      <c r="A2796" s="1" t="s">
        <v>2835</v>
      </c>
    </row>
    <row r="2797" spans="1:1" x14ac:dyDescent="0.25">
      <c r="A2797" s="1" t="s">
        <v>2836</v>
      </c>
    </row>
    <row r="2798" spans="1:1" x14ac:dyDescent="0.25">
      <c r="A2798" s="1" t="s">
        <v>2837</v>
      </c>
    </row>
    <row r="2799" spans="1:1" x14ac:dyDescent="0.25">
      <c r="A2799" s="1" t="s">
        <v>2838</v>
      </c>
    </row>
    <row r="2800" spans="1:1" x14ac:dyDescent="0.25">
      <c r="A2800" s="1" t="s">
        <v>2839</v>
      </c>
    </row>
    <row r="2801" spans="1:1" x14ac:dyDescent="0.25">
      <c r="A2801" s="1" t="s">
        <v>2840</v>
      </c>
    </row>
    <row r="2802" spans="1:1" x14ac:dyDescent="0.25">
      <c r="A2802" s="1" t="s">
        <v>2841</v>
      </c>
    </row>
    <row r="2803" spans="1:1" x14ac:dyDescent="0.25">
      <c r="A2803" s="1" t="s">
        <v>2842</v>
      </c>
    </row>
    <row r="2804" spans="1:1" x14ac:dyDescent="0.25">
      <c r="A2804" s="1" t="s">
        <v>2843</v>
      </c>
    </row>
    <row r="2805" spans="1:1" x14ac:dyDescent="0.25">
      <c r="A2805" s="1" t="s">
        <v>2844</v>
      </c>
    </row>
    <row r="2806" spans="1:1" x14ac:dyDescent="0.25">
      <c r="A2806" s="1" t="s">
        <v>2845</v>
      </c>
    </row>
    <row r="2807" spans="1:1" x14ac:dyDescent="0.25">
      <c r="A2807" s="1" t="s">
        <v>2846</v>
      </c>
    </row>
    <row r="2808" spans="1:1" x14ac:dyDescent="0.25">
      <c r="A2808" s="1" t="s">
        <v>2847</v>
      </c>
    </row>
    <row r="2809" spans="1:1" x14ac:dyDescent="0.25">
      <c r="A2809" s="1" t="s">
        <v>2848</v>
      </c>
    </row>
    <row r="2810" spans="1:1" x14ac:dyDescent="0.25">
      <c r="A2810" s="1" t="s">
        <v>2849</v>
      </c>
    </row>
    <row r="2811" spans="1:1" x14ac:dyDescent="0.25">
      <c r="A2811" s="1" t="s">
        <v>2850</v>
      </c>
    </row>
    <row r="2812" spans="1:1" x14ac:dyDescent="0.25">
      <c r="A2812" s="1" t="s">
        <v>2851</v>
      </c>
    </row>
    <row r="2813" spans="1:1" x14ac:dyDescent="0.25">
      <c r="A2813" s="1" t="s">
        <v>2852</v>
      </c>
    </row>
    <row r="2814" spans="1:1" x14ac:dyDescent="0.25">
      <c r="A2814" s="1" t="s">
        <v>2853</v>
      </c>
    </row>
    <row r="2815" spans="1:1" x14ac:dyDescent="0.25">
      <c r="A2815" s="1" t="s">
        <v>2854</v>
      </c>
    </row>
    <row r="2816" spans="1:1" x14ac:dyDescent="0.25">
      <c r="A2816" s="1" t="s">
        <v>2855</v>
      </c>
    </row>
    <row r="2817" spans="1:1" x14ac:dyDescent="0.25">
      <c r="A2817" s="1" t="s">
        <v>2856</v>
      </c>
    </row>
    <row r="2818" spans="1:1" x14ac:dyDescent="0.25">
      <c r="A2818" s="1" t="s">
        <v>2857</v>
      </c>
    </row>
    <row r="2819" spans="1:1" x14ac:dyDescent="0.25">
      <c r="A2819" s="1" t="s">
        <v>2858</v>
      </c>
    </row>
    <row r="2820" spans="1:1" x14ac:dyDescent="0.25">
      <c r="A2820" s="1" t="s">
        <v>2859</v>
      </c>
    </row>
    <row r="2821" spans="1:1" x14ac:dyDescent="0.25">
      <c r="A2821" s="1" t="s">
        <v>2860</v>
      </c>
    </row>
    <row r="2822" spans="1:1" x14ac:dyDescent="0.25">
      <c r="A2822" s="1" t="s">
        <v>2861</v>
      </c>
    </row>
    <row r="2823" spans="1:1" x14ac:dyDescent="0.25">
      <c r="A2823" s="1" t="s">
        <v>2862</v>
      </c>
    </row>
    <row r="2824" spans="1:1" x14ac:dyDescent="0.25">
      <c r="A2824" s="1" t="s">
        <v>2863</v>
      </c>
    </row>
    <row r="2825" spans="1:1" x14ac:dyDescent="0.25">
      <c r="A2825" s="1" t="s">
        <v>2864</v>
      </c>
    </row>
    <row r="2826" spans="1:1" x14ac:dyDescent="0.25">
      <c r="A2826" s="1" t="s">
        <v>2865</v>
      </c>
    </row>
    <row r="2827" spans="1:1" x14ac:dyDescent="0.25">
      <c r="A2827" s="1" t="s">
        <v>2866</v>
      </c>
    </row>
    <row r="2828" spans="1:1" x14ac:dyDescent="0.25">
      <c r="A2828" s="1" t="s">
        <v>2867</v>
      </c>
    </row>
    <row r="2829" spans="1:1" x14ac:dyDescent="0.25">
      <c r="A2829" s="1" t="s">
        <v>2868</v>
      </c>
    </row>
    <row r="2830" spans="1:1" x14ac:dyDescent="0.25">
      <c r="A2830" s="1" t="s">
        <v>2869</v>
      </c>
    </row>
    <row r="2831" spans="1:1" x14ac:dyDescent="0.25">
      <c r="A2831" s="1" t="s">
        <v>2870</v>
      </c>
    </row>
    <row r="2832" spans="1:1" x14ac:dyDescent="0.25">
      <c r="A2832" s="1" t="s">
        <v>2871</v>
      </c>
    </row>
    <row r="2833" spans="1:1" x14ac:dyDescent="0.25">
      <c r="A2833" s="1" t="s">
        <v>2872</v>
      </c>
    </row>
    <row r="2834" spans="1:1" x14ac:dyDescent="0.25">
      <c r="A2834" s="1" t="s">
        <v>2873</v>
      </c>
    </row>
    <row r="2835" spans="1:1" x14ac:dyDescent="0.25">
      <c r="A2835" s="1" t="s">
        <v>2874</v>
      </c>
    </row>
    <row r="2836" spans="1:1" x14ac:dyDescent="0.25">
      <c r="A2836" s="1" t="s">
        <v>2875</v>
      </c>
    </row>
    <row r="2837" spans="1:1" x14ac:dyDescent="0.25">
      <c r="A2837" s="1" t="s">
        <v>2876</v>
      </c>
    </row>
    <row r="2838" spans="1:1" x14ac:dyDescent="0.25">
      <c r="A2838" s="1" t="s">
        <v>2877</v>
      </c>
    </row>
    <row r="2839" spans="1:1" x14ac:dyDescent="0.25">
      <c r="A2839" s="1" t="s">
        <v>2878</v>
      </c>
    </row>
    <row r="2840" spans="1:1" x14ac:dyDescent="0.25">
      <c r="A2840" s="1" t="s">
        <v>2879</v>
      </c>
    </row>
    <row r="2841" spans="1:1" x14ac:dyDescent="0.25">
      <c r="A2841" s="1" t="s">
        <v>2880</v>
      </c>
    </row>
    <row r="2842" spans="1:1" x14ac:dyDescent="0.25">
      <c r="A2842" s="1" t="s">
        <v>2881</v>
      </c>
    </row>
    <row r="2843" spans="1:1" x14ac:dyDescent="0.25">
      <c r="A2843" s="1" t="s">
        <v>2882</v>
      </c>
    </row>
    <row r="2844" spans="1:1" x14ac:dyDescent="0.25">
      <c r="A2844" s="1" t="s">
        <v>2883</v>
      </c>
    </row>
    <row r="2845" spans="1:1" x14ac:dyDescent="0.25">
      <c r="A2845" s="1" t="s">
        <v>2884</v>
      </c>
    </row>
    <row r="2846" spans="1:1" x14ac:dyDescent="0.25">
      <c r="A2846" s="1" t="s">
        <v>2885</v>
      </c>
    </row>
    <row r="2847" spans="1:1" x14ac:dyDescent="0.25">
      <c r="A2847" s="1" t="s">
        <v>2886</v>
      </c>
    </row>
    <row r="2848" spans="1:1" x14ac:dyDescent="0.25">
      <c r="A2848" s="1" t="s">
        <v>2887</v>
      </c>
    </row>
    <row r="2849" spans="1:1" x14ac:dyDescent="0.25">
      <c r="A2849" s="1" t="s">
        <v>2888</v>
      </c>
    </row>
    <row r="2850" spans="1:1" x14ac:dyDescent="0.25">
      <c r="A2850" s="1" t="s">
        <v>2889</v>
      </c>
    </row>
    <row r="2851" spans="1:1" x14ac:dyDescent="0.25">
      <c r="A2851" s="1" t="s">
        <v>2890</v>
      </c>
    </row>
    <row r="2852" spans="1:1" x14ac:dyDescent="0.25">
      <c r="A2852" s="1" t="s">
        <v>2891</v>
      </c>
    </row>
    <row r="2853" spans="1:1" x14ac:dyDescent="0.25">
      <c r="A2853" s="1" t="s">
        <v>2892</v>
      </c>
    </row>
    <row r="2854" spans="1:1" x14ac:dyDescent="0.25">
      <c r="A2854" s="1" t="s">
        <v>2893</v>
      </c>
    </row>
    <row r="2855" spans="1:1" x14ac:dyDescent="0.25">
      <c r="A2855" s="1" t="s">
        <v>2894</v>
      </c>
    </row>
    <row r="2856" spans="1:1" x14ac:dyDescent="0.25">
      <c r="A2856" s="1" t="s">
        <v>2895</v>
      </c>
    </row>
    <row r="2857" spans="1:1" x14ac:dyDescent="0.25">
      <c r="A2857" s="1" t="s">
        <v>2896</v>
      </c>
    </row>
    <row r="2858" spans="1:1" x14ac:dyDescent="0.25">
      <c r="A2858" s="1" t="s">
        <v>2897</v>
      </c>
    </row>
    <row r="2859" spans="1:1" x14ac:dyDescent="0.25">
      <c r="A2859" s="1" t="s">
        <v>2898</v>
      </c>
    </row>
    <row r="2860" spans="1:1" x14ac:dyDescent="0.25">
      <c r="A2860" s="1" t="s">
        <v>2899</v>
      </c>
    </row>
    <row r="2861" spans="1:1" x14ac:dyDescent="0.25">
      <c r="A2861" s="1" t="s">
        <v>2900</v>
      </c>
    </row>
    <row r="2862" spans="1:1" x14ac:dyDescent="0.25">
      <c r="A2862" s="1" t="s">
        <v>2901</v>
      </c>
    </row>
    <row r="2863" spans="1:1" x14ac:dyDescent="0.25">
      <c r="A2863" s="1" t="s">
        <v>2902</v>
      </c>
    </row>
    <row r="2864" spans="1:1" x14ac:dyDescent="0.25">
      <c r="A2864" s="1" t="s">
        <v>2903</v>
      </c>
    </row>
    <row r="2865" spans="1:1" x14ac:dyDescent="0.25">
      <c r="A2865" s="1" t="s">
        <v>2904</v>
      </c>
    </row>
    <row r="2866" spans="1:1" x14ac:dyDescent="0.25">
      <c r="A2866" s="1" t="s">
        <v>2905</v>
      </c>
    </row>
    <row r="2867" spans="1:1" x14ac:dyDescent="0.25">
      <c r="A2867" s="1" t="s">
        <v>2906</v>
      </c>
    </row>
    <row r="2868" spans="1:1" x14ac:dyDescent="0.25">
      <c r="A2868" s="1" t="s">
        <v>2907</v>
      </c>
    </row>
    <row r="2869" spans="1:1" x14ac:dyDescent="0.25">
      <c r="A2869" s="1" t="s">
        <v>2908</v>
      </c>
    </row>
    <row r="2870" spans="1:1" x14ac:dyDescent="0.25">
      <c r="A2870" s="1" t="s">
        <v>2909</v>
      </c>
    </row>
    <row r="2871" spans="1:1" x14ac:dyDescent="0.25">
      <c r="A2871" s="1" t="s">
        <v>2910</v>
      </c>
    </row>
    <row r="2872" spans="1:1" x14ac:dyDescent="0.25">
      <c r="A2872" s="1" t="s">
        <v>2911</v>
      </c>
    </row>
    <row r="2873" spans="1:1" x14ac:dyDescent="0.25">
      <c r="A2873" s="1" t="s">
        <v>2912</v>
      </c>
    </row>
    <row r="2874" spans="1:1" x14ac:dyDescent="0.25">
      <c r="A2874" s="1" t="s">
        <v>2913</v>
      </c>
    </row>
    <row r="2875" spans="1:1" x14ac:dyDescent="0.25">
      <c r="A2875" s="1" t="s">
        <v>2914</v>
      </c>
    </row>
    <row r="2876" spans="1:1" x14ac:dyDescent="0.25">
      <c r="A2876" s="1" t="s">
        <v>2915</v>
      </c>
    </row>
    <row r="2877" spans="1:1" x14ac:dyDescent="0.25">
      <c r="A2877" s="1" t="s">
        <v>2916</v>
      </c>
    </row>
    <row r="2878" spans="1:1" x14ac:dyDescent="0.25">
      <c r="A2878" s="1" t="s">
        <v>2917</v>
      </c>
    </row>
    <row r="2879" spans="1:1" x14ac:dyDescent="0.25">
      <c r="A2879" s="1" t="s">
        <v>2918</v>
      </c>
    </row>
    <row r="2880" spans="1:1" x14ac:dyDescent="0.25">
      <c r="A2880" s="1" t="s">
        <v>2919</v>
      </c>
    </row>
    <row r="2881" spans="1:1" x14ac:dyDescent="0.25">
      <c r="A2881" s="1" t="s">
        <v>2920</v>
      </c>
    </row>
    <row r="2882" spans="1:1" x14ac:dyDescent="0.25">
      <c r="A2882" s="1" t="s">
        <v>2921</v>
      </c>
    </row>
    <row r="2883" spans="1:1" x14ac:dyDescent="0.25">
      <c r="A2883" s="1" t="s">
        <v>2922</v>
      </c>
    </row>
    <row r="2884" spans="1:1" x14ac:dyDescent="0.25">
      <c r="A2884" s="1" t="s">
        <v>2923</v>
      </c>
    </row>
    <row r="2885" spans="1:1" x14ac:dyDescent="0.25">
      <c r="A2885" s="1" t="s">
        <v>2924</v>
      </c>
    </row>
    <row r="2886" spans="1:1" x14ac:dyDescent="0.25">
      <c r="A2886" s="1" t="s">
        <v>2925</v>
      </c>
    </row>
    <row r="2887" spans="1:1" x14ac:dyDescent="0.25">
      <c r="A2887" s="1" t="s">
        <v>2926</v>
      </c>
    </row>
    <row r="2888" spans="1:1" x14ac:dyDescent="0.25">
      <c r="A2888" s="1" t="s">
        <v>2927</v>
      </c>
    </row>
    <row r="2889" spans="1:1" x14ac:dyDescent="0.25">
      <c r="A2889" s="1" t="s">
        <v>2928</v>
      </c>
    </row>
    <row r="2890" spans="1:1" x14ac:dyDescent="0.25">
      <c r="A2890" s="1" t="s">
        <v>2929</v>
      </c>
    </row>
    <row r="2891" spans="1:1" x14ac:dyDescent="0.25">
      <c r="A2891" s="1" t="s">
        <v>2930</v>
      </c>
    </row>
    <row r="2892" spans="1:1" x14ac:dyDescent="0.25">
      <c r="A2892" s="1" t="s">
        <v>2931</v>
      </c>
    </row>
    <row r="2893" spans="1:1" x14ac:dyDescent="0.25">
      <c r="A2893" s="1" t="s">
        <v>2932</v>
      </c>
    </row>
    <row r="2894" spans="1:1" x14ac:dyDescent="0.25">
      <c r="A2894" s="1" t="s">
        <v>2933</v>
      </c>
    </row>
    <row r="2895" spans="1:1" x14ac:dyDescent="0.25">
      <c r="A2895" s="1" t="s">
        <v>2934</v>
      </c>
    </row>
    <row r="2896" spans="1:1" x14ac:dyDescent="0.25">
      <c r="A2896" s="1" t="s">
        <v>2935</v>
      </c>
    </row>
    <row r="2897" spans="1:1" x14ac:dyDescent="0.25">
      <c r="A2897" s="1" t="s">
        <v>2936</v>
      </c>
    </row>
    <row r="2898" spans="1:1" x14ac:dyDescent="0.25">
      <c r="A2898" s="1" t="s">
        <v>2937</v>
      </c>
    </row>
    <row r="2899" spans="1:1" x14ac:dyDescent="0.25">
      <c r="A2899" s="1" t="s">
        <v>2938</v>
      </c>
    </row>
    <row r="2900" spans="1:1" x14ac:dyDescent="0.25">
      <c r="A2900" s="1" t="s">
        <v>2939</v>
      </c>
    </row>
    <row r="2901" spans="1:1" x14ac:dyDescent="0.25">
      <c r="A2901" s="1" t="s">
        <v>2940</v>
      </c>
    </row>
    <row r="2902" spans="1:1" x14ac:dyDescent="0.25">
      <c r="A2902" s="1" t="s">
        <v>2941</v>
      </c>
    </row>
    <row r="2903" spans="1:1" x14ac:dyDescent="0.25">
      <c r="A2903" s="1" t="s">
        <v>2942</v>
      </c>
    </row>
    <row r="2904" spans="1:1" x14ac:dyDescent="0.25">
      <c r="A2904" s="1" t="s">
        <v>2943</v>
      </c>
    </row>
    <row r="2905" spans="1:1" x14ac:dyDescent="0.25">
      <c r="A2905" s="1" t="s">
        <v>2944</v>
      </c>
    </row>
    <row r="2906" spans="1:1" x14ac:dyDescent="0.25">
      <c r="A2906" s="1" t="s">
        <v>2945</v>
      </c>
    </row>
    <row r="2907" spans="1:1" x14ac:dyDescent="0.25">
      <c r="A2907" s="1" t="s">
        <v>2946</v>
      </c>
    </row>
    <row r="2908" spans="1:1" x14ac:dyDescent="0.25">
      <c r="A2908" s="1" t="s">
        <v>2947</v>
      </c>
    </row>
    <row r="2909" spans="1:1" x14ac:dyDescent="0.25">
      <c r="A2909" s="1" t="s">
        <v>2948</v>
      </c>
    </row>
    <row r="2910" spans="1:1" x14ac:dyDescent="0.25">
      <c r="A2910" s="1" t="s">
        <v>2949</v>
      </c>
    </row>
    <row r="2911" spans="1:1" x14ac:dyDescent="0.25">
      <c r="A2911" s="1" t="s">
        <v>2950</v>
      </c>
    </row>
    <row r="2912" spans="1:1" x14ac:dyDescent="0.25">
      <c r="A2912" s="1" t="s">
        <v>2951</v>
      </c>
    </row>
    <row r="2913" spans="1:1" x14ac:dyDescent="0.25">
      <c r="A2913" s="1" t="s">
        <v>2952</v>
      </c>
    </row>
    <row r="2914" spans="1:1" x14ac:dyDescent="0.25">
      <c r="A2914" s="1" t="s">
        <v>2953</v>
      </c>
    </row>
    <row r="2915" spans="1:1" x14ac:dyDescent="0.25">
      <c r="A2915" s="1" t="s">
        <v>2954</v>
      </c>
    </row>
    <row r="2916" spans="1:1" x14ac:dyDescent="0.25">
      <c r="A2916" s="1" t="s">
        <v>2955</v>
      </c>
    </row>
    <row r="2917" spans="1:1" x14ac:dyDescent="0.25">
      <c r="A2917" s="1" t="s">
        <v>2956</v>
      </c>
    </row>
    <row r="2918" spans="1:1" x14ac:dyDescent="0.25">
      <c r="A2918" s="1" t="s">
        <v>2957</v>
      </c>
    </row>
    <row r="2919" spans="1:1" x14ac:dyDescent="0.25">
      <c r="A2919" s="1" t="s">
        <v>2958</v>
      </c>
    </row>
    <row r="2920" spans="1:1" x14ac:dyDescent="0.25">
      <c r="A2920" s="1" t="s">
        <v>2959</v>
      </c>
    </row>
    <row r="2921" spans="1:1" x14ac:dyDescent="0.25">
      <c r="A2921" s="1" t="s">
        <v>2960</v>
      </c>
    </row>
    <row r="2922" spans="1:1" x14ac:dyDescent="0.25">
      <c r="A2922" s="1" t="s">
        <v>2961</v>
      </c>
    </row>
    <row r="2923" spans="1:1" x14ac:dyDescent="0.25">
      <c r="A2923" s="1" t="s">
        <v>2962</v>
      </c>
    </row>
    <row r="2924" spans="1:1" x14ac:dyDescent="0.25">
      <c r="A2924" s="1" t="s">
        <v>2963</v>
      </c>
    </row>
    <row r="2925" spans="1:1" x14ac:dyDescent="0.25">
      <c r="A2925" s="1" t="s">
        <v>2964</v>
      </c>
    </row>
    <row r="2926" spans="1:1" x14ac:dyDescent="0.25">
      <c r="A2926" s="1" t="s">
        <v>2965</v>
      </c>
    </row>
    <row r="2927" spans="1:1" x14ac:dyDescent="0.25">
      <c r="A2927" s="1" t="s">
        <v>2966</v>
      </c>
    </row>
    <row r="2928" spans="1:1" x14ac:dyDescent="0.25">
      <c r="A2928" s="1" t="s">
        <v>2967</v>
      </c>
    </row>
    <row r="2929" spans="1:1" x14ac:dyDescent="0.25">
      <c r="A2929" s="1" t="s">
        <v>2968</v>
      </c>
    </row>
    <row r="2930" spans="1:1" x14ac:dyDescent="0.25">
      <c r="A2930" s="1" t="s">
        <v>2969</v>
      </c>
    </row>
    <row r="2931" spans="1:1" x14ac:dyDescent="0.25">
      <c r="A2931" s="1" t="s">
        <v>2970</v>
      </c>
    </row>
    <row r="2932" spans="1:1" x14ac:dyDescent="0.25">
      <c r="A2932" s="1" t="s">
        <v>2971</v>
      </c>
    </row>
    <row r="2933" spans="1:1" x14ac:dyDescent="0.25">
      <c r="A2933" s="1" t="s">
        <v>2972</v>
      </c>
    </row>
    <row r="2934" spans="1:1" x14ac:dyDescent="0.25">
      <c r="A2934" s="1" t="s">
        <v>2973</v>
      </c>
    </row>
    <row r="2935" spans="1:1" x14ac:dyDescent="0.25">
      <c r="A2935" s="1" t="s">
        <v>2974</v>
      </c>
    </row>
    <row r="2936" spans="1:1" x14ac:dyDescent="0.25">
      <c r="A2936" s="1" t="s">
        <v>2975</v>
      </c>
    </row>
    <row r="2937" spans="1:1" x14ac:dyDescent="0.25">
      <c r="A2937" s="1" t="s">
        <v>2976</v>
      </c>
    </row>
    <row r="2938" spans="1:1" x14ac:dyDescent="0.25">
      <c r="A2938" s="1" t="s">
        <v>2977</v>
      </c>
    </row>
    <row r="2939" spans="1:1" x14ac:dyDescent="0.25">
      <c r="A2939" s="1" t="s">
        <v>2978</v>
      </c>
    </row>
    <row r="2940" spans="1:1" x14ac:dyDescent="0.25">
      <c r="A2940" s="1" t="s">
        <v>2979</v>
      </c>
    </row>
    <row r="2941" spans="1:1" x14ac:dyDescent="0.25">
      <c r="A2941" s="1" t="s">
        <v>2980</v>
      </c>
    </row>
    <row r="2942" spans="1:1" x14ac:dyDescent="0.25">
      <c r="A2942" s="1" t="s">
        <v>2981</v>
      </c>
    </row>
    <row r="2943" spans="1:1" x14ac:dyDescent="0.25">
      <c r="A2943" s="1" t="s">
        <v>2982</v>
      </c>
    </row>
    <row r="2944" spans="1:1" x14ac:dyDescent="0.25">
      <c r="A2944" s="1" t="s">
        <v>2983</v>
      </c>
    </row>
    <row r="2945" spans="1:1" x14ac:dyDescent="0.25">
      <c r="A2945" s="1" t="s">
        <v>2984</v>
      </c>
    </row>
    <row r="2946" spans="1:1" x14ac:dyDescent="0.25">
      <c r="A2946" s="1" t="s">
        <v>2985</v>
      </c>
    </row>
    <row r="2947" spans="1:1" x14ac:dyDescent="0.25">
      <c r="A2947" s="1" t="s">
        <v>2986</v>
      </c>
    </row>
    <row r="2948" spans="1:1" x14ac:dyDescent="0.25">
      <c r="A2948" s="1" t="s">
        <v>2987</v>
      </c>
    </row>
    <row r="2949" spans="1:1" x14ac:dyDescent="0.25">
      <c r="A2949" s="1" t="s">
        <v>2988</v>
      </c>
    </row>
    <row r="2950" spans="1:1" x14ac:dyDescent="0.25">
      <c r="A2950" s="1" t="s">
        <v>2989</v>
      </c>
    </row>
    <row r="2951" spans="1:1" x14ac:dyDescent="0.25">
      <c r="A2951" s="1" t="s">
        <v>2990</v>
      </c>
    </row>
    <row r="2952" spans="1:1" x14ac:dyDescent="0.25">
      <c r="A2952" s="1" t="s">
        <v>2991</v>
      </c>
    </row>
    <row r="2953" spans="1:1" x14ac:dyDescent="0.25">
      <c r="A2953" s="1" t="s">
        <v>2992</v>
      </c>
    </row>
    <row r="2954" spans="1:1" x14ac:dyDescent="0.25">
      <c r="A2954" s="1" t="s">
        <v>2993</v>
      </c>
    </row>
    <row r="2955" spans="1:1" x14ac:dyDescent="0.25">
      <c r="A2955" s="1" t="s">
        <v>2994</v>
      </c>
    </row>
    <row r="2956" spans="1:1" x14ac:dyDescent="0.25">
      <c r="A2956" s="1" t="s">
        <v>2995</v>
      </c>
    </row>
    <row r="2957" spans="1:1" x14ac:dyDescent="0.25">
      <c r="A2957" s="1" t="s">
        <v>2996</v>
      </c>
    </row>
    <row r="2958" spans="1:1" x14ac:dyDescent="0.25">
      <c r="A2958" s="1" t="s">
        <v>2997</v>
      </c>
    </row>
    <row r="2959" spans="1:1" x14ac:dyDescent="0.25">
      <c r="A2959" s="1" t="s">
        <v>2998</v>
      </c>
    </row>
    <row r="2960" spans="1:1" x14ac:dyDescent="0.25">
      <c r="A2960" s="1" t="s">
        <v>2999</v>
      </c>
    </row>
    <row r="2961" spans="1:1" x14ac:dyDescent="0.25">
      <c r="A2961" s="1" t="s">
        <v>3000</v>
      </c>
    </row>
    <row r="2962" spans="1:1" x14ac:dyDescent="0.25">
      <c r="A2962" s="1" t="s">
        <v>3001</v>
      </c>
    </row>
    <row r="2963" spans="1:1" x14ac:dyDescent="0.25">
      <c r="A2963" s="1" t="s">
        <v>3002</v>
      </c>
    </row>
    <row r="2964" spans="1:1" x14ac:dyDescent="0.25">
      <c r="A2964" s="1" t="s">
        <v>3003</v>
      </c>
    </row>
    <row r="2965" spans="1:1" x14ac:dyDescent="0.25">
      <c r="A2965" s="1" t="s">
        <v>3004</v>
      </c>
    </row>
    <row r="2966" spans="1:1" x14ac:dyDescent="0.25">
      <c r="A2966" s="1" t="s">
        <v>3005</v>
      </c>
    </row>
    <row r="2967" spans="1:1" x14ac:dyDescent="0.25">
      <c r="A2967" s="1" t="s">
        <v>3006</v>
      </c>
    </row>
    <row r="2968" spans="1:1" x14ac:dyDescent="0.25">
      <c r="A2968" s="1" t="s">
        <v>3007</v>
      </c>
    </row>
    <row r="2969" spans="1:1" x14ac:dyDescent="0.25">
      <c r="A2969" s="1" t="s">
        <v>3008</v>
      </c>
    </row>
    <row r="2970" spans="1:1" x14ac:dyDescent="0.25">
      <c r="A2970" s="1" t="s">
        <v>3009</v>
      </c>
    </row>
    <row r="2971" spans="1:1" x14ac:dyDescent="0.25">
      <c r="A2971" s="1" t="s">
        <v>3010</v>
      </c>
    </row>
    <row r="2972" spans="1:1" x14ac:dyDescent="0.25">
      <c r="A2972" s="1" t="s">
        <v>3011</v>
      </c>
    </row>
    <row r="2973" spans="1:1" x14ac:dyDescent="0.25">
      <c r="A2973" s="1" t="s">
        <v>3012</v>
      </c>
    </row>
    <row r="2974" spans="1:1" x14ac:dyDescent="0.25">
      <c r="A2974" s="1" t="s">
        <v>3013</v>
      </c>
    </row>
    <row r="2975" spans="1:1" x14ac:dyDescent="0.25">
      <c r="A2975" s="1" t="s">
        <v>3014</v>
      </c>
    </row>
    <row r="2976" spans="1:1" x14ac:dyDescent="0.25">
      <c r="A2976" s="1" t="s">
        <v>3015</v>
      </c>
    </row>
    <row r="2977" spans="1:1" x14ac:dyDescent="0.25">
      <c r="A2977" s="1" t="s">
        <v>3016</v>
      </c>
    </row>
    <row r="2978" spans="1:1" x14ac:dyDescent="0.25">
      <c r="A2978" s="1" t="s">
        <v>3017</v>
      </c>
    </row>
    <row r="2979" spans="1:1" x14ac:dyDescent="0.25">
      <c r="A2979" s="1" t="s">
        <v>3018</v>
      </c>
    </row>
    <row r="2980" spans="1:1" x14ac:dyDescent="0.25">
      <c r="A2980" s="1" t="s">
        <v>3019</v>
      </c>
    </row>
    <row r="2981" spans="1:1" x14ac:dyDescent="0.25">
      <c r="A2981" s="1" t="s">
        <v>3020</v>
      </c>
    </row>
    <row r="2982" spans="1:1" x14ac:dyDescent="0.25">
      <c r="A2982" s="1" t="s">
        <v>3021</v>
      </c>
    </row>
    <row r="2983" spans="1:1" x14ac:dyDescent="0.25">
      <c r="A2983" s="1" t="s">
        <v>3022</v>
      </c>
    </row>
    <row r="2984" spans="1:1" x14ac:dyDescent="0.25">
      <c r="A2984" s="1" t="s">
        <v>3023</v>
      </c>
    </row>
    <row r="2985" spans="1:1" x14ac:dyDescent="0.25">
      <c r="A2985" s="1" t="s">
        <v>3024</v>
      </c>
    </row>
    <row r="2986" spans="1:1" x14ac:dyDescent="0.25">
      <c r="A2986" s="1" t="s">
        <v>3025</v>
      </c>
    </row>
    <row r="2987" spans="1:1" x14ac:dyDescent="0.25">
      <c r="A2987" s="1" t="s">
        <v>3026</v>
      </c>
    </row>
    <row r="2988" spans="1:1" x14ac:dyDescent="0.25">
      <c r="A2988" s="1" t="s">
        <v>3027</v>
      </c>
    </row>
    <row r="2989" spans="1:1" x14ac:dyDescent="0.25">
      <c r="A2989" s="1" t="s">
        <v>3028</v>
      </c>
    </row>
    <row r="2990" spans="1:1" x14ac:dyDescent="0.25">
      <c r="A2990" s="1" t="s">
        <v>3029</v>
      </c>
    </row>
    <row r="2991" spans="1:1" x14ac:dyDescent="0.25">
      <c r="A2991" s="1" t="s">
        <v>3030</v>
      </c>
    </row>
    <row r="2992" spans="1:1" x14ac:dyDescent="0.25">
      <c r="A2992" s="1" t="s">
        <v>3031</v>
      </c>
    </row>
    <row r="2993" spans="1:1" x14ac:dyDescent="0.25">
      <c r="A2993" s="1" t="s">
        <v>3032</v>
      </c>
    </row>
    <row r="2994" spans="1:1" x14ac:dyDescent="0.25">
      <c r="A2994" s="1" t="s">
        <v>3033</v>
      </c>
    </row>
    <row r="2995" spans="1:1" x14ac:dyDescent="0.25">
      <c r="A2995" s="1" t="s">
        <v>3034</v>
      </c>
    </row>
    <row r="2996" spans="1:1" x14ac:dyDescent="0.25">
      <c r="A2996" s="1" t="s">
        <v>3035</v>
      </c>
    </row>
    <row r="2997" spans="1:1" x14ac:dyDescent="0.25">
      <c r="A2997" s="1" t="s">
        <v>3036</v>
      </c>
    </row>
    <row r="2998" spans="1:1" x14ac:dyDescent="0.25">
      <c r="A2998" s="1" t="s">
        <v>3037</v>
      </c>
    </row>
    <row r="2999" spans="1:1" x14ac:dyDescent="0.25">
      <c r="A2999" s="1" t="s">
        <v>3038</v>
      </c>
    </row>
    <row r="3000" spans="1:1" x14ac:dyDescent="0.25">
      <c r="A3000" s="1" t="s">
        <v>3039</v>
      </c>
    </row>
    <row r="3001" spans="1:1" x14ac:dyDescent="0.25">
      <c r="A3001" s="1" t="s">
        <v>3040</v>
      </c>
    </row>
    <row r="3002" spans="1:1" x14ac:dyDescent="0.25">
      <c r="A3002" s="1" t="s">
        <v>3041</v>
      </c>
    </row>
    <row r="3003" spans="1:1" x14ac:dyDescent="0.25">
      <c r="A3003" s="1" t="s">
        <v>3042</v>
      </c>
    </row>
    <row r="3004" spans="1:1" x14ac:dyDescent="0.25">
      <c r="A3004" s="1" t="s">
        <v>3043</v>
      </c>
    </row>
    <row r="3005" spans="1:1" x14ac:dyDescent="0.25">
      <c r="A3005" s="1" t="s">
        <v>3044</v>
      </c>
    </row>
    <row r="3006" spans="1:1" x14ac:dyDescent="0.25">
      <c r="A3006" s="1" t="s">
        <v>3045</v>
      </c>
    </row>
    <row r="3007" spans="1:1" x14ac:dyDescent="0.25">
      <c r="A3007" s="1" t="s">
        <v>3046</v>
      </c>
    </row>
    <row r="3008" spans="1:1" x14ac:dyDescent="0.25">
      <c r="A3008" s="1" t="s">
        <v>3047</v>
      </c>
    </row>
    <row r="3009" spans="1:1" x14ac:dyDescent="0.25">
      <c r="A3009" s="1" t="s">
        <v>3048</v>
      </c>
    </row>
    <row r="3010" spans="1:1" x14ac:dyDescent="0.25">
      <c r="A3010" s="1" t="s">
        <v>3049</v>
      </c>
    </row>
    <row r="3011" spans="1:1" x14ac:dyDescent="0.25">
      <c r="A3011" s="1" t="s">
        <v>3050</v>
      </c>
    </row>
    <row r="3012" spans="1:1" x14ac:dyDescent="0.25">
      <c r="A3012" s="1" t="s">
        <v>3051</v>
      </c>
    </row>
    <row r="3013" spans="1:1" x14ac:dyDescent="0.25">
      <c r="A3013" s="1" t="s">
        <v>3052</v>
      </c>
    </row>
    <row r="3014" spans="1:1" x14ac:dyDescent="0.25">
      <c r="A3014" s="1" t="s">
        <v>3053</v>
      </c>
    </row>
    <row r="3015" spans="1:1" x14ac:dyDescent="0.25">
      <c r="A3015" s="1" t="s">
        <v>3054</v>
      </c>
    </row>
    <row r="3016" spans="1:1" x14ac:dyDescent="0.25">
      <c r="A3016" s="1" t="s">
        <v>3055</v>
      </c>
    </row>
    <row r="3017" spans="1:1" x14ac:dyDescent="0.25">
      <c r="A3017" s="1" t="s">
        <v>3056</v>
      </c>
    </row>
    <row r="3018" spans="1:1" x14ac:dyDescent="0.25">
      <c r="A3018" s="1" t="s">
        <v>3057</v>
      </c>
    </row>
    <row r="3019" spans="1:1" x14ac:dyDescent="0.25">
      <c r="A3019" s="1" t="s">
        <v>3058</v>
      </c>
    </row>
    <row r="3020" spans="1:1" x14ac:dyDescent="0.25">
      <c r="A3020" s="1" t="s">
        <v>3059</v>
      </c>
    </row>
    <row r="3021" spans="1:1" x14ac:dyDescent="0.25">
      <c r="A3021" s="1" t="s">
        <v>3060</v>
      </c>
    </row>
    <row r="3022" spans="1:1" x14ac:dyDescent="0.25">
      <c r="A3022" s="1" t="s">
        <v>3061</v>
      </c>
    </row>
    <row r="3023" spans="1:1" x14ac:dyDescent="0.25">
      <c r="A3023" s="1" t="s">
        <v>3062</v>
      </c>
    </row>
    <row r="3024" spans="1:1" x14ac:dyDescent="0.25">
      <c r="A3024" s="1" t="s">
        <v>3063</v>
      </c>
    </row>
    <row r="3025" spans="1:1" x14ac:dyDescent="0.25">
      <c r="A3025" s="1" t="s">
        <v>3064</v>
      </c>
    </row>
    <row r="3026" spans="1:1" x14ac:dyDescent="0.25">
      <c r="A3026" s="1" t="s">
        <v>3065</v>
      </c>
    </row>
    <row r="3027" spans="1:1" x14ac:dyDescent="0.25">
      <c r="A3027" s="1" t="s">
        <v>3066</v>
      </c>
    </row>
    <row r="3028" spans="1:1" x14ac:dyDescent="0.25">
      <c r="A3028" s="1" t="s">
        <v>3067</v>
      </c>
    </row>
    <row r="3029" spans="1:1" x14ac:dyDescent="0.25">
      <c r="A3029" s="1" t="s">
        <v>3068</v>
      </c>
    </row>
    <row r="3030" spans="1:1" x14ac:dyDescent="0.25">
      <c r="A3030" s="1" t="s">
        <v>3069</v>
      </c>
    </row>
    <row r="3031" spans="1:1" x14ac:dyDescent="0.25">
      <c r="A3031" s="1" t="s">
        <v>3070</v>
      </c>
    </row>
    <row r="3032" spans="1:1" x14ac:dyDescent="0.25">
      <c r="A3032" s="1" t="s">
        <v>3071</v>
      </c>
    </row>
    <row r="3033" spans="1:1" x14ac:dyDescent="0.25">
      <c r="A3033" s="1" t="s">
        <v>3072</v>
      </c>
    </row>
    <row r="3034" spans="1:1" x14ac:dyDescent="0.25">
      <c r="A3034" s="1" t="s">
        <v>3073</v>
      </c>
    </row>
    <row r="3035" spans="1:1" x14ac:dyDescent="0.25">
      <c r="A3035" s="1" t="s">
        <v>3074</v>
      </c>
    </row>
    <row r="3036" spans="1:1" x14ac:dyDescent="0.25">
      <c r="A3036" s="1" t="s">
        <v>3075</v>
      </c>
    </row>
    <row r="3037" spans="1:1" x14ac:dyDescent="0.25">
      <c r="A3037" s="1" t="s">
        <v>3076</v>
      </c>
    </row>
    <row r="3038" spans="1:1" x14ac:dyDescent="0.25">
      <c r="A3038" s="1" t="s">
        <v>3077</v>
      </c>
    </row>
    <row r="3039" spans="1:1" x14ac:dyDescent="0.25">
      <c r="A3039" s="1" t="s">
        <v>3078</v>
      </c>
    </row>
    <row r="3040" spans="1:1" x14ac:dyDescent="0.25">
      <c r="A3040" s="1" t="s">
        <v>3079</v>
      </c>
    </row>
    <row r="3041" spans="1:1" x14ac:dyDescent="0.25">
      <c r="A3041" s="1" t="s">
        <v>3080</v>
      </c>
    </row>
    <row r="3042" spans="1:1" x14ac:dyDescent="0.25">
      <c r="A3042" s="1" t="s">
        <v>3081</v>
      </c>
    </row>
    <row r="3043" spans="1:1" x14ac:dyDescent="0.25">
      <c r="A3043" s="1" t="s">
        <v>3082</v>
      </c>
    </row>
    <row r="3044" spans="1:1" x14ac:dyDescent="0.25">
      <c r="A3044" s="1" t="s">
        <v>3083</v>
      </c>
    </row>
    <row r="3045" spans="1:1" x14ac:dyDescent="0.25">
      <c r="A3045" s="1" t="s">
        <v>3084</v>
      </c>
    </row>
    <row r="3046" spans="1:1" x14ac:dyDescent="0.25">
      <c r="A3046" s="1" t="s">
        <v>3085</v>
      </c>
    </row>
    <row r="3047" spans="1:1" x14ac:dyDescent="0.25">
      <c r="A3047" s="1" t="s">
        <v>3086</v>
      </c>
    </row>
    <row r="3048" spans="1:1" x14ac:dyDescent="0.25">
      <c r="A3048" s="1" t="s">
        <v>3087</v>
      </c>
    </row>
    <row r="3049" spans="1:1" x14ac:dyDescent="0.25">
      <c r="A3049" s="1" t="s">
        <v>3088</v>
      </c>
    </row>
    <row r="3050" spans="1:1" x14ac:dyDescent="0.25">
      <c r="A3050" s="1" t="s">
        <v>3089</v>
      </c>
    </row>
    <row r="3051" spans="1:1" x14ac:dyDescent="0.25">
      <c r="A3051" s="1" t="s">
        <v>3090</v>
      </c>
    </row>
    <row r="3052" spans="1:1" x14ac:dyDescent="0.25">
      <c r="A3052" s="1" t="s">
        <v>3091</v>
      </c>
    </row>
    <row r="3053" spans="1:1" x14ac:dyDescent="0.25">
      <c r="A3053" s="1" t="s">
        <v>3092</v>
      </c>
    </row>
    <row r="3054" spans="1:1" x14ac:dyDescent="0.25">
      <c r="A3054" s="1" t="s">
        <v>3093</v>
      </c>
    </row>
    <row r="3055" spans="1:1" x14ac:dyDescent="0.25">
      <c r="A3055" s="1" t="s">
        <v>3094</v>
      </c>
    </row>
    <row r="3056" spans="1:1" x14ac:dyDescent="0.25">
      <c r="A3056" s="1" t="s">
        <v>3095</v>
      </c>
    </row>
    <row r="3057" spans="1:1" x14ac:dyDescent="0.25">
      <c r="A3057" s="1" t="s">
        <v>3096</v>
      </c>
    </row>
    <row r="3058" spans="1:1" x14ac:dyDescent="0.25">
      <c r="A3058" s="1" t="s">
        <v>3097</v>
      </c>
    </row>
    <row r="3059" spans="1:1" x14ac:dyDescent="0.25">
      <c r="A3059" s="1" t="s">
        <v>3098</v>
      </c>
    </row>
    <row r="3060" spans="1:1" x14ac:dyDescent="0.25">
      <c r="A3060" s="1" t="s">
        <v>3099</v>
      </c>
    </row>
    <row r="3061" spans="1:1" x14ac:dyDescent="0.25">
      <c r="A3061" s="1" t="s">
        <v>3100</v>
      </c>
    </row>
    <row r="3062" spans="1:1" x14ac:dyDescent="0.25">
      <c r="A3062" s="1" t="s">
        <v>3101</v>
      </c>
    </row>
    <row r="3063" spans="1:1" x14ac:dyDescent="0.25">
      <c r="A3063" s="1" t="s">
        <v>3102</v>
      </c>
    </row>
    <row r="3064" spans="1:1" x14ac:dyDescent="0.25">
      <c r="A3064" s="1" t="s">
        <v>3103</v>
      </c>
    </row>
    <row r="3065" spans="1:1" x14ac:dyDescent="0.25">
      <c r="A3065" s="1" t="s">
        <v>3104</v>
      </c>
    </row>
    <row r="3066" spans="1:1" x14ac:dyDescent="0.25">
      <c r="A3066" s="1" t="s">
        <v>3105</v>
      </c>
    </row>
    <row r="3067" spans="1:1" x14ac:dyDescent="0.25">
      <c r="A3067" s="1" t="s">
        <v>3106</v>
      </c>
    </row>
    <row r="3068" spans="1:1" x14ac:dyDescent="0.25">
      <c r="A3068" s="1" t="s">
        <v>3107</v>
      </c>
    </row>
    <row r="3069" spans="1:1" x14ac:dyDescent="0.25">
      <c r="A3069" s="1" t="s">
        <v>3108</v>
      </c>
    </row>
    <row r="3070" spans="1:1" x14ac:dyDescent="0.25">
      <c r="A3070" s="1" t="s">
        <v>3109</v>
      </c>
    </row>
    <row r="3071" spans="1:1" x14ac:dyDescent="0.25">
      <c r="A3071" s="1" t="s">
        <v>3110</v>
      </c>
    </row>
    <row r="3072" spans="1:1" x14ac:dyDescent="0.25">
      <c r="A3072" s="1" t="s">
        <v>3111</v>
      </c>
    </row>
    <row r="3073" spans="1:1" x14ac:dyDescent="0.25">
      <c r="A3073" s="1" t="s">
        <v>3112</v>
      </c>
    </row>
    <row r="3074" spans="1:1" x14ac:dyDescent="0.25">
      <c r="A3074" s="1" t="s">
        <v>3113</v>
      </c>
    </row>
    <row r="3075" spans="1:1" x14ac:dyDescent="0.25">
      <c r="A3075" s="1" t="s">
        <v>3114</v>
      </c>
    </row>
    <row r="3076" spans="1:1" x14ac:dyDescent="0.25">
      <c r="A3076" s="1" t="s">
        <v>3115</v>
      </c>
    </row>
    <row r="3077" spans="1:1" x14ac:dyDescent="0.25">
      <c r="A3077" s="1" t="s">
        <v>3116</v>
      </c>
    </row>
    <row r="3078" spans="1:1" x14ac:dyDescent="0.25">
      <c r="A3078" s="1" t="s">
        <v>3117</v>
      </c>
    </row>
    <row r="3079" spans="1:1" x14ac:dyDescent="0.25">
      <c r="A3079" s="1" t="s">
        <v>3118</v>
      </c>
    </row>
    <row r="3080" spans="1:1" x14ac:dyDescent="0.25">
      <c r="A3080" s="1" t="s">
        <v>3119</v>
      </c>
    </row>
    <row r="3081" spans="1:1" x14ac:dyDescent="0.25">
      <c r="A3081" s="1" t="s">
        <v>3120</v>
      </c>
    </row>
    <row r="3082" spans="1:1" x14ac:dyDescent="0.25">
      <c r="A3082" s="1" t="s">
        <v>3121</v>
      </c>
    </row>
    <row r="3083" spans="1:1" x14ac:dyDescent="0.25">
      <c r="A3083" s="1" t="s">
        <v>3122</v>
      </c>
    </row>
    <row r="3084" spans="1:1" x14ac:dyDescent="0.25">
      <c r="A3084" s="1" t="s">
        <v>3123</v>
      </c>
    </row>
    <row r="3085" spans="1:1" x14ac:dyDescent="0.25">
      <c r="A3085" s="1" t="s">
        <v>3124</v>
      </c>
    </row>
    <row r="3086" spans="1:1" x14ac:dyDescent="0.25">
      <c r="A3086" s="1" t="s">
        <v>3125</v>
      </c>
    </row>
    <row r="3087" spans="1:1" x14ac:dyDescent="0.25">
      <c r="A3087" s="1" t="s">
        <v>3126</v>
      </c>
    </row>
    <row r="3088" spans="1:1" x14ac:dyDescent="0.25">
      <c r="A3088" s="1" t="s">
        <v>3127</v>
      </c>
    </row>
    <row r="3089" spans="1:1" x14ac:dyDescent="0.25">
      <c r="A3089" s="1" t="s">
        <v>3128</v>
      </c>
    </row>
    <row r="3090" spans="1:1" x14ac:dyDescent="0.25">
      <c r="A3090" s="1" t="s">
        <v>3129</v>
      </c>
    </row>
    <row r="3091" spans="1:1" x14ac:dyDescent="0.25">
      <c r="A3091" s="1" t="s">
        <v>3130</v>
      </c>
    </row>
    <row r="3092" spans="1:1" x14ac:dyDescent="0.25">
      <c r="A3092" s="1" t="s">
        <v>3131</v>
      </c>
    </row>
    <row r="3093" spans="1:1" x14ac:dyDescent="0.25">
      <c r="A3093" s="1" t="s">
        <v>3132</v>
      </c>
    </row>
    <row r="3094" spans="1:1" x14ac:dyDescent="0.25">
      <c r="A3094" s="1" t="s">
        <v>3133</v>
      </c>
    </row>
    <row r="3095" spans="1:1" x14ac:dyDescent="0.25">
      <c r="A3095" s="1" t="s">
        <v>3134</v>
      </c>
    </row>
    <row r="3096" spans="1:1" x14ac:dyDescent="0.25">
      <c r="A3096" s="1" t="s">
        <v>3135</v>
      </c>
    </row>
    <row r="3097" spans="1:1" x14ac:dyDescent="0.25">
      <c r="A3097" s="1" t="s">
        <v>3136</v>
      </c>
    </row>
    <row r="3098" spans="1:1" x14ac:dyDescent="0.25">
      <c r="A3098" s="1" t="s">
        <v>3137</v>
      </c>
    </row>
    <row r="3099" spans="1:1" x14ac:dyDescent="0.25">
      <c r="A3099" s="1" t="s">
        <v>3138</v>
      </c>
    </row>
    <row r="3100" spans="1:1" x14ac:dyDescent="0.25">
      <c r="A3100" s="1" t="s">
        <v>3139</v>
      </c>
    </row>
    <row r="3101" spans="1:1" x14ac:dyDescent="0.25">
      <c r="A3101" s="1" t="s">
        <v>3140</v>
      </c>
    </row>
    <row r="3102" spans="1:1" x14ac:dyDescent="0.25">
      <c r="A3102" s="1" t="s">
        <v>3141</v>
      </c>
    </row>
    <row r="3103" spans="1:1" x14ac:dyDescent="0.25">
      <c r="A3103" s="1" t="s">
        <v>3142</v>
      </c>
    </row>
    <row r="3104" spans="1:1" x14ac:dyDescent="0.25">
      <c r="A3104" s="1" t="s">
        <v>3143</v>
      </c>
    </row>
    <row r="3105" spans="1:1" x14ac:dyDescent="0.25">
      <c r="A3105" s="1" t="s">
        <v>3144</v>
      </c>
    </row>
    <row r="3106" spans="1:1" x14ac:dyDescent="0.25">
      <c r="A3106" s="1" t="s">
        <v>3145</v>
      </c>
    </row>
    <row r="3107" spans="1:1" x14ac:dyDescent="0.25">
      <c r="A3107" s="1" t="s">
        <v>3146</v>
      </c>
    </row>
    <row r="3108" spans="1:1" x14ac:dyDescent="0.25">
      <c r="A3108" s="1" t="s">
        <v>3147</v>
      </c>
    </row>
    <row r="3109" spans="1:1" x14ac:dyDescent="0.25">
      <c r="A3109" s="1" t="s">
        <v>3148</v>
      </c>
    </row>
    <row r="3110" spans="1:1" x14ac:dyDescent="0.25">
      <c r="A3110" s="1" t="s">
        <v>3149</v>
      </c>
    </row>
    <row r="3111" spans="1:1" x14ac:dyDescent="0.25">
      <c r="A3111" s="1" t="s">
        <v>3150</v>
      </c>
    </row>
    <row r="3112" spans="1:1" x14ac:dyDescent="0.25">
      <c r="A3112" s="1" t="s">
        <v>3151</v>
      </c>
    </row>
    <row r="3113" spans="1:1" x14ac:dyDescent="0.25">
      <c r="A3113" s="1" t="s">
        <v>3152</v>
      </c>
    </row>
    <row r="3114" spans="1:1" x14ac:dyDescent="0.25">
      <c r="A3114" s="1" t="s">
        <v>3153</v>
      </c>
    </row>
    <row r="3115" spans="1:1" x14ac:dyDescent="0.25">
      <c r="A3115" s="1" t="s">
        <v>3154</v>
      </c>
    </row>
    <row r="3116" spans="1:1" x14ac:dyDescent="0.25">
      <c r="A3116" s="1" t="s">
        <v>3155</v>
      </c>
    </row>
    <row r="3117" spans="1:1" x14ac:dyDescent="0.25">
      <c r="A3117" s="1" t="s">
        <v>3156</v>
      </c>
    </row>
    <row r="3118" spans="1:1" x14ac:dyDescent="0.25">
      <c r="A3118" s="1" t="s">
        <v>3157</v>
      </c>
    </row>
    <row r="3119" spans="1:1" x14ac:dyDescent="0.25">
      <c r="A3119" s="1" t="s">
        <v>3158</v>
      </c>
    </row>
    <row r="3120" spans="1:1" x14ac:dyDescent="0.25">
      <c r="A3120" s="1" t="s">
        <v>3159</v>
      </c>
    </row>
    <row r="3121" spans="1:1" x14ac:dyDescent="0.25">
      <c r="A3121" s="1" t="s">
        <v>3160</v>
      </c>
    </row>
    <row r="3122" spans="1:1" x14ac:dyDescent="0.25">
      <c r="A3122" s="1" t="s">
        <v>3161</v>
      </c>
    </row>
    <row r="3123" spans="1:1" x14ac:dyDescent="0.25">
      <c r="A3123" s="1" t="s">
        <v>3162</v>
      </c>
    </row>
    <row r="3124" spans="1:1" x14ac:dyDescent="0.25">
      <c r="A3124" s="1" t="s">
        <v>3163</v>
      </c>
    </row>
    <row r="3125" spans="1:1" x14ac:dyDescent="0.25">
      <c r="A3125" s="1" t="s">
        <v>3164</v>
      </c>
    </row>
    <row r="3126" spans="1:1" x14ac:dyDescent="0.25">
      <c r="A3126" s="1" t="s">
        <v>3165</v>
      </c>
    </row>
    <row r="3127" spans="1:1" x14ac:dyDescent="0.25">
      <c r="A3127" s="1" t="s">
        <v>3166</v>
      </c>
    </row>
    <row r="3128" spans="1:1" x14ac:dyDescent="0.25">
      <c r="A3128" s="1" t="s">
        <v>3167</v>
      </c>
    </row>
    <row r="3129" spans="1:1" x14ac:dyDescent="0.25">
      <c r="A3129" s="1" t="s">
        <v>3168</v>
      </c>
    </row>
    <row r="3130" spans="1:1" x14ac:dyDescent="0.25">
      <c r="A3130" s="1" t="s">
        <v>3169</v>
      </c>
    </row>
    <row r="3131" spans="1:1" x14ac:dyDescent="0.25">
      <c r="A3131" s="1" t="s">
        <v>3170</v>
      </c>
    </row>
    <row r="3132" spans="1:1" x14ac:dyDescent="0.25">
      <c r="A3132" s="1" t="s">
        <v>3171</v>
      </c>
    </row>
    <row r="3133" spans="1:1" x14ac:dyDescent="0.25">
      <c r="A3133" s="1" t="s">
        <v>3172</v>
      </c>
    </row>
    <row r="3134" spans="1:1" x14ac:dyDescent="0.25">
      <c r="A3134" s="1" t="s">
        <v>3173</v>
      </c>
    </row>
    <row r="3135" spans="1:1" x14ac:dyDescent="0.25">
      <c r="A3135" s="1" t="s">
        <v>3174</v>
      </c>
    </row>
    <row r="3136" spans="1:1" x14ac:dyDescent="0.25">
      <c r="A3136" s="1" t="s">
        <v>3175</v>
      </c>
    </row>
    <row r="3137" spans="1:1" x14ac:dyDescent="0.25">
      <c r="A3137" s="1" t="s">
        <v>3176</v>
      </c>
    </row>
    <row r="3138" spans="1:1" x14ac:dyDescent="0.25">
      <c r="A3138" s="1" t="s">
        <v>3177</v>
      </c>
    </row>
    <row r="3139" spans="1:1" x14ac:dyDescent="0.25">
      <c r="A3139" s="1" t="s">
        <v>3178</v>
      </c>
    </row>
    <row r="3140" spans="1:1" x14ac:dyDescent="0.25">
      <c r="A3140" s="1" t="s">
        <v>3179</v>
      </c>
    </row>
    <row r="3141" spans="1:1" x14ac:dyDescent="0.25">
      <c r="A3141" s="1" t="s">
        <v>3180</v>
      </c>
    </row>
    <row r="3142" spans="1:1" x14ac:dyDescent="0.25">
      <c r="A3142" s="1" t="s">
        <v>3181</v>
      </c>
    </row>
    <row r="3143" spans="1:1" x14ac:dyDescent="0.25">
      <c r="A3143" s="1" t="s">
        <v>3182</v>
      </c>
    </row>
    <row r="3144" spans="1:1" x14ac:dyDescent="0.25">
      <c r="A3144" s="1" t="s">
        <v>3183</v>
      </c>
    </row>
    <row r="3145" spans="1:1" x14ac:dyDescent="0.25">
      <c r="A3145" s="1" t="s">
        <v>3184</v>
      </c>
    </row>
    <row r="3146" spans="1:1" x14ac:dyDescent="0.25">
      <c r="A3146" s="1" t="s">
        <v>3185</v>
      </c>
    </row>
    <row r="3147" spans="1:1" x14ac:dyDescent="0.25">
      <c r="A3147" s="1" t="s">
        <v>3186</v>
      </c>
    </row>
    <row r="3148" spans="1:1" x14ac:dyDescent="0.25">
      <c r="A3148" s="1" t="s">
        <v>3187</v>
      </c>
    </row>
    <row r="3149" spans="1:1" x14ac:dyDescent="0.25">
      <c r="A3149" s="1" t="s">
        <v>3188</v>
      </c>
    </row>
    <row r="3150" spans="1:1" x14ac:dyDescent="0.25">
      <c r="A3150" s="1" t="s">
        <v>3189</v>
      </c>
    </row>
    <row r="3151" spans="1:1" x14ac:dyDescent="0.25">
      <c r="A3151" s="1" t="s">
        <v>3190</v>
      </c>
    </row>
    <row r="3152" spans="1:1" x14ac:dyDescent="0.25">
      <c r="A3152" s="1" t="s">
        <v>3191</v>
      </c>
    </row>
    <row r="3153" spans="1:1" x14ac:dyDescent="0.25">
      <c r="A3153" s="1" t="s">
        <v>3192</v>
      </c>
    </row>
    <row r="3154" spans="1:1" x14ac:dyDescent="0.25">
      <c r="A3154" s="1" t="s">
        <v>3193</v>
      </c>
    </row>
    <row r="3155" spans="1:1" x14ac:dyDescent="0.25">
      <c r="A3155" s="1" t="s">
        <v>3194</v>
      </c>
    </row>
    <row r="3156" spans="1:1" x14ac:dyDescent="0.25">
      <c r="A3156" s="1" t="s">
        <v>3195</v>
      </c>
    </row>
    <row r="3157" spans="1:1" x14ac:dyDescent="0.25">
      <c r="A3157" s="1" t="s">
        <v>3196</v>
      </c>
    </row>
    <row r="3158" spans="1:1" x14ac:dyDescent="0.25">
      <c r="A3158" s="1" t="s">
        <v>3197</v>
      </c>
    </row>
    <row r="3159" spans="1:1" x14ac:dyDescent="0.25">
      <c r="A3159" s="1" t="s">
        <v>3198</v>
      </c>
    </row>
    <row r="3160" spans="1:1" x14ac:dyDescent="0.25">
      <c r="A3160" s="1" t="s">
        <v>3199</v>
      </c>
    </row>
    <row r="3161" spans="1:1" x14ac:dyDescent="0.25">
      <c r="A3161" s="1" t="s">
        <v>3200</v>
      </c>
    </row>
    <row r="3162" spans="1:1" x14ac:dyDescent="0.25">
      <c r="A3162" s="1" t="s">
        <v>3201</v>
      </c>
    </row>
    <row r="3163" spans="1:1" x14ac:dyDescent="0.25">
      <c r="A3163" s="1" t="s">
        <v>3202</v>
      </c>
    </row>
    <row r="3164" spans="1:1" x14ac:dyDescent="0.25">
      <c r="A3164" s="1" t="s">
        <v>3203</v>
      </c>
    </row>
    <row r="3165" spans="1:1" x14ac:dyDescent="0.25">
      <c r="A3165" s="1" t="s">
        <v>3204</v>
      </c>
    </row>
    <row r="3166" spans="1:1" x14ac:dyDescent="0.25">
      <c r="A3166" s="1" t="s">
        <v>3205</v>
      </c>
    </row>
    <row r="3167" spans="1:1" x14ac:dyDescent="0.25">
      <c r="A3167" s="1" t="s">
        <v>3206</v>
      </c>
    </row>
    <row r="3168" spans="1:1" x14ac:dyDescent="0.25">
      <c r="A3168" s="1" t="s">
        <v>3207</v>
      </c>
    </row>
    <row r="3169" spans="1:1" x14ac:dyDescent="0.25">
      <c r="A3169" s="1" t="s">
        <v>3208</v>
      </c>
    </row>
    <row r="3170" spans="1:1" x14ac:dyDescent="0.25">
      <c r="A3170" s="1" t="s">
        <v>3209</v>
      </c>
    </row>
    <row r="3171" spans="1:1" x14ac:dyDescent="0.25">
      <c r="A3171" s="1" t="s">
        <v>3210</v>
      </c>
    </row>
    <row r="3172" spans="1:1" x14ac:dyDescent="0.25">
      <c r="A3172" s="1" t="s">
        <v>3211</v>
      </c>
    </row>
    <row r="3173" spans="1:1" x14ac:dyDescent="0.25">
      <c r="A3173" s="1" t="s">
        <v>3212</v>
      </c>
    </row>
    <row r="3174" spans="1:1" x14ac:dyDescent="0.25">
      <c r="A3174" s="1" t="s">
        <v>3213</v>
      </c>
    </row>
    <row r="3175" spans="1:1" x14ac:dyDescent="0.25">
      <c r="A3175" s="1" t="s">
        <v>3214</v>
      </c>
    </row>
    <row r="3176" spans="1:1" x14ac:dyDescent="0.25">
      <c r="A3176" s="1" t="s">
        <v>3215</v>
      </c>
    </row>
    <row r="3177" spans="1:1" x14ac:dyDescent="0.25">
      <c r="A3177" s="1" t="s">
        <v>3216</v>
      </c>
    </row>
    <row r="3178" spans="1:1" x14ac:dyDescent="0.25">
      <c r="A3178" s="1" t="s">
        <v>3217</v>
      </c>
    </row>
    <row r="3179" spans="1:1" x14ac:dyDescent="0.25">
      <c r="A3179" s="1" t="s">
        <v>3218</v>
      </c>
    </row>
    <row r="3180" spans="1:1" x14ac:dyDescent="0.25">
      <c r="A3180" s="1" t="s">
        <v>3219</v>
      </c>
    </row>
    <row r="3181" spans="1:1" x14ac:dyDescent="0.25">
      <c r="A3181" s="1" t="s">
        <v>3220</v>
      </c>
    </row>
    <row r="3182" spans="1:1" x14ac:dyDescent="0.25">
      <c r="A3182" s="1" t="s">
        <v>3221</v>
      </c>
    </row>
    <row r="3183" spans="1:1" x14ac:dyDescent="0.25">
      <c r="A3183" s="1" t="s">
        <v>3222</v>
      </c>
    </row>
    <row r="3184" spans="1:1" x14ac:dyDescent="0.25">
      <c r="A3184" s="1" t="s">
        <v>3223</v>
      </c>
    </row>
    <row r="3185" spans="1:1" x14ac:dyDescent="0.25">
      <c r="A3185" s="1" t="s">
        <v>3224</v>
      </c>
    </row>
    <row r="3186" spans="1:1" x14ac:dyDescent="0.25">
      <c r="A3186" s="1" t="s">
        <v>3225</v>
      </c>
    </row>
    <row r="3187" spans="1:1" x14ac:dyDescent="0.25">
      <c r="A3187" s="1" t="s">
        <v>3226</v>
      </c>
    </row>
    <row r="3188" spans="1:1" x14ac:dyDescent="0.25">
      <c r="A3188" s="1" t="s">
        <v>3227</v>
      </c>
    </row>
    <row r="3189" spans="1:1" x14ac:dyDescent="0.25">
      <c r="A3189" s="1" t="s">
        <v>3228</v>
      </c>
    </row>
    <row r="3190" spans="1:1" x14ac:dyDescent="0.25">
      <c r="A3190" s="1" t="s">
        <v>3229</v>
      </c>
    </row>
    <row r="3191" spans="1:1" x14ac:dyDescent="0.25">
      <c r="A3191" s="1" t="s">
        <v>3230</v>
      </c>
    </row>
    <row r="3192" spans="1:1" x14ac:dyDescent="0.25">
      <c r="A3192" s="1" t="s">
        <v>3231</v>
      </c>
    </row>
    <row r="3193" spans="1:1" x14ac:dyDescent="0.25">
      <c r="A3193" s="1" t="s">
        <v>3232</v>
      </c>
    </row>
    <row r="3194" spans="1:1" x14ac:dyDescent="0.25">
      <c r="A3194" s="1" t="s">
        <v>3233</v>
      </c>
    </row>
    <row r="3195" spans="1:1" x14ac:dyDescent="0.25">
      <c r="A3195" s="1" t="s">
        <v>3234</v>
      </c>
    </row>
    <row r="3196" spans="1:1" x14ac:dyDescent="0.25">
      <c r="A3196" s="1" t="s">
        <v>3235</v>
      </c>
    </row>
    <row r="3197" spans="1:1" x14ac:dyDescent="0.25">
      <c r="A3197" s="1" t="s">
        <v>3236</v>
      </c>
    </row>
    <row r="3198" spans="1:1" x14ac:dyDescent="0.25">
      <c r="A3198" s="1" t="s">
        <v>3237</v>
      </c>
    </row>
    <row r="3199" spans="1:1" x14ac:dyDescent="0.25">
      <c r="A3199" s="1" t="s">
        <v>3238</v>
      </c>
    </row>
    <row r="3200" spans="1:1" x14ac:dyDescent="0.25">
      <c r="A3200" s="1" t="s">
        <v>3239</v>
      </c>
    </row>
    <row r="3201" spans="1:1" x14ac:dyDescent="0.25">
      <c r="A3201" s="1" t="s">
        <v>3240</v>
      </c>
    </row>
    <row r="3202" spans="1:1" x14ac:dyDescent="0.25">
      <c r="A3202" s="1" t="s">
        <v>3241</v>
      </c>
    </row>
    <row r="3203" spans="1:1" x14ac:dyDescent="0.25">
      <c r="A3203" s="1" t="s">
        <v>3242</v>
      </c>
    </row>
    <row r="3204" spans="1:1" x14ac:dyDescent="0.25">
      <c r="A3204" s="1" t="s">
        <v>3243</v>
      </c>
    </row>
    <row r="3205" spans="1:1" x14ac:dyDescent="0.25">
      <c r="A3205" s="1" t="s">
        <v>3244</v>
      </c>
    </row>
    <row r="3206" spans="1:1" x14ac:dyDescent="0.25">
      <c r="A3206" s="1" t="s">
        <v>3245</v>
      </c>
    </row>
    <row r="3207" spans="1:1" x14ac:dyDescent="0.25">
      <c r="A3207" s="1" t="s">
        <v>3246</v>
      </c>
    </row>
    <row r="3208" spans="1:1" x14ac:dyDescent="0.25">
      <c r="A3208" s="1" t="s">
        <v>3247</v>
      </c>
    </row>
    <row r="3209" spans="1:1" x14ac:dyDescent="0.25">
      <c r="A3209" s="1" t="s">
        <v>3248</v>
      </c>
    </row>
    <row r="3210" spans="1:1" x14ac:dyDescent="0.25">
      <c r="A3210" s="1" t="s">
        <v>3249</v>
      </c>
    </row>
    <row r="3211" spans="1:1" x14ac:dyDescent="0.25">
      <c r="A3211" s="1" t="s">
        <v>3250</v>
      </c>
    </row>
    <row r="3212" spans="1:1" x14ac:dyDescent="0.25">
      <c r="A3212" s="1" t="s">
        <v>3251</v>
      </c>
    </row>
    <row r="3213" spans="1:1" x14ac:dyDescent="0.25">
      <c r="A3213" s="1" t="s">
        <v>3252</v>
      </c>
    </row>
    <row r="3214" spans="1:1" x14ac:dyDescent="0.25">
      <c r="A3214" s="1" t="s">
        <v>3253</v>
      </c>
    </row>
    <row r="3215" spans="1:1" x14ac:dyDescent="0.25">
      <c r="A3215" s="1" t="s">
        <v>3254</v>
      </c>
    </row>
    <row r="3216" spans="1:1" x14ac:dyDescent="0.25">
      <c r="A3216" s="1" t="s">
        <v>3255</v>
      </c>
    </row>
    <row r="3217" spans="1:1" x14ac:dyDescent="0.25">
      <c r="A3217" s="1" t="s">
        <v>3256</v>
      </c>
    </row>
    <row r="3218" spans="1:1" x14ac:dyDescent="0.25">
      <c r="A3218" s="1" t="s">
        <v>3257</v>
      </c>
    </row>
    <row r="3219" spans="1:1" x14ac:dyDescent="0.25">
      <c r="A3219" s="1" t="s">
        <v>3258</v>
      </c>
    </row>
    <row r="3220" spans="1:1" x14ac:dyDescent="0.25">
      <c r="A3220" s="1" t="s">
        <v>3259</v>
      </c>
    </row>
    <row r="3221" spans="1:1" x14ac:dyDescent="0.25">
      <c r="A3221" s="1" t="s">
        <v>3260</v>
      </c>
    </row>
    <row r="3222" spans="1:1" x14ac:dyDescent="0.25">
      <c r="A3222" s="1" t="s">
        <v>3261</v>
      </c>
    </row>
    <row r="3223" spans="1:1" x14ac:dyDescent="0.25">
      <c r="A3223" s="1" t="s">
        <v>3262</v>
      </c>
    </row>
    <row r="3224" spans="1:1" x14ac:dyDescent="0.25">
      <c r="A3224" s="1" t="s">
        <v>3263</v>
      </c>
    </row>
    <row r="3225" spans="1:1" x14ac:dyDescent="0.25">
      <c r="A3225" s="1" t="s">
        <v>3264</v>
      </c>
    </row>
    <row r="3226" spans="1:1" x14ac:dyDescent="0.25">
      <c r="A3226" s="1" t="s">
        <v>3265</v>
      </c>
    </row>
    <row r="3227" spans="1:1" x14ac:dyDescent="0.25">
      <c r="A3227" s="1" t="s">
        <v>3266</v>
      </c>
    </row>
    <row r="3228" spans="1:1" x14ac:dyDescent="0.25">
      <c r="A3228" s="1" t="s">
        <v>3267</v>
      </c>
    </row>
    <row r="3229" spans="1:1" x14ac:dyDescent="0.25">
      <c r="A3229" s="1" t="s">
        <v>3268</v>
      </c>
    </row>
    <row r="3230" spans="1:1" x14ac:dyDescent="0.25">
      <c r="A3230" s="1" t="s">
        <v>3269</v>
      </c>
    </row>
    <row r="3231" spans="1:1" x14ac:dyDescent="0.25">
      <c r="A3231" s="1" t="s">
        <v>3270</v>
      </c>
    </row>
    <row r="3232" spans="1:1" x14ac:dyDescent="0.25">
      <c r="A3232" s="1" t="s">
        <v>3271</v>
      </c>
    </row>
    <row r="3233" spans="1:1" x14ac:dyDescent="0.25">
      <c r="A3233" s="1" t="s">
        <v>3272</v>
      </c>
    </row>
    <row r="3234" spans="1:1" x14ac:dyDescent="0.25">
      <c r="A3234" s="1" t="s">
        <v>3273</v>
      </c>
    </row>
    <row r="3235" spans="1:1" x14ac:dyDescent="0.25">
      <c r="A3235" s="1" t="s">
        <v>3274</v>
      </c>
    </row>
    <row r="3236" spans="1:1" x14ac:dyDescent="0.25">
      <c r="A3236" s="1" t="s">
        <v>3275</v>
      </c>
    </row>
    <row r="3237" spans="1:1" x14ac:dyDescent="0.25">
      <c r="A3237" s="1" t="s">
        <v>3276</v>
      </c>
    </row>
    <row r="3238" spans="1:1" x14ac:dyDescent="0.25">
      <c r="A3238" s="1" t="s">
        <v>3277</v>
      </c>
    </row>
    <row r="3239" spans="1:1" x14ac:dyDescent="0.25">
      <c r="A3239" s="1" t="s">
        <v>3278</v>
      </c>
    </row>
    <row r="3240" spans="1:1" x14ac:dyDescent="0.25">
      <c r="A3240" s="1" t="s">
        <v>3279</v>
      </c>
    </row>
    <row r="3241" spans="1:1" x14ac:dyDescent="0.25">
      <c r="A3241" s="1" t="s">
        <v>3280</v>
      </c>
    </row>
    <row r="3242" spans="1:1" x14ac:dyDescent="0.25">
      <c r="A3242" s="1" t="s">
        <v>3281</v>
      </c>
    </row>
    <row r="3243" spans="1:1" x14ac:dyDescent="0.25">
      <c r="A3243" s="1" t="s">
        <v>3282</v>
      </c>
    </row>
    <row r="3244" spans="1:1" x14ac:dyDescent="0.25">
      <c r="A3244" s="1" t="s">
        <v>3283</v>
      </c>
    </row>
    <row r="3245" spans="1:1" x14ac:dyDescent="0.25">
      <c r="A3245" s="1" t="s">
        <v>3284</v>
      </c>
    </row>
    <row r="3246" spans="1:1" x14ac:dyDescent="0.25">
      <c r="A3246" s="1" t="s">
        <v>3285</v>
      </c>
    </row>
    <row r="3247" spans="1:1" x14ac:dyDescent="0.25">
      <c r="A3247" s="1" t="s">
        <v>3286</v>
      </c>
    </row>
    <row r="3248" spans="1:1" x14ac:dyDescent="0.25">
      <c r="A3248" s="1" t="s">
        <v>3287</v>
      </c>
    </row>
    <row r="3249" spans="1:1" x14ac:dyDescent="0.25">
      <c r="A3249" s="1" t="s">
        <v>3288</v>
      </c>
    </row>
    <row r="3250" spans="1:1" x14ac:dyDescent="0.25">
      <c r="A3250" s="1" t="s">
        <v>3289</v>
      </c>
    </row>
    <row r="3251" spans="1:1" x14ac:dyDescent="0.25">
      <c r="A3251" s="1" t="s">
        <v>3290</v>
      </c>
    </row>
    <row r="3252" spans="1:1" x14ac:dyDescent="0.25">
      <c r="A3252" s="1" t="s">
        <v>3291</v>
      </c>
    </row>
    <row r="3253" spans="1:1" x14ac:dyDescent="0.25">
      <c r="A3253" s="1" t="s">
        <v>3292</v>
      </c>
    </row>
    <row r="3254" spans="1:1" x14ac:dyDescent="0.25">
      <c r="A3254" s="1" t="s">
        <v>3293</v>
      </c>
    </row>
    <row r="3255" spans="1:1" x14ac:dyDescent="0.25">
      <c r="A3255" s="1" t="s">
        <v>3294</v>
      </c>
    </row>
    <row r="3256" spans="1:1" x14ac:dyDescent="0.25">
      <c r="A3256" s="1" t="s">
        <v>3295</v>
      </c>
    </row>
    <row r="3257" spans="1:1" x14ac:dyDescent="0.25">
      <c r="A3257" s="1" t="s">
        <v>3296</v>
      </c>
    </row>
    <row r="3258" spans="1:1" x14ac:dyDescent="0.25">
      <c r="A3258" s="1" t="s">
        <v>3297</v>
      </c>
    </row>
    <row r="3259" spans="1:1" x14ac:dyDescent="0.25">
      <c r="A3259" s="1" t="s">
        <v>3298</v>
      </c>
    </row>
    <row r="3260" spans="1:1" x14ac:dyDescent="0.25">
      <c r="A3260" s="1" t="s">
        <v>3299</v>
      </c>
    </row>
    <row r="3261" spans="1:1" x14ac:dyDescent="0.25">
      <c r="A3261" s="1" t="s">
        <v>3300</v>
      </c>
    </row>
    <row r="3262" spans="1:1" x14ac:dyDescent="0.25">
      <c r="A3262" s="1" t="s">
        <v>3301</v>
      </c>
    </row>
    <row r="3263" spans="1:1" x14ac:dyDescent="0.25">
      <c r="A3263" s="1" t="s">
        <v>3302</v>
      </c>
    </row>
    <row r="3264" spans="1:1" x14ac:dyDescent="0.25">
      <c r="A3264" s="1" t="s">
        <v>3303</v>
      </c>
    </row>
    <row r="3265" spans="1:1" x14ac:dyDescent="0.25">
      <c r="A3265" s="1" t="s">
        <v>3304</v>
      </c>
    </row>
    <row r="3266" spans="1:1" x14ac:dyDescent="0.25">
      <c r="A3266" s="1" t="s">
        <v>3305</v>
      </c>
    </row>
    <row r="3267" spans="1:1" x14ac:dyDescent="0.25">
      <c r="A3267" s="1" t="s">
        <v>3306</v>
      </c>
    </row>
    <row r="3268" spans="1:1" x14ac:dyDescent="0.25">
      <c r="A3268" s="1" t="s">
        <v>3307</v>
      </c>
    </row>
    <row r="3269" spans="1:1" x14ac:dyDescent="0.25">
      <c r="A3269" s="1" t="s">
        <v>3308</v>
      </c>
    </row>
    <row r="3270" spans="1:1" x14ac:dyDescent="0.25">
      <c r="A3270" s="1" t="s">
        <v>3309</v>
      </c>
    </row>
    <row r="3271" spans="1:1" x14ac:dyDescent="0.25">
      <c r="A3271" s="1" t="s">
        <v>3310</v>
      </c>
    </row>
    <row r="3272" spans="1:1" x14ac:dyDescent="0.25">
      <c r="A3272" s="1" t="s">
        <v>3311</v>
      </c>
    </row>
    <row r="3273" spans="1:1" x14ac:dyDescent="0.25">
      <c r="A3273" s="1" t="s">
        <v>3312</v>
      </c>
    </row>
    <row r="3274" spans="1:1" x14ac:dyDescent="0.25">
      <c r="A3274" s="1" t="s">
        <v>3313</v>
      </c>
    </row>
    <row r="3275" spans="1:1" x14ac:dyDescent="0.25">
      <c r="A3275" s="1" t="s">
        <v>3314</v>
      </c>
    </row>
    <row r="3276" spans="1:1" x14ac:dyDescent="0.25">
      <c r="A3276" s="1" t="s">
        <v>3315</v>
      </c>
    </row>
    <row r="3277" spans="1:1" x14ac:dyDescent="0.25">
      <c r="A3277" s="1" t="s">
        <v>3316</v>
      </c>
    </row>
    <row r="3278" spans="1:1" x14ac:dyDescent="0.25">
      <c r="A3278" s="1" t="s">
        <v>3317</v>
      </c>
    </row>
    <row r="3279" spans="1:1" x14ac:dyDescent="0.25">
      <c r="A3279" s="1" t="s">
        <v>3318</v>
      </c>
    </row>
    <row r="3280" spans="1:1" x14ac:dyDescent="0.25">
      <c r="A3280" s="1" t="s">
        <v>3319</v>
      </c>
    </row>
    <row r="3281" spans="1:1" x14ac:dyDescent="0.25">
      <c r="A3281" s="1" t="s">
        <v>3320</v>
      </c>
    </row>
    <row r="3282" spans="1:1" x14ac:dyDescent="0.25">
      <c r="A3282" s="1" t="s">
        <v>3321</v>
      </c>
    </row>
    <row r="3283" spans="1:1" x14ac:dyDescent="0.25">
      <c r="A3283" s="1" t="s">
        <v>3322</v>
      </c>
    </row>
    <row r="3284" spans="1:1" x14ac:dyDescent="0.25">
      <c r="A3284" s="1" t="s">
        <v>3323</v>
      </c>
    </row>
    <row r="3285" spans="1:1" x14ac:dyDescent="0.25">
      <c r="A3285" s="1" t="s">
        <v>3324</v>
      </c>
    </row>
    <row r="3286" spans="1:1" x14ac:dyDescent="0.25">
      <c r="A3286" s="1" t="s">
        <v>3325</v>
      </c>
    </row>
    <row r="3287" spans="1:1" x14ac:dyDescent="0.25">
      <c r="A3287" s="1" t="s">
        <v>3326</v>
      </c>
    </row>
    <row r="3288" spans="1:1" x14ac:dyDescent="0.25">
      <c r="A3288" s="1" t="s">
        <v>3327</v>
      </c>
    </row>
    <row r="3289" spans="1:1" x14ac:dyDescent="0.25">
      <c r="A3289" s="1" t="s">
        <v>3328</v>
      </c>
    </row>
    <row r="3290" spans="1:1" x14ac:dyDescent="0.25">
      <c r="A3290" s="1" t="s">
        <v>3329</v>
      </c>
    </row>
    <row r="3291" spans="1:1" x14ac:dyDescent="0.25">
      <c r="A3291" s="1" t="s">
        <v>3330</v>
      </c>
    </row>
    <row r="3292" spans="1:1" x14ac:dyDescent="0.25">
      <c r="A3292" s="1" t="s">
        <v>3331</v>
      </c>
    </row>
    <row r="3293" spans="1:1" x14ac:dyDescent="0.25">
      <c r="A3293" s="1" t="s">
        <v>3332</v>
      </c>
    </row>
    <row r="3294" spans="1:1" x14ac:dyDescent="0.25">
      <c r="A3294" s="1" t="s">
        <v>3333</v>
      </c>
    </row>
    <row r="3295" spans="1:1" x14ac:dyDescent="0.25">
      <c r="A3295" s="1" t="s">
        <v>3334</v>
      </c>
    </row>
    <row r="3296" spans="1:1" x14ac:dyDescent="0.25">
      <c r="A3296" s="1" t="s">
        <v>3335</v>
      </c>
    </row>
    <row r="3297" spans="1:1" x14ac:dyDescent="0.25">
      <c r="A3297" s="1" t="s">
        <v>3336</v>
      </c>
    </row>
    <row r="3298" spans="1:1" x14ac:dyDescent="0.25">
      <c r="A3298" s="1" t="s">
        <v>3337</v>
      </c>
    </row>
    <row r="3299" spans="1:1" x14ac:dyDescent="0.25">
      <c r="A3299" s="1" t="s">
        <v>3338</v>
      </c>
    </row>
    <row r="3300" spans="1:1" x14ac:dyDescent="0.25">
      <c r="A3300" s="1" t="s">
        <v>3339</v>
      </c>
    </row>
    <row r="3301" spans="1:1" x14ac:dyDescent="0.25">
      <c r="A3301" s="1" t="s">
        <v>3340</v>
      </c>
    </row>
    <row r="3302" spans="1:1" x14ac:dyDescent="0.25">
      <c r="A3302" s="1" t="s">
        <v>3341</v>
      </c>
    </row>
    <row r="3303" spans="1:1" x14ac:dyDescent="0.25">
      <c r="A3303" s="1" t="s">
        <v>3342</v>
      </c>
    </row>
    <row r="3304" spans="1:1" x14ac:dyDescent="0.25">
      <c r="A3304" s="1" t="s">
        <v>3343</v>
      </c>
    </row>
    <row r="3305" spans="1:1" x14ac:dyDescent="0.25">
      <c r="A3305" s="1" t="s">
        <v>3344</v>
      </c>
    </row>
    <row r="3306" spans="1:1" x14ac:dyDescent="0.25">
      <c r="A3306" s="1" t="s">
        <v>3345</v>
      </c>
    </row>
    <row r="3307" spans="1:1" x14ac:dyDescent="0.25">
      <c r="A3307" s="1" t="s">
        <v>3346</v>
      </c>
    </row>
    <row r="3308" spans="1:1" x14ac:dyDescent="0.25">
      <c r="A3308" s="1" t="s">
        <v>3347</v>
      </c>
    </row>
    <row r="3309" spans="1:1" x14ac:dyDescent="0.25">
      <c r="A3309" s="1" t="s">
        <v>3348</v>
      </c>
    </row>
    <row r="3310" spans="1:1" x14ac:dyDescent="0.25">
      <c r="A3310" s="1" t="s">
        <v>3349</v>
      </c>
    </row>
    <row r="3311" spans="1:1" x14ac:dyDescent="0.25">
      <c r="A3311" s="1" t="s">
        <v>3350</v>
      </c>
    </row>
    <row r="3312" spans="1:1" x14ac:dyDescent="0.25">
      <c r="A3312" s="1" t="s">
        <v>3351</v>
      </c>
    </row>
    <row r="3313" spans="1:1" x14ac:dyDescent="0.25">
      <c r="A3313" s="1" t="s">
        <v>3352</v>
      </c>
    </row>
    <row r="3314" spans="1:1" x14ac:dyDescent="0.25">
      <c r="A3314" s="1" t="s">
        <v>3353</v>
      </c>
    </row>
    <row r="3315" spans="1:1" x14ac:dyDescent="0.25">
      <c r="A3315" s="1" t="s">
        <v>3354</v>
      </c>
    </row>
    <row r="3316" spans="1:1" x14ac:dyDescent="0.25">
      <c r="A3316" s="1" t="s">
        <v>3355</v>
      </c>
    </row>
    <row r="3317" spans="1:1" x14ac:dyDescent="0.25">
      <c r="A3317" s="1" t="s">
        <v>3356</v>
      </c>
    </row>
    <row r="3318" spans="1:1" x14ac:dyDescent="0.25">
      <c r="A3318" s="1" t="s">
        <v>3357</v>
      </c>
    </row>
    <row r="3319" spans="1:1" x14ac:dyDescent="0.25">
      <c r="A3319" s="1" t="s">
        <v>3358</v>
      </c>
    </row>
    <row r="3320" spans="1:1" x14ac:dyDescent="0.25">
      <c r="A3320" s="1" t="s">
        <v>3359</v>
      </c>
    </row>
    <row r="3321" spans="1:1" x14ac:dyDescent="0.25">
      <c r="A3321" s="1" t="s">
        <v>3360</v>
      </c>
    </row>
    <row r="3322" spans="1:1" x14ac:dyDescent="0.25">
      <c r="A3322" s="1" t="s">
        <v>3361</v>
      </c>
    </row>
    <row r="3323" spans="1:1" x14ac:dyDescent="0.25">
      <c r="A3323" s="1" t="s">
        <v>3362</v>
      </c>
    </row>
    <row r="3324" spans="1:1" x14ac:dyDescent="0.25">
      <c r="A3324" s="1" t="s">
        <v>3363</v>
      </c>
    </row>
    <row r="3325" spans="1:1" x14ac:dyDescent="0.25">
      <c r="A3325" s="1" t="s">
        <v>3364</v>
      </c>
    </row>
    <row r="3326" spans="1:1" x14ac:dyDescent="0.25">
      <c r="A3326" s="1" t="s">
        <v>3365</v>
      </c>
    </row>
    <row r="3327" spans="1:1" x14ac:dyDescent="0.25">
      <c r="A3327" s="1" t="s">
        <v>3366</v>
      </c>
    </row>
    <row r="3328" spans="1:1" x14ac:dyDescent="0.25">
      <c r="A3328" s="1" t="s">
        <v>3367</v>
      </c>
    </row>
    <row r="3329" spans="1:1" x14ac:dyDescent="0.25">
      <c r="A3329" s="1" t="s">
        <v>3368</v>
      </c>
    </row>
    <row r="3330" spans="1:1" x14ac:dyDescent="0.25">
      <c r="A3330" s="1" t="s">
        <v>3369</v>
      </c>
    </row>
    <row r="3331" spans="1:1" x14ac:dyDescent="0.25">
      <c r="A3331" s="1" t="s">
        <v>3370</v>
      </c>
    </row>
    <row r="3332" spans="1:1" x14ac:dyDescent="0.25">
      <c r="A3332" s="1" t="s">
        <v>3371</v>
      </c>
    </row>
    <row r="3333" spans="1:1" x14ac:dyDescent="0.25">
      <c r="A3333" s="1" t="s">
        <v>3372</v>
      </c>
    </row>
    <row r="3334" spans="1:1" x14ac:dyDescent="0.25">
      <c r="A3334" s="1" t="s">
        <v>3373</v>
      </c>
    </row>
    <row r="3335" spans="1:1" x14ac:dyDescent="0.25">
      <c r="A3335" s="1" t="s">
        <v>3374</v>
      </c>
    </row>
    <row r="3336" spans="1:1" x14ac:dyDescent="0.25">
      <c r="A3336" s="1" t="s">
        <v>3375</v>
      </c>
    </row>
    <row r="3337" spans="1:1" x14ac:dyDescent="0.25">
      <c r="A3337" s="1" t="s">
        <v>3376</v>
      </c>
    </row>
    <row r="3338" spans="1:1" x14ac:dyDescent="0.25">
      <c r="A3338" s="1" t="s">
        <v>3377</v>
      </c>
    </row>
    <row r="3339" spans="1:1" x14ac:dyDescent="0.25">
      <c r="A3339" s="1" t="s">
        <v>3378</v>
      </c>
    </row>
    <row r="3340" spans="1:1" x14ac:dyDescent="0.25">
      <c r="A3340" s="1" t="s">
        <v>3379</v>
      </c>
    </row>
    <row r="3341" spans="1:1" x14ac:dyDescent="0.25">
      <c r="A3341" s="1" t="s">
        <v>3380</v>
      </c>
    </row>
    <row r="3342" spans="1:1" x14ac:dyDescent="0.25">
      <c r="A3342" s="1" t="s">
        <v>3381</v>
      </c>
    </row>
    <row r="3343" spans="1:1" x14ac:dyDescent="0.25">
      <c r="A3343" s="1" t="s">
        <v>3382</v>
      </c>
    </row>
    <row r="3344" spans="1:1" x14ac:dyDescent="0.25">
      <c r="A3344" s="1" t="s">
        <v>3383</v>
      </c>
    </row>
    <row r="3345" spans="1:1" x14ac:dyDescent="0.25">
      <c r="A3345" s="1" t="s">
        <v>3384</v>
      </c>
    </row>
    <row r="3346" spans="1:1" x14ac:dyDescent="0.25">
      <c r="A3346" s="1" t="s">
        <v>3385</v>
      </c>
    </row>
    <row r="3347" spans="1:1" x14ac:dyDescent="0.25">
      <c r="A3347" s="1" t="s">
        <v>3386</v>
      </c>
    </row>
    <row r="3348" spans="1:1" x14ac:dyDescent="0.25">
      <c r="A3348" s="1" t="s">
        <v>3387</v>
      </c>
    </row>
    <row r="3349" spans="1:1" x14ac:dyDescent="0.25">
      <c r="A3349" s="1" t="s">
        <v>3388</v>
      </c>
    </row>
    <row r="3350" spans="1:1" x14ac:dyDescent="0.25">
      <c r="A3350" s="1" t="s">
        <v>3389</v>
      </c>
    </row>
    <row r="3351" spans="1:1" x14ac:dyDescent="0.25">
      <c r="A3351" s="1" t="s">
        <v>3390</v>
      </c>
    </row>
    <row r="3352" spans="1:1" x14ac:dyDescent="0.25">
      <c r="A3352" s="1" t="s">
        <v>3391</v>
      </c>
    </row>
    <row r="3353" spans="1:1" x14ac:dyDescent="0.25">
      <c r="A3353" s="1" t="s">
        <v>3392</v>
      </c>
    </row>
    <row r="3354" spans="1:1" x14ac:dyDescent="0.25">
      <c r="A3354" s="1" t="s">
        <v>3393</v>
      </c>
    </row>
    <row r="3355" spans="1:1" x14ac:dyDescent="0.25">
      <c r="A3355" s="1" t="s">
        <v>3394</v>
      </c>
    </row>
    <row r="3356" spans="1:1" x14ac:dyDescent="0.25">
      <c r="A3356" s="1" t="s">
        <v>3395</v>
      </c>
    </row>
    <row r="3357" spans="1:1" x14ac:dyDescent="0.25">
      <c r="A3357" s="1" t="s">
        <v>3396</v>
      </c>
    </row>
    <row r="3358" spans="1:1" x14ac:dyDescent="0.25">
      <c r="A3358" s="1" t="s">
        <v>3397</v>
      </c>
    </row>
    <row r="3359" spans="1:1" x14ac:dyDescent="0.25">
      <c r="A3359" s="1" t="s">
        <v>3398</v>
      </c>
    </row>
    <row r="3360" spans="1:1" x14ac:dyDescent="0.25">
      <c r="A3360" s="1" t="s">
        <v>3399</v>
      </c>
    </row>
    <row r="3361" spans="1:1" x14ac:dyDescent="0.25">
      <c r="A3361" s="1" t="s">
        <v>3400</v>
      </c>
    </row>
    <row r="3362" spans="1:1" x14ac:dyDescent="0.25">
      <c r="A3362" s="1" t="s">
        <v>3401</v>
      </c>
    </row>
    <row r="3363" spans="1:1" x14ac:dyDescent="0.25">
      <c r="A3363" s="1" t="s">
        <v>3402</v>
      </c>
    </row>
    <row r="3364" spans="1:1" x14ac:dyDescent="0.25">
      <c r="A3364" s="1" t="s">
        <v>3403</v>
      </c>
    </row>
    <row r="3365" spans="1:1" x14ac:dyDescent="0.25">
      <c r="A3365" s="1" t="s">
        <v>3404</v>
      </c>
    </row>
    <row r="3366" spans="1:1" x14ac:dyDescent="0.25">
      <c r="A3366" s="1" t="s">
        <v>3405</v>
      </c>
    </row>
    <row r="3367" spans="1:1" x14ac:dyDescent="0.25">
      <c r="A3367" s="1" t="s">
        <v>3406</v>
      </c>
    </row>
    <row r="3368" spans="1:1" x14ac:dyDescent="0.25">
      <c r="A3368" s="1" t="s">
        <v>3407</v>
      </c>
    </row>
    <row r="3369" spans="1:1" x14ac:dyDescent="0.25">
      <c r="A3369" s="1" t="s">
        <v>3408</v>
      </c>
    </row>
    <row r="3370" spans="1:1" x14ac:dyDescent="0.25">
      <c r="A3370" s="1" t="s">
        <v>3409</v>
      </c>
    </row>
    <row r="3371" spans="1:1" x14ac:dyDescent="0.25">
      <c r="A3371" s="1" t="s">
        <v>3410</v>
      </c>
    </row>
    <row r="3372" spans="1:1" x14ac:dyDescent="0.25">
      <c r="A3372" s="1" t="s">
        <v>3411</v>
      </c>
    </row>
    <row r="3373" spans="1:1" x14ac:dyDescent="0.25">
      <c r="A3373" s="1" t="s">
        <v>3412</v>
      </c>
    </row>
    <row r="3374" spans="1:1" x14ac:dyDescent="0.25">
      <c r="A3374" s="1" t="s">
        <v>3413</v>
      </c>
    </row>
    <row r="3375" spans="1:1" x14ac:dyDescent="0.25">
      <c r="A3375" s="1" t="s">
        <v>3414</v>
      </c>
    </row>
    <row r="3376" spans="1:1" x14ac:dyDescent="0.25">
      <c r="A3376" s="1" t="s">
        <v>3415</v>
      </c>
    </row>
    <row r="3377" spans="1:1" x14ac:dyDescent="0.25">
      <c r="A3377" s="1" t="s">
        <v>3416</v>
      </c>
    </row>
    <row r="3378" spans="1:1" x14ac:dyDescent="0.25">
      <c r="A3378" s="1" t="s">
        <v>3417</v>
      </c>
    </row>
    <row r="3379" spans="1:1" x14ac:dyDescent="0.25">
      <c r="A3379" s="1" t="s">
        <v>3418</v>
      </c>
    </row>
    <row r="3380" spans="1:1" x14ac:dyDescent="0.25">
      <c r="A3380" s="1" t="s">
        <v>3419</v>
      </c>
    </row>
    <row r="3381" spans="1:1" x14ac:dyDescent="0.25">
      <c r="A3381" s="1" t="s">
        <v>3420</v>
      </c>
    </row>
    <row r="3382" spans="1:1" x14ac:dyDescent="0.25">
      <c r="A3382" s="1" t="s">
        <v>3421</v>
      </c>
    </row>
    <row r="3383" spans="1:1" x14ac:dyDescent="0.25">
      <c r="A3383" s="1" t="s">
        <v>3422</v>
      </c>
    </row>
    <row r="3384" spans="1:1" x14ac:dyDescent="0.25">
      <c r="A3384" s="1" t="s">
        <v>3423</v>
      </c>
    </row>
    <row r="3385" spans="1:1" x14ac:dyDescent="0.25">
      <c r="A3385" s="1" t="s">
        <v>3424</v>
      </c>
    </row>
    <row r="3386" spans="1:1" x14ac:dyDescent="0.25">
      <c r="A3386" s="1" t="s">
        <v>3425</v>
      </c>
    </row>
    <row r="3387" spans="1:1" x14ac:dyDescent="0.25">
      <c r="A3387" s="1" t="s">
        <v>3426</v>
      </c>
    </row>
    <row r="3388" spans="1:1" x14ac:dyDescent="0.25">
      <c r="A3388" s="1" t="s">
        <v>3427</v>
      </c>
    </row>
    <row r="3389" spans="1:1" x14ac:dyDescent="0.25">
      <c r="A3389" s="1" t="s">
        <v>3428</v>
      </c>
    </row>
    <row r="3390" spans="1:1" x14ac:dyDescent="0.25">
      <c r="A3390" s="1" t="s">
        <v>3429</v>
      </c>
    </row>
    <row r="3391" spans="1:1" x14ac:dyDescent="0.25">
      <c r="A3391" s="1" t="s">
        <v>3430</v>
      </c>
    </row>
    <row r="3392" spans="1:1" x14ac:dyDescent="0.25">
      <c r="A3392" s="1" t="s">
        <v>3431</v>
      </c>
    </row>
    <row r="3393" spans="1:1" x14ac:dyDescent="0.25">
      <c r="A3393" s="1" t="s">
        <v>3432</v>
      </c>
    </row>
    <row r="3394" spans="1:1" x14ac:dyDescent="0.25">
      <c r="A3394" s="1" t="s">
        <v>3433</v>
      </c>
    </row>
    <row r="3395" spans="1:1" x14ac:dyDescent="0.25">
      <c r="A3395" s="1" t="s">
        <v>3434</v>
      </c>
    </row>
    <row r="3396" spans="1:1" x14ac:dyDescent="0.25">
      <c r="A3396" s="1" t="s">
        <v>3435</v>
      </c>
    </row>
    <row r="3397" spans="1:1" x14ac:dyDescent="0.25">
      <c r="A3397" s="1" t="s">
        <v>3436</v>
      </c>
    </row>
    <row r="3398" spans="1:1" x14ac:dyDescent="0.25">
      <c r="A3398" s="1" t="s">
        <v>3437</v>
      </c>
    </row>
    <row r="3399" spans="1:1" x14ac:dyDescent="0.25">
      <c r="A3399" s="1" t="s">
        <v>3438</v>
      </c>
    </row>
    <row r="3400" spans="1:1" x14ac:dyDescent="0.25">
      <c r="A3400" s="1" t="s">
        <v>3439</v>
      </c>
    </row>
    <row r="3401" spans="1:1" x14ac:dyDescent="0.25">
      <c r="A3401" s="1" t="s">
        <v>3440</v>
      </c>
    </row>
    <row r="3402" spans="1:1" x14ac:dyDescent="0.25">
      <c r="A3402" s="1" t="s">
        <v>3441</v>
      </c>
    </row>
    <row r="3403" spans="1:1" x14ac:dyDescent="0.25">
      <c r="A3403" s="1" t="s">
        <v>3442</v>
      </c>
    </row>
    <row r="3404" spans="1:1" x14ac:dyDescent="0.25">
      <c r="A3404" s="1" t="s">
        <v>3443</v>
      </c>
    </row>
    <row r="3405" spans="1:1" x14ac:dyDescent="0.25">
      <c r="A3405" s="1" t="s">
        <v>3444</v>
      </c>
    </row>
    <row r="3406" spans="1:1" x14ac:dyDescent="0.25">
      <c r="A3406" s="1" t="s">
        <v>3445</v>
      </c>
    </row>
    <row r="3407" spans="1:1" x14ac:dyDescent="0.25">
      <c r="A3407" s="1" t="s">
        <v>3446</v>
      </c>
    </row>
    <row r="3408" spans="1:1" x14ac:dyDescent="0.25">
      <c r="A3408" s="1" t="s">
        <v>3447</v>
      </c>
    </row>
    <row r="3409" spans="1:1" x14ac:dyDescent="0.25">
      <c r="A3409" s="1" t="s">
        <v>3448</v>
      </c>
    </row>
    <row r="3410" spans="1:1" x14ac:dyDescent="0.25">
      <c r="A3410" s="1" t="s">
        <v>3449</v>
      </c>
    </row>
    <row r="3411" spans="1:1" x14ac:dyDescent="0.25">
      <c r="A3411" s="1" t="s">
        <v>3450</v>
      </c>
    </row>
    <row r="3412" spans="1:1" x14ac:dyDescent="0.25">
      <c r="A3412" s="1" t="s">
        <v>3451</v>
      </c>
    </row>
    <row r="3413" spans="1:1" x14ac:dyDescent="0.25">
      <c r="A3413" s="1" t="s">
        <v>3452</v>
      </c>
    </row>
    <row r="3414" spans="1:1" x14ac:dyDescent="0.25">
      <c r="A3414" s="1" t="s">
        <v>3453</v>
      </c>
    </row>
    <row r="3415" spans="1:1" x14ac:dyDescent="0.25">
      <c r="A3415" s="1" t="s">
        <v>3454</v>
      </c>
    </row>
    <row r="3416" spans="1:1" x14ac:dyDescent="0.25">
      <c r="A3416" s="1" t="s">
        <v>3455</v>
      </c>
    </row>
    <row r="3417" spans="1:1" x14ac:dyDescent="0.25">
      <c r="A3417" s="1" t="s">
        <v>3456</v>
      </c>
    </row>
    <row r="3418" spans="1:1" x14ac:dyDescent="0.25">
      <c r="A3418" s="1" t="s">
        <v>3457</v>
      </c>
    </row>
    <row r="3419" spans="1:1" x14ac:dyDescent="0.25">
      <c r="A3419" s="1" t="s">
        <v>3458</v>
      </c>
    </row>
    <row r="3420" spans="1:1" x14ac:dyDescent="0.25">
      <c r="A3420" s="1" t="s">
        <v>3459</v>
      </c>
    </row>
    <row r="3421" spans="1:1" x14ac:dyDescent="0.25">
      <c r="A3421" s="1" t="s">
        <v>3460</v>
      </c>
    </row>
    <row r="3422" spans="1:1" x14ac:dyDescent="0.25">
      <c r="A3422" s="1" t="s">
        <v>3461</v>
      </c>
    </row>
    <row r="3423" spans="1:1" x14ac:dyDescent="0.25">
      <c r="A3423" s="1" t="s">
        <v>3462</v>
      </c>
    </row>
    <row r="3424" spans="1:1" x14ac:dyDescent="0.25">
      <c r="A3424" s="1" t="s">
        <v>3463</v>
      </c>
    </row>
    <row r="3425" spans="1:1" x14ac:dyDescent="0.25">
      <c r="A3425" s="1" t="s">
        <v>3464</v>
      </c>
    </row>
    <row r="3426" spans="1:1" x14ac:dyDescent="0.25">
      <c r="A3426" s="1" t="s">
        <v>3465</v>
      </c>
    </row>
    <row r="3427" spans="1:1" x14ac:dyDescent="0.25">
      <c r="A3427" s="1" t="s">
        <v>3466</v>
      </c>
    </row>
    <row r="3428" spans="1:1" x14ac:dyDescent="0.25">
      <c r="A3428" s="1" t="s">
        <v>3467</v>
      </c>
    </row>
    <row r="3429" spans="1:1" x14ac:dyDescent="0.25">
      <c r="A3429" s="1" t="s">
        <v>3468</v>
      </c>
    </row>
    <row r="3430" spans="1:1" x14ac:dyDescent="0.25">
      <c r="A3430" s="1" t="s">
        <v>3469</v>
      </c>
    </row>
    <row r="3431" spans="1:1" x14ac:dyDescent="0.25">
      <c r="A3431" s="1" t="s">
        <v>3470</v>
      </c>
    </row>
    <row r="3432" spans="1:1" x14ac:dyDescent="0.25">
      <c r="A3432" s="1" t="s">
        <v>3471</v>
      </c>
    </row>
    <row r="3433" spans="1:1" x14ac:dyDescent="0.25">
      <c r="A3433" s="1" t="s">
        <v>3472</v>
      </c>
    </row>
    <row r="3434" spans="1:1" x14ac:dyDescent="0.25">
      <c r="A3434" s="1" t="s">
        <v>3473</v>
      </c>
    </row>
    <row r="3435" spans="1:1" x14ac:dyDescent="0.25">
      <c r="A3435" s="1" t="s">
        <v>3474</v>
      </c>
    </row>
    <row r="3436" spans="1:1" x14ac:dyDescent="0.25">
      <c r="A3436" s="1" t="s">
        <v>3475</v>
      </c>
    </row>
    <row r="3437" spans="1:1" x14ac:dyDescent="0.25">
      <c r="A3437" s="1" t="s">
        <v>3476</v>
      </c>
    </row>
    <row r="3438" spans="1:1" x14ac:dyDescent="0.25">
      <c r="A3438" s="1" t="s">
        <v>3477</v>
      </c>
    </row>
    <row r="3439" spans="1:1" x14ac:dyDescent="0.25">
      <c r="A3439" s="1" t="s">
        <v>3478</v>
      </c>
    </row>
    <row r="3440" spans="1:1" x14ac:dyDescent="0.25">
      <c r="A3440" s="1" t="s">
        <v>3479</v>
      </c>
    </row>
    <row r="3441" spans="1:1" x14ac:dyDescent="0.25">
      <c r="A3441" s="1" t="s">
        <v>3480</v>
      </c>
    </row>
    <row r="3442" spans="1:1" x14ac:dyDescent="0.25">
      <c r="A3442" s="1" t="s">
        <v>3481</v>
      </c>
    </row>
    <row r="3443" spans="1:1" x14ac:dyDescent="0.25">
      <c r="A3443" s="1" t="s">
        <v>3482</v>
      </c>
    </row>
    <row r="3444" spans="1:1" x14ac:dyDescent="0.25">
      <c r="A3444" s="1" t="s">
        <v>3483</v>
      </c>
    </row>
    <row r="3445" spans="1:1" x14ac:dyDescent="0.25">
      <c r="A3445" s="1" t="s">
        <v>3484</v>
      </c>
    </row>
    <row r="3446" spans="1:1" x14ac:dyDescent="0.25">
      <c r="A3446" s="1" t="s">
        <v>3485</v>
      </c>
    </row>
    <row r="3447" spans="1:1" x14ac:dyDescent="0.25">
      <c r="A3447" s="1" t="s">
        <v>3486</v>
      </c>
    </row>
    <row r="3448" spans="1:1" x14ac:dyDescent="0.25">
      <c r="A3448" s="1" t="s">
        <v>3487</v>
      </c>
    </row>
    <row r="3449" spans="1:1" x14ac:dyDescent="0.25">
      <c r="A3449" s="1" t="s">
        <v>3488</v>
      </c>
    </row>
    <row r="3450" spans="1:1" x14ac:dyDescent="0.25">
      <c r="A3450" s="1" t="s">
        <v>3489</v>
      </c>
    </row>
    <row r="3451" spans="1:1" x14ac:dyDescent="0.25">
      <c r="A3451" s="1" t="s">
        <v>3490</v>
      </c>
    </row>
    <row r="3452" spans="1:1" x14ac:dyDescent="0.25">
      <c r="A3452" s="1" t="s">
        <v>3491</v>
      </c>
    </row>
    <row r="3453" spans="1:1" x14ac:dyDescent="0.25">
      <c r="A3453" s="1" t="s">
        <v>3492</v>
      </c>
    </row>
    <row r="3454" spans="1:1" x14ac:dyDescent="0.25">
      <c r="A3454" s="1" t="s">
        <v>3493</v>
      </c>
    </row>
    <row r="3455" spans="1:1" x14ac:dyDescent="0.25">
      <c r="A3455" s="1" t="s">
        <v>3494</v>
      </c>
    </row>
    <row r="3456" spans="1:1" x14ac:dyDescent="0.25">
      <c r="A3456" s="1" t="s">
        <v>3495</v>
      </c>
    </row>
    <row r="3457" spans="1:1" x14ac:dyDescent="0.25">
      <c r="A3457" s="1" t="s">
        <v>3496</v>
      </c>
    </row>
    <row r="3458" spans="1:1" x14ac:dyDescent="0.25">
      <c r="A3458" s="1" t="s">
        <v>3497</v>
      </c>
    </row>
    <row r="3459" spans="1:1" x14ac:dyDescent="0.25">
      <c r="A3459" s="1" t="s">
        <v>3498</v>
      </c>
    </row>
    <row r="3460" spans="1:1" x14ac:dyDescent="0.25">
      <c r="A3460" s="1" t="s">
        <v>3499</v>
      </c>
    </row>
    <row r="3461" spans="1:1" x14ac:dyDescent="0.25">
      <c r="A3461" s="1" t="s">
        <v>3500</v>
      </c>
    </row>
    <row r="3462" spans="1:1" x14ac:dyDescent="0.25">
      <c r="A3462" s="1" t="s">
        <v>3501</v>
      </c>
    </row>
    <row r="3463" spans="1:1" x14ac:dyDescent="0.25">
      <c r="A3463" s="1" t="s">
        <v>3502</v>
      </c>
    </row>
    <row r="3464" spans="1:1" x14ac:dyDescent="0.25">
      <c r="A3464" s="1" t="s">
        <v>3503</v>
      </c>
    </row>
    <row r="3465" spans="1:1" x14ac:dyDescent="0.25">
      <c r="A3465" s="1" t="s">
        <v>3504</v>
      </c>
    </row>
    <row r="3466" spans="1:1" x14ac:dyDescent="0.25">
      <c r="A3466" s="1" t="s">
        <v>3505</v>
      </c>
    </row>
    <row r="3467" spans="1:1" x14ac:dyDescent="0.25">
      <c r="A3467" s="1" t="s">
        <v>3506</v>
      </c>
    </row>
    <row r="3468" spans="1:1" x14ac:dyDescent="0.25">
      <c r="A3468" s="1" t="s">
        <v>3507</v>
      </c>
    </row>
    <row r="3469" spans="1:1" x14ac:dyDescent="0.25">
      <c r="A3469" s="1" t="s">
        <v>3508</v>
      </c>
    </row>
    <row r="3470" spans="1:1" x14ac:dyDescent="0.25">
      <c r="A3470" s="1" t="s">
        <v>3509</v>
      </c>
    </row>
    <row r="3471" spans="1:1" x14ac:dyDescent="0.25">
      <c r="A3471" s="1" t="s">
        <v>3510</v>
      </c>
    </row>
    <row r="3472" spans="1:1" x14ac:dyDescent="0.25">
      <c r="A3472" s="1" t="s">
        <v>3511</v>
      </c>
    </row>
    <row r="3473" spans="1:1" x14ac:dyDescent="0.25">
      <c r="A3473" s="1" t="s">
        <v>3512</v>
      </c>
    </row>
    <row r="3474" spans="1:1" x14ac:dyDescent="0.25">
      <c r="A3474" s="1" t="s">
        <v>3513</v>
      </c>
    </row>
    <row r="3475" spans="1:1" x14ac:dyDescent="0.25">
      <c r="A3475" s="1" t="s">
        <v>3514</v>
      </c>
    </row>
    <row r="3476" spans="1:1" x14ac:dyDescent="0.25">
      <c r="A3476" s="1" t="s">
        <v>3515</v>
      </c>
    </row>
    <row r="3477" spans="1:1" x14ac:dyDescent="0.25">
      <c r="A3477" s="1" t="s">
        <v>3516</v>
      </c>
    </row>
    <row r="3478" spans="1:1" x14ac:dyDescent="0.25">
      <c r="A3478" s="1" t="s">
        <v>3517</v>
      </c>
    </row>
    <row r="3479" spans="1:1" x14ac:dyDescent="0.25">
      <c r="A3479" s="1" t="s">
        <v>3518</v>
      </c>
    </row>
    <row r="3480" spans="1:1" x14ac:dyDescent="0.25">
      <c r="A3480" s="1" t="s">
        <v>3519</v>
      </c>
    </row>
    <row r="3481" spans="1:1" x14ac:dyDescent="0.25">
      <c r="A3481" s="1" t="s">
        <v>3520</v>
      </c>
    </row>
    <row r="3482" spans="1:1" x14ac:dyDescent="0.25">
      <c r="A3482" s="1" t="s">
        <v>3521</v>
      </c>
    </row>
    <row r="3483" spans="1:1" x14ac:dyDescent="0.25">
      <c r="A3483" s="1" t="s">
        <v>3522</v>
      </c>
    </row>
    <row r="3484" spans="1:1" x14ac:dyDescent="0.25">
      <c r="A3484" s="1" t="s">
        <v>3523</v>
      </c>
    </row>
    <row r="3485" spans="1:1" x14ac:dyDescent="0.25">
      <c r="A3485" s="1" t="s">
        <v>3524</v>
      </c>
    </row>
    <row r="3486" spans="1:1" x14ac:dyDescent="0.25">
      <c r="A3486" s="1" t="s">
        <v>3525</v>
      </c>
    </row>
    <row r="3487" spans="1:1" x14ac:dyDescent="0.25">
      <c r="A3487" s="1" t="s">
        <v>3526</v>
      </c>
    </row>
    <row r="3488" spans="1:1" x14ac:dyDescent="0.25">
      <c r="A3488" s="1" t="s">
        <v>3527</v>
      </c>
    </row>
    <row r="3489" spans="1:1" x14ac:dyDescent="0.25">
      <c r="A3489" s="1" t="s">
        <v>3528</v>
      </c>
    </row>
    <row r="3490" spans="1:1" x14ac:dyDescent="0.25">
      <c r="A3490" s="1" t="s">
        <v>3529</v>
      </c>
    </row>
    <row r="3491" spans="1:1" x14ac:dyDescent="0.25">
      <c r="A3491" s="1" t="s">
        <v>3530</v>
      </c>
    </row>
    <row r="3492" spans="1:1" x14ac:dyDescent="0.25">
      <c r="A3492" s="1" t="s">
        <v>3531</v>
      </c>
    </row>
    <row r="3493" spans="1:1" x14ac:dyDescent="0.25">
      <c r="A3493" s="1" t="s">
        <v>3532</v>
      </c>
    </row>
    <row r="3494" spans="1:1" x14ac:dyDescent="0.25">
      <c r="A3494" s="1" t="s">
        <v>3533</v>
      </c>
    </row>
    <row r="3495" spans="1:1" x14ac:dyDescent="0.25">
      <c r="A3495" s="1" t="s">
        <v>3534</v>
      </c>
    </row>
    <row r="3496" spans="1:1" x14ac:dyDescent="0.25">
      <c r="A3496" s="1" t="s">
        <v>3535</v>
      </c>
    </row>
    <row r="3497" spans="1:1" x14ac:dyDescent="0.25">
      <c r="A3497" s="1" t="s">
        <v>3536</v>
      </c>
    </row>
    <row r="3498" spans="1:1" x14ac:dyDescent="0.25">
      <c r="A3498" s="1" t="s">
        <v>3537</v>
      </c>
    </row>
    <row r="3499" spans="1:1" x14ac:dyDescent="0.25">
      <c r="A3499" s="1" t="s">
        <v>3538</v>
      </c>
    </row>
    <row r="3500" spans="1:1" x14ac:dyDescent="0.25">
      <c r="A3500" s="1" t="s">
        <v>3539</v>
      </c>
    </row>
    <row r="3501" spans="1:1" x14ac:dyDescent="0.25">
      <c r="A3501" s="1" t="s">
        <v>3540</v>
      </c>
    </row>
    <row r="3502" spans="1:1" x14ac:dyDescent="0.25">
      <c r="A3502" s="1" t="s">
        <v>3541</v>
      </c>
    </row>
    <row r="3503" spans="1:1" x14ac:dyDescent="0.25">
      <c r="A3503" s="1" t="s">
        <v>3542</v>
      </c>
    </row>
    <row r="3504" spans="1:1" x14ac:dyDescent="0.25">
      <c r="A3504" s="1" t="s">
        <v>3543</v>
      </c>
    </row>
    <row r="3505" spans="1:1" x14ac:dyDescent="0.25">
      <c r="A3505" s="1" t="s">
        <v>3544</v>
      </c>
    </row>
    <row r="3506" spans="1:1" x14ac:dyDescent="0.25">
      <c r="A3506" s="1" t="s">
        <v>3545</v>
      </c>
    </row>
    <row r="3507" spans="1:1" x14ac:dyDescent="0.25">
      <c r="A3507" s="1" t="s">
        <v>3546</v>
      </c>
    </row>
    <row r="3508" spans="1:1" x14ac:dyDescent="0.25">
      <c r="A3508" s="1" t="s">
        <v>3547</v>
      </c>
    </row>
    <row r="3509" spans="1:1" x14ac:dyDescent="0.25">
      <c r="A3509" s="1" t="s">
        <v>3548</v>
      </c>
    </row>
    <row r="3510" spans="1:1" x14ac:dyDescent="0.25">
      <c r="A3510" s="1" t="s">
        <v>3549</v>
      </c>
    </row>
    <row r="3511" spans="1:1" x14ac:dyDescent="0.25">
      <c r="A3511" s="1" t="s">
        <v>3550</v>
      </c>
    </row>
    <row r="3512" spans="1:1" x14ac:dyDescent="0.25">
      <c r="A3512" s="1" t="s">
        <v>3551</v>
      </c>
    </row>
    <row r="3513" spans="1:1" x14ac:dyDescent="0.25">
      <c r="A3513" s="1" t="s">
        <v>3552</v>
      </c>
    </row>
    <row r="3514" spans="1:1" x14ac:dyDescent="0.25">
      <c r="A3514" s="1" t="s">
        <v>3553</v>
      </c>
    </row>
    <row r="3515" spans="1:1" x14ac:dyDescent="0.25">
      <c r="A3515" s="1" t="s">
        <v>3554</v>
      </c>
    </row>
    <row r="3516" spans="1:1" x14ac:dyDescent="0.25">
      <c r="A3516" s="1" t="s">
        <v>3555</v>
      </c>
    </row>
    <row r="3517" spans="1:1" x14ac:dyDescent="0.25">
      <c r="A3517" s="1" t="s">
        <v>3556</v>
      </c>
    </row>
    <row r="3518" spans="1:1" x14ac:dyDescent="0.25">
      <c r="A3518" s="1" t="s">
        <v>3557</v>
      </c>
    </row>
    <row r="3519" spans="1:1" x14ac:dyDescent="0.25">
      <c r="A3519" s="1" t="s">
        <v>3558</v>
      </c>
    </row>
    <row r="3520" spans="1:1" x14ac:dyDescent="0.25">
      <c r="A3520" s="1" t="s">
        <v>3559</v>
      </c>
    </row>
    <row r="3521" spans="1:1" x14ac:dyDescent="0.25">
      <c r="A3521" s="1" t="s">
        <v>3560</v>
      </c>
    </row>
    <row r="3522" spans="1:1" x14ac:dyDescent="0.25">
      <c r="A3522" s="1" t="s">
        <v>3561</v>
      </c>
    </row>
    <row r="3523" spans="1:1" x14ac:dyDescent="0.25">
      <c r="A3523" s="1" t="s">
        <v>3562</v>
      </c>
    </row>
    <row r="3524" spans="1:1" x14ac:dyDescent="0.25">
      <c r="A3524" s="1" t="s">
        <v>3563</v>
      </c>
    </row>
    <row r="3525" spans="1:1" x14ac:dyDescent="0.25">
      <c r="A3525" s="1" t="s">
        <v>3564</v>
      </c>
    </row>
    <row r="3526" spans="1:1" x14ac:dyDescent="0.25">
      <c r="A3526" s="1" t="s">
        <v>3565</v>
      </c>
    </row>
    <row r="3527" spans="1:1" x14ac:dyDescent="0.25">
      <c r="A3527" s="1" t="s">
        <v>3566</v>
      </c>
    </row>
    <row r="3528" spans="1:1" x14ac:dyDescent="0.25">
      <c r="A3528" s="1" t="s">
        <v>3567</v>
      </c>
    </row>
    <row r="3529" spans="1:1" x14ac:dyDescent="0.25">
      <c r="A3529" s="1" t="s">
        <v>3568</v>
      </c>
    </row>
    <row r="3530" spans="1:1" x14ac:dyDescent="0.25">
      <c r="A3530" s="1" t="s">
        <v>3569</v>
      </c>
    </row>
    <row r="3531" spans="1:1" x14ac:dyDescent="0.25">
      <c r="A3531" s="1" t="s">
        <v>3570</v>
      </c>
    </row>
    <row r="3532" spans="1:1" x14ac:dyDescent="0.25">
      <c r="A3532" s="1" t="s">
        <v>3571</v>
      </c>
    </row>
    <row r="3533" spans="1:1" x14ac:dyDescent="0.25">
      <c r="A3533" s="1" t="s">
        <v>3572</v>
      </c>
    </row>
    <row r="3534" spans="1:1" x14ac:dyDescent="0.25">
      <c r="A3534" s="1" t="s">
        <v>3573</v>
      </c>
    </row>
    <row r="3535" spans="1:1" x14ac:dyDescent="0.25">
      <c r="A3535" s="1" t="s">
        <v>3574</v>
      </c>
    </row>
    <row r="3536" spans="1:1" x14ac:dyDescent="0.25">
      <c r="A3536" s="1" t="s">
        <v>3575</v>
      </c>
    </row>
    <row r="3537" spans="1:1" x14ac:dyDescent="0.25">
      <c r="A3537" s="1" t="s">
        <v>3576</v>
      </c>
    </row>
    <row r="3538" spans="1:1" x14ac:dyDescent="0.25">
      <c r="A3538" s="1" t="s">
        <v>3577</v>
      </c>
    </row>
    <row r="3539" spans="1:1" x14ac:dyDescent="0.25">
      <c r="A3539" s="1" t="s">
        <v>3578</v>
      </c>
    </row>
    <row r="3540" spans="1:1" x14ac:dyDescent="0.25">
      <c r="A3540" s="1" t="s">
        <v>3579</v>
      </c>
    </row>
    <row r="3541" spans="1:1" x14ac:dyDescent="0.25">
      <c r="A3541" s="1" t="s">
        <v>3580</v>
      </c>
    </row>
    <row r="3542" spans="1:1" x14ac:dyDescent="0.25">
      <c r="A3542" s="1" t="s">
        <v>3581</v>
      </c>
    </row>
    <row r="3543" spans="1:1" x14ac:dyDescent="0.25">
      <c r="A3543" s="1" t="s">
        <v>3582</v>
      </c>
    </row>
    <row r="3544" spans="1:1" x14ac:dyDescent="0.25">
      <c r="A3544" s="1" t="s">
        <v>3583</v>
      </c>
    </row>
    <row r="3545" spans="1:1" x14ac:dyDescent="0.25">
      <c r="A3545" s="1" t="s">
        <v>3584</v>
      </c>
    </row>
    <row r="3546" spans="1:1" x14ac:dyDescent="0.25">
      <c r="A3546" s="1" t="s">
        <v>3585</v>
      </c>
    </row>
    <row r="3547" spans="1:1" x14ac:dyDescent="0.25">
      <c r="A3547" s="1" t="s">
        <v>3586</v>
      </c>
    </row>
    <row r="3548" spans="1:1" x14ac:dyDescent="0.25">
      <c r="A3548" s="1" t="s">
        <v>3587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48"/>
  <sheetViews>
    <sheetView workbookViewId="0">
      <selection activeCell="J2" sqref="J2"/>
    </sheetView>
  </sheetViews>
  <sheetFormatPr defaultRowHeight="15" x14ac:dyDescent="0.25"/>
  <cols>
    <col min="1" max="1" width="14.28515625" customWidth="1"/>
    <col min="2" max="2" width="12" customWidth="1"/>
    <col min="3" max="3" width="9.28515625" customWidth="1"/>
    <col min="4" max="4" width="19.5703125" bestFit="1" customWidth="1"/>
    <col min="5" max="5" width="14.7109375" customWidth="1"/>
    <col min="6" max="6" width="15.140625" customWidth="1"/>
    <col min="7" max="7" width="15" customWidth="1"/>
    <col min="8" max="8" width="12.5703125" customWidth="1"/>
    <col min="9" max="9" width="10.42578125" bestFit="1" customWidth="1"/>
    <col min="10" max="10" width="14.28515625" bestFit="1" customWidth="1"/>
    <col min="11" max="11" width="11.140625" bestFit="1" customWidth="1"/>
  </cols>
  <sheetData>
    <row r="1" spans="1:13" x14ac:dyDescent="0.25">
      <c r="A1" t="s">
        <v>0</v>
      </c>
      <c r="B1" t="s">
        <v>1</v>
      </c>
      <c r="C1" t="s">
        <v>2</v>
      </c>
      <c r="D1" t="s">
        <v>3</v>
      </c>
      <c r="E1" t="s">
        <v>4</v>
      </c>
      <c r="F1" t="s">
        <v>5</v>
      </c>
      <c r="G1" t="s">
        <v>6</v>
      </c>
      <c r="H1" t="s">
        <v>7</v>
      </c>
      <c r="I1" t="s">
        <v>8</v>
      </c>
      <c r="J1" s="17" t="s">
        <v>3607</v>
      </c>
      <c r="K1" t="s">
        <v>3600</v>
      </c>
    </row>
    <row r="2" spans="1:13" x14ac:dyDescent="0.25">
      <c r="A2">
        <v>10</v>
      </c>
      <c r="B2" t="s">
        <v>9</v>
      </c>
      <c r="C2">
        <v>38.700000000000003</v>
      </c>
      <c r="D2" t="s">
        <v>10</v>
      </c>
      <c r="E2" t="s">
        <v>11</v>
      </c>
      <c r="F2" t="s">
        <v>13</v>
      </c>
      <c r="G2">
        <v>5</v>
      </c>
      <c r="H2">
        <v>3</v>
      </c>
      <c r="I2" s="13">
        <v>45352</v>
      </c>
      <c r="J2" s="13" t="str">
        <f>TEXT(Table1[[#This Row],[Date]],"[$-en-US]mmm yyyy")</f>
        <v>Mar 2024</v>
      </c>
      <c r="K2" s="13" t="str">
        <f>TEXT(Table1[[#This Row],[Date]],"[$-en-US]ddd")</f>
        <v>Fri</v>
      </c>
      <c r="L2" t="s">
        <v>3588</v>
      </c>
      <c r="M2">
        <f>COUNTBLANK(Table1[])</f>
        <v>0</v>
      </c>
    </row>
    <row r="3" spans="1:13" x14ac:dyDescent="0.25">
      <c r="A3">
        <v>12</v>
      </c>
      <c r="B3" t="s">
        <v>9</v>
      </c>
      <c r="C3">
        <v>38.700000000000003</v>
      </c>
      <c r="D3" t="s">
        <v>14</v>
      </c>
      <c r="E3" t="s">
        <v>15</v>
      </c>
      <c r="F3" t="s">
        <v>13</v>
      </c>
      <c r="G3">
        <v>5</v>
      </c>
      <c r="H3">
        <v>3</v>
      </c>
      <c r="I3" s="13">
        <v>45352</v>
      </c>
      <c r="J3" s="13" t="str">
        <f>TEXT(Table1[[#This Row],[Date]],"[$-en-US]mmm yyyy")</f>
        <v>Mar 2024</v>
      </c>
      <c r="K3" s="13" t="str">
        <f>TEXT(Table1[[#This Row],[Date]],"[$-en-US]ddd")</f>
        <v>Fri</v>
      </c>
    </row>
    <row r="4" spans="1:13" x14ac:dyDescent="0.25">
      <c r="A4">
        <v>12</v>
      </c>
      <c r="B4" t="s">
        <v>9</v>
      </c>
      <c r="C4">
        <v>38.700000000000003</v>
      </c>
      <c r="D4" t="s">
        <v>14</v>
      </c>
      <c r="E4" t="s">
        <v>15</v>
      </c>
      <c r="F4" t="s">
        <v>13</v>
      </c>
      <c r="G4">
        <v>5</v>
      </c>
      <c r="H4">
        <v>3</v>
      </c>
      <c r="I4" s="13">
        <v>45352</v>
      </c>
      <c r="J4" s="13" t="str">
        <f>TEXT(Table1[[#This Row],[Date]],"[$-en-US]mmm yyyy")</f>
        <v>Mar 2024</v>
      </c>
      <c r="K4" s="13" t="str">
        <f>TEXT(Table1[[#This Row],[Date]],"[$-en-US]ddd")</f>
        <v>Fri</v>
      </c>
    </row>
    <row r="5" spans="1:13" x14ac:dyDescent="0.25">
      <c r="A5">
        <v>13</v>
      </c>
      <c r="B5" t="s">
        <v>9</v>
      </c>
      <c r="C5">
        <v>28.9</v>
      </c>
      <c r="D5" t="s">
        <v>16</v>
      </c>
      <c r="E5" t="s">
        <v>15</v>
      </c>
      <c r="F5" t="s">
        <v>13</v>
      </c>
      <c r="G5">
        <v>5</v>
      </c>
      <c r="H5">
        <v>3</v>
      </c>
      <c r="I5" s="13">
        <v>45352</v>
      </c>
      <c r="J5" s="13" t="str">
        <f>TEXT(Table1[[#This Row],[Date]],"[$-en-US]mmm yyyy")</f>
        <v>Mar 2024</v>
      </c>
      <c r="K5" s="13" t="str">
        <f>TEXT(Table1[[#This Row],[Date]],"[$-en-US]ddd")</f>
        <v>Fri</v>
      </c>
    </row>
    <row r="6" spans="1:13" x14ac:dyDescent="0.25">
      <c r="A6">
        <v>13</v>
      </c>
      <c r="B6" t="s">
        <v>9</v>
      </c>
      <c r="C6">
        <v>38.700000000000003</v>
      </c>
      <c r="D6" t="s">
        <v>10</v>
      </c>
      <c r="E6" t="s">
        <v>15</v>
      </c>
      <c r="F6" t="s">
        <v>13</v>
      </c>
      <c r="G6">
        <v>5</v>
      </c>
      <c r="H6">
        <v>3</v>
      </c>
      <c r="I6" s="13">
        <v>45352</v>
      </c>
      <c r="J6" s="13" t="str">
        <f>TEXT(Table1[[#This Row],[Date]],"[$-en-US]mmm yyyy")</f>
        <v>Mar 2024</v>
      </c>
      <c r="K6" s="13" t="str">
        <f>TEXT(Table1[[#This Row],[Date]],"[$-en-US]ddd")</f>
        <v>Fri</v>
      </c>
    </row>
    <row r="7" spans="1:13" x14ac:dyDescent="0.25">
      <c r="A7">
        <v>15</v>
      </c>
      <c r="B7" t="s">
        <v>9</v>
      </c>
      <c r="C7">
        <v>33.799999999999997</v>
      </c>
      <c r="D7" t="s">
        <v>17</v>
      </c>
      <c r="E7" t="s">
        <v>15</v>
      </c>
      <c r="F7" t="s">
        <v>13</v>
      </c>
      <c r="G7">
        <v>5</v>
      </c>
      <c r="H7">
        <v>3</v>
      </c>
      <c r="I7" s="13">
        <v>45352</v>
      </c>
      <c r="J7" s="13" t="str">
        <f>TEXT(Table1[[#This Row],[Date]],"[$-en-US]mmm yyyy")</f>
        <v>Mar 2024</v>
      </c>
      <c r="K7" s="13" t="str">
        <f>TEXT(Table1[[#This Row],[Date]],"[$-en-US]ddd")</f>
        <v>Fri</v>
      </c>
    </row>
    <row r="8" spans="1:13" x14ac:dyDescent="0.25">
      <c r="A8">
        <v>16</v>
      </c>
      <c r="B8" t="s">
        <v>9</v>
      </c>
      <c r="C8">
        <v>38.700000000000003</v>
      </c>
      <c r="D8" t="s">
        <v>14</v>
      </c>
      <c r="E8" t="s">
        <v>15</v>
      </c>
      <c r="F8" t="s">
        <v>13</v>
      </c>
      <c r="G8">
        <v>5</v>
      </c>
      <c r="H8">
        <v>3</v>
      </c>
      <c r="I8" s="13">
        <v>45352</v>
      </c>
      <c r="J8" s="13" t="str">
        <f>TEXT(Table1[[#This Row],[Date]],"[$-en-US]mmm yyyy")</f>
        <v>Mar 2024</v>
      </c>
      <c r="K8" s="13" t="str">
        <f>TEXT(Table1[[#This Row],[Date]],"[$-en-US]ddd")</f>
        <v>Fri</v>
      </c>
    </row>
    <row r="9" spans="1:13" x14ac:dyDescent="0.25">
      <c r="A9">
        <v>18</v>
      </c>
      <c r="B9" t="s">
        <v>9</v>
      </c>
      <c r="C9">
        <v>33.799999999999997</v>
      </c>
      <c r="D9" t="s">
        <v>17</v>
      </c>
      <c r="E9" t="s">
        <v>18</v>
      </c>
      <c r="F9" t="s">
        <v>13</v>
      </c>
      <c r="G9">
        <v>5</v>
      </c>
      <c r="H9">
        <v>3</v>
      </c>
      <c r="I9" s="13">
        <v>45352</v>
      </c>
      <c r="J9" s="13" t="str">
        <f>TEXT(Table1[[#This Row],[Date]],"[$-en-US]mmm yyyy")</f>
        <v>Mar 2024</v>
      </c>
      <c r="K9" s="13" t="str">
        <f>TEXT(Table1[[#This Row],[Date]],"[$-en-US]ddd")</f>
        <v>Fri</v>
      </c>
    </row>
    <row r="10" spans="1:13" x14ac:dyDescent="0.25">
      <c r="A10">
        <v>19</v>
      </c>
      <c r="B10" t="s">
        <v>9</v>
      </c>
      <c r="C10">
        <v>38.700000000000003</v>
      </c>
      <c r="D10" t="s">
        <v>19</v>
      </c>
      <c r="E10" t="s">
        <v>18</v>
      </c>
      <c r="F10" t="s">
        <v>13</v>
      </c>
      <c r="G10">
        <v>5</v>
      </c>
      <c r="H10">
        <v>3</v>
      </c>
      <c r="I10" s="13">
        <v>45352</v>
      </c>
      <c r="J10" s="13" t="str">
        <f>TEXT(Table1[[#This Row],[Date]],"[$-en-US]mmm yyyy")</f>
        <v>Mar 2024</v>
      </c>
      <c r="K10" s="13" t="str">
        <f>TEXT(Table1[[#This Row],[Date]],"[$-en-US]ddd")</f>
        <v>Fri</v>
      </c>
    </row>
    <row r="11" spans="1:13" x14ac:dyDescent="0.25">
      <c r="A11">
        <v>19</v>
      </c>
      <c r="B11" t="s">
        <v>9</v>
      </c>
      <c r="C11">
        <v>33.799999999999997</v>
      </c>
      <c r="D11" t="s">
        <v>17</v>
      </c>
      <c r="E11" t="s">
        <v>18</v>
      </c>
      <c r="F11" t="s">
        <v>13</v>
      </c>
      <c r="G11">
        <v>5</v>
      </c>
      <c r="H11">
        <v>3</v>
      </c>
      <c r="I11" s="13">
        <v>45352</v>
      </c>
      <c r="J11" s="13" t="str">
        <f>TEXT(Table1[[#This Row],[Date]],"[$-en-US]mmm yyyy")</f>
        <v>Mar 2024</v>
      </c>
      <c r="K11" s="13" t="str">
        <f>TEXT(Table1[[#This Row],[Date]],"[$-en-US]ddd")</f>
        <v>Fri</v>
      </c>
    </row>
    <row r="12" spans="1:13" x14ac:dyDescent="0.25">
      <c r="A12">
        <v>19</v>
      </c>
      <c r="B12" t="s">
        <v>9</v>
      </c>
      <c r="C12">
        <v>33.799999999999997</v>
      </c>
      <c r="D12" t="s">
        <v>17</v>
      </c>
      <c r="E12" t="s">
        <v>18</v>
      </c>
      <c r="F12" t="s">
        <v>13</v>
      </c>
      <c r="G12">
        <v>5</v>
      </c>
      <c r="H12">
        <v>3</v>
      </c>
      <c r="I12" s="13">
        <v>45352</v>
      </c>
      <c r="J12" s="13" t="str">
        <f>TEXT(Table1[[#This Row],[Date]],"[$-en-US]mmm yyyy")</f>
        <v>Mar 2024</v>
      </c>
      <c r="K12" s="13" t="str">
        <f>TEXT(Table1[[#This Row],[Date]],"[$-en-US]ddd")</f>
        <v>Fri</v>
      </c>
    </row>
    <row r="13" spans="1:13" x14ac:dyDescent="0.25">
      <c r="A13">
        <v>10</v>
      </c>
      <c r="B13" t="s">
        <v>9</v>
      </c>
      <c r="C13">
        <v>28.9</v>
      </c>
      <c r="D13" t="s">
        <v>16</v>
      </c>
      <c r="E13" t="s">
        <v>11</v>
      </c>
      <c r="F13" t="s">
        <v>13</v>
      </c>
      <c r="G13">
        <v>6</v>
      </c>
      <c r="H13">
        <v>3</v>
      </c>
      <c r="I13" s="13">
        <v>45353</v>
      </c>
      <c r="J13" s="13" t="str">
        <f>TEXT(Table1[[#This Row],[Date]],"[$-en-US]mmm yyyy")</f>
        <v>Mar 2024</v>
      </c>
      <c r="K13" s="13" t="str">
        <f>TEXT(Table1[[#This Row],[Date]],"[$-en-US]ddd")</f>
        <v>Sat</v>
      </c>
    </row>
    <row r="14" spans="1:13" x14ac:dyDescent="0.25">
      <c r="A14">
        <v>10</v>
      </c>
      <c r="B14" t="s">
        <v>9</v>
      </c>
      <c r="C14">
        <v>33.799999999999997</v>
      </c>
      <c r="D14" t="s">
        <v>17</v>
      </c>
      <c r="E14" t="s">
        <v>11</v>
      </c>
      <c r="F14" t="s">
        <v>13</v>
      </c>
      <c r="G14">
        <v>6</v>
      </c>
      <c r="H14">
        <v>3</v>
      </c>
      <c r="I14" s="13">
        <v>45353</v>
      </c>
      <c r="J14" s="13" t="str">
        <f>TEXT(Table1[[#This Row],[Date]],"[$-en-US]mmm yyyy")</f>
        <v>Mar 2024</v>
      </c>
      <c r="K14" s="13" t="str">
        <f>TEXT(Table1[[#This Row],[Date]],"[$-en-US]ddd")</f>
        <v>Sat</v>
      </c>
    </row>
    <row r="15" spans="1:13" x14ac:dyDescent="0.25">
      <c r="A15">
        <v>11</v>
      </c>
      <c r="B15" t="s">
        <v>9</v>
      </c>
      <c r="C15">
        <v>33.799999999999997</v>
      </c>
      <c r="D15" t="s">
        <v>17</v>
      </c>
      <c r="E15" t="s">
        <v>11</v>
      </c>
      <c r="F15" t="s">
        <v>13</v>
      </c>
      <c r="G15">
        <v>6</v>
      </c>
      <c r="H15">
        <v>3</v>
      </c>
      <c r="I15" s="13">
        <v>45353</v>
      </c>
      <c r="J15" s="13" t="str">
        <f>TEXT(Table1[[#This Row],[Date]],"[$-en-US]mmm yyyy")</f>
        <v>Mar 2024</v>
      </c>
      <c r="K15" s="13" t="str">
        <f>TEXT(Table1[[#This Row],[Date]],"[$-en-US]ddd")</f>
        <v>Sat</v>
      </c>
    </row>
    <row r="16" spans="1:13" x14ac:dyDescent="0.25">
      <c r="A16">
        <v>14</v>
      </c>
      <c r="B16" t="s">
        <v>9</v>
      </c>
      <c r="C16">
        <v>28.9</v>
      </c>
      <c r="D16" t="s">
        <v>16</v>
      </c>
      <c r="E16" t="s">
        <v>15</v>
      </c>
      <c r="F16" t="s">
        <v>13</v>
      </c>
      <c r="G16">
        <v>6</v>
      </c>
      <c r="H16">
        <v>3</v>
      </c>
      <c r="I16" s="13">
        <v>45353</v>
      </c>
      <c r="J16" s="13" t="str">
        <f>TEXT(Table1[[#This Row],[Date]],"[$-en-US]mmm yyyy")</f>
        <v>Mar 2024</v>
      </c>
      <c r="K16" s="13" t="str">
        <f>TEXT(Table1[[#This Row],[Date]],"[$-en-US]ddd")</f>
        <v>Sat</v>
      </c>
    </row>
    <row r="17" spans="1:11" x14ac:dyDescent="0.25">
      <c r="A17">
        <v>16</v>
      </c>
      <c r="B17" t="s">
        <v>9</v>
      </c>
      <c r="C17">
        <v>33.799999999999997</v>
      </c>
      <c r="D17" t="s">
        <v>17</v>
      </c>
      <c r="E17" t="s">
        <v>15</v>
      </c>
      <c r="F17" t="s">
        <v>13</v>
      </c>
      <c r="G17">
        <v>6</v>
      </c>
      <c r="H17">
        <v>3</v>
      </c>
      <c r="I17" s="13">
        <v>45353</v>
      </c>
      <c r="J17" s="13" t="str">
        <f>TEXT(Table1[[#This Row],[Date]],"[$-en-US]mmm yyyy")</f>
        <v>Mar 2024</v>
      </c>
      <c r="K17" s="13" t="str">
        <f>TEXT(Table1[[#This Row],[Date]],"[$-en-US]ddd")</f>
        <v>Sat</v>
      </c>
    </row>
    <row r="18" spans="1:11" x14ac:dyDescent="0.25">
      <c r="A18">
        <v>17</v>
      </c>
      <c r="B18" t="s">
        <v>9</v>
      </c>
      <c r="C18">
        <v>28.9</v>
      </c>
      <c r="D18" t="s">
        <v>16</v>
      </c>
      <c r="E18" t="s">
        <v>18</v>
      </c>
      <c r="F18" t="s">
        <v>13</v>
      </c>
      <c r="G18">
        <v>6</v>
      </c>
      <c r="H18">
        <v>3</v>
      </c>
      <c r="I18" s="13">
        <v>45353</v>
      </c>
      <c r="J18" s="13" t="str">
        <f>TEXT(Table1[[#This Row],[Date]],"[$-en-US]mmm yyyy")</f>
        <v>Mar 2024</v>
      </c>
      <c r="K18" s="13" t="str">
        <f>TEXT(Table1[[#This Row],[Date]],"[$-en-US]ddd")</f>
        <v>Sat</v>
      </c>
    </row>
    <row r="19" spans="1:11" x14ac:dyDescent="0.25">
      <c r="A19">
        <v>10</v>
      </c>
      <c r="B19" t="s">
        <v>9</v>
      </c>
      <c r="C19">
        <v>38.700000000000003</v>
      </c>
      <c r="D19" t="s">
        <v>10</v>
      </c>
      <c r="E19" t="s">
        <v>11</v>
      </c>
      <c r="F19" t="s">
        <v>13</v>
      </c>
      <c r="G19">
        <v>7</v>
      </c>
      <c r="H19">
        <v>3</v>
      </c>
      <c r="I19" s="13">
        <v>45354</v>
      </c>
      <c r="J19" s="13" t="str">
        <f>TEXT(Table1[[#This Row],[Date]],"[$-en-US]mmm yyyy")</f>
        <v>Mar 2024</v>
      </c>
      <c r="K19" s="13" t="str">
        <f>TEXT(Table1[[#This Row],[Date]],"[$-en-US]ddd")</f>
        <v>Sun</v>
      </c>
    </row>
    <row r="20" spans="1:11" x14ac:dyDescent="0.25">
      <c r="A20">
        <v>11</v>
      </c>
      <c r="B20" t="s">
        <v>9</v>
      </c>
      <c r="C20">
        <v>28.9</v>
      </c>
      <c r="D20" t="s">
        <v>22</v>
      </c>
      <c r="E20" t="s">
        <v>11</v>
      </c>
      <c r="F20" t="s">
        <v>13</v>
      </c>
      <c r="G20">
        <v>7</v>
      </c>
      <c r="H20">
        <v>3</v>
      </c>
      <c r="I20" s="13">
        <v>45354</v>
      </c>
      <c r="J20" s="13" t="str">
        <f>TEXT(Table1[[#This Row],[Date]],"[$-en-US]mmm yyyy")</f>
        <v>Mar 2024</v>
      </c>
      <c r="K20" s="13" t="str">
        <f>TEXT(Table1[[#This Row],[Date]],"[$-en-US]ddd")</f>
        <v>Sun</v>
      </c>
    </row>
    <row r="21" spans="1:11" x14ac:dyDescent="0.25">
      <c r="A21">
        <v>12</v>
      </c>
      <c r="B21" t="s">
        <v>9</v>
      </c>
      <c r="C21">
        <v>28.9</v>
      </c>
      <c r="D21" t="s">
        <v>16</v>
      </c>
      <c r="E21" t="s">
        <v>15</v>
      </c>
      <c r="F21" t="s">
        <v>13</v>
      </c>
      <c r="G21">
        <v>7</v>
      </c>
      <c r="H21">
        <v>3</v>
      </c>
      <c r="I21" s="13">
        <v>45354</v>
      </c>
      <c r="J21" s="13" t="str">
        <f>TEXT(Table1[[#This Row],[Date]],"[$-en-US]mmm yyyy")</f>
        <v>Mar 2024</v>
      </c>
      <c r="K21" s="13" t="str">
        <f>TEXT(Table1[[#This Row],[Date]],"[$-en-US]ddd")</f>
        <v>Sun</v>
      </c>
    </row>
    <row r="22" spans="1:11" x14ac:dyDescent="0.25">
      <c r="A22">
        <v>13</v>
      </c>
      <c r="B22" t="s">
        <v>9</v>
      </c>
      <c r="C22">
        <v>38.700000000000003</v>
      </c>
      <c r="D22" t="s">
        <v>14</v>
      </c>
      <c r="E22" t="s">
        <v>15</v>
      </c>
      <c r="F22" t="s">
        <v>13</v>
      </c>
      <c r="G22">
        <v>7</v>
      </c>
      <c r="H22">
        <v>3</v>
      </c>
      <c r="I22" s="13">
        <v>45354</v>
      </c>
      <c r="J22" s="13" t="str">
        <f>TEXT(Table1[[#This Row],[Date]],"[$-en-US]mmm yyyy")</f>
        <v>Mar 2024</v>
      </c>
      <c r="K22" s="13" t="str">
        <f>TEXT(Table1[[#This Row],[Date]],"[$-en-US]ddd")</f>
        <v>Sun</v>
      </c>
    </row>
    <row r="23" spans="1:11" x14ac:dyDescent="0.25">
      <c r="A23">
        <v>17</v>
      </c>
      <c r="B23" t="s">
        <v>9</v>
      </c>
      <c r="C23">
        <v>38.700000000000003</v>
      </c>
      <c r="D23" t="s">
        <v>19</v>
      </c>
      <c r="E23" t="s">
        <v>18</v>
      </c>
      <c r="F23" t="s">
        <v>13</v>
      </c>
      <c r="G23">
        <v>7</v>
      </c>
      <c r="H23">
        <v>3</v>
      </c>
      <c r="I23" s="13">
        <v>45354</v>
      </c>
      <c r="J23" s="13" t="str">
        <f>TEXT(Table1[[#This Row],[Date]],"[$-en-US]mmm yyyy")</f>
        <v>Mar 2024</v>
      </c>
      <c r="K23" s="13" t="str">
        <f>TEXT(Table1[[#This Row],[Date]],"[$-en-US]ddd")</f>
        <v>Sun</v>
      </c>
    </row>
    <row r="24" spans="1:11" x14ac:dyDescent="0.25">
      <c r="A24">
        <v>17</v>
      </c>
      <c r="B24" t="s">
        <v>9</v>
      </c>
      <c r="C24">
        <v>28.9</v>
      </c>
      <c r="D24" t="s">
        <v>22</v>
      </c>
      <c r="E24" t="s">
        <v>18</v>
      </c>
      <c r="F24" t="s">
        <v>13</v>
      </c>
      <c r="G24">
        <v>7</v>
      </c>
      <c r="H24">
        <v>3</v>
      </c>
      <c r="I24" s="13">
        <v>45354</v>
      </c>
      <c r="J24" s="13" t="str">
        <f>TEXT(Table1[[#This Row],[Date]],"[$-en-US]mmm yyyy")</f>
        <v>Mar 2024</v>
      </c>
      <c r="K24" s="13" t="str">
        <f>TEXT(Table1[[#This Row],[Date]],"[$-en-US]ddd")</f>
        <v>Sun</v>
      </c>
    </row>
    <row r="25" spans="1:11" x14ac:dyDescent="0.25">
      <c r="A25">
        <v>18</v>
      </c>
      <c r="B25" t="s">
        <v>9</v>
      </c>
      <c r="C25">
        <v>33.799999999999997</v>
      </c>
      <c r="D25" t="s">
        <v>17</v>
      </c>
      <c r="E25" t="s">
        <v>18</v>
      </c>
      <c r="F25" t="s">
        <v>13</v>
      </c>
      <c r="G25">
        <v>7</v>
      </c>
      <c r="H25">
        <v>3</v>
      </c>
      <c r="I25" s="13">
        <v>45354</v>
      </c>
      <c r="J25" s="13" t="str">
        <f>TEXT(Table1[[#This Row],[Date]],"[$-en-US]mmm yyyy")</f>
        <v>Mar 2024</v>
      </c>
      <c r="K25" s="13" t="str">
        <f>TEXT(Table1[[#This Row],[Date]],"[$-en-US]ddd")</f>
        <v>Sun</v>
      </c>
    </row>
    <row r="26" spans="1:11" x14ac:dyDescent="0.25">
      <c r="A26">
        <v>18</v>
      </c>
      <c r="B26" t="s">
        <v>9</v>
      </c>
      <c r="C26">
        <v>33.799999999999997</v>
      </c>
      <c r="D26" t="s">
        <v>17</v>
      </c>
      <c r="E26" t="s">
        <v>18</v>
      </c>
      <c r="F26" t="s">
        <v>13</v>
      </c>
      <c r="G26">
        <v>7</v>
      </c>
      <c r="H26">
        <v>3</v>
      </c>
      <c r="I26" s="13">
        <v>45354</v>
      </c>
      <c r="J26" s="13" t="str">
        <f>TEXT(Table1[[#This Row],[Date]],"[$-en-US]mmm yyyy")</f>
        <v>Mar 2024</v>
      </c>
      <c r="K26" s="13" t="str">
        <f>TEXT(Table1[[#This Row],[Date]],"[$-en-US]ddd")</f>
        <v>Sun</v>
      </c>
    </row>
    <row r="27" spans="1:11" x14ac:dyDescent="0.25">
      <c r="A27">
        <v>18</v>
      </c>
      <c r="B27" t="s">
        <v>9</v>
      </c>
      <c r="C27">
        <v>38.700000000000003</v>
      </c>
      <c r="D27" t="s">
        <v>14</v>
      </c>
      <c r="E27" t="s">
        <v>18</v>
      </c>
      <c r="F27" t="s">
        <v>13</v>
      </c>
      <c r="G27">
        <v>7</v>
      </c>
      <c r="H27">
        <v>3</v>
      </c>
      <c r="I27" s="13">
        <v>45354</v>
      </c>
      <c r="J27" s="13" t="str">
        <f>TEXT(Table1[[#This Row],[Date]],"[$-en-US]mmm yyyy")</f>
        <v>Mar 2024</v>
      </c>
      <c r="K27" s="13" t="str">
        <f>TEXT(Table1[[#This Row],[Date]],"[$-en-US]ddd")</f>
        <v>Sun</v>
      </c>
    </row>
    <row r="28" spans="1:11" x14ac:dyDescent="0.25">
      <c r="A28">
        <v>10</v>
      </c>
      <c r="B28" t="s">
        <v>9</v>
      </c>
      <c r="C28">
        <v>38.700000000000003</v>
      </c>
      <c r="D28" t="s">
        <v>10</v>
      </c>
      <c r="E28" t="s">
        <v>11</v>
      </c>
      <c r="F28" t="s">
        <v>13</v>
      </c>
      <c r="G28">
        <v>1</v>
      </c>
      <c r="H28">
        <v>3</v>
      </c>
      <c r="I28" s="13">
        <v>45355</v>
      </c>
      <c r="J28" s="13" t="str">
        <f>TEXT(Table1[[#This Row],[Date]],"[$-en-US]mmm yyyy")</f>
        <v>Mar 2024</v>
      </c>
      <c r="K28" s="13" t="str">
        <f>TEXT(Table1[[#This Row],[Date]],"[$-en-US]ddd")</f>
        <v>Mon</v>
      </c>
    </row>
    <row r="29" spans="1:11" x14ac:dyDescent="0.25">
      <c r="A29">
        <v>10</v>
      </c>
      <c r="B29" t="s">
        <v>9</v>
      </c>
      <c r="C29">
        <v>38.700000000000003</v>
      </c>
      <c r="D29" t="s">
        <v>10</v>
      </c>
      <c r="E29" t="s">
        <v>11</v>
      </c>
      <c r="F29" t="s">
        <v>13</v>
      </c>
      <c r="G29">
        <v>1</v>
      </c>
      <c r="H29">
        <v>3</v>
      </c>
      <c r="I29" s="13">
        <v>45355</v>
      </c>
      <c r="J29" s="13" t="str">
        <f>TEXT(Table1[[#This Row],[Date]],"[$-en-US]mmm yyyy")</f>
        <v>Mar 2024</v>
      </c>
      <c r="K29" s="13" t="str">
        <f>TEXT(Table1[[#This Row],[Date]],"[$-en-US]ddd")</f>
        <v>Mon</v>
      </c>
    </row>
    <row r="30" spans="1:11" x14ac:dyDescent="0.25">
      <c r="A30">
        <v>11</v>
      </c>
      <c r="B30" t="s">
        <v>9</v>
      </c>
      <c r="C30">
        <v>33.799999999999997</v>
      </c>
      <c r="D30" t="s">
        <v>17</v>
      </c>
      <c r="E30" t="s">
        <v>11</v>
      </c>
      <c r="F30" t="s">
        <v>13</v>
      </c>
      <c r="G30">
        <v>1</v>
      </c>
      <c r="H30">
        <v>3</v>
      </c>
      <c r="I30" s="13">
        <v>45355</v>
      </c>
      <c r="J30" s="13" t="str">
        <f>TEXT(Table1[[#This Row],[Date]],"[$-en-US]mmm yyyy")</f>
        <v>Mar 2024</v>
      </c>
      <c r="K30" s="13" t="str">
        <f>TEXT(Table1[[#This Row],[Date]],"[$-en-US]ddd")</f>
        <v>Mon</v>
      </c>
    </row>
    <row r="31" spans="1:11" x14ac:dyDescent="0.25">
      <c r="A31">
        <v>14</v>
      </c>
      <c r="B31" t="s">
        <v>9</v>
      </c>
      <c r="C31">
        <v>24</v>
      </c>
      <c r="D31" t="s">
        <v>24</v>
      </c>
      <c r="E31" t="s">
        <v>15</v>
      </c>
      <c r="F31" t="s">
        <v>13</v>
      </c>
      <c r="G31">
        <v>1</v>
      </c>
      <c r="H31">
        <v>3</v>
      </c>
      <c r="I31" s="13">
        <v>45355</v>
      </c>
      <c r="J31" s="13" t="str">
        <f>TEXT(Table1[[#This Row],[Date]],"[$-en-US]mmm yyyy")</f>
        <v>Mar 2024</v>
      </c>
      <c r="K31" s="13" t="str">
        <f>TEXT(Table1[[#This Row],[Date]],"[$-en-US]ddd")</f>
        <v>Mon</v>
      </c>
    </row>
    <row r="32" spans="1:11" x14ac:dyDescent="0.25">
      <c r="A32">
        <v>9</v>
      </c>
      <c r="B32" t="s">
        <v>9</v>
      </c>
      <c r="C32">
        <v>38.700000000000003</v>
      </c>
      <c r="D32" t="s">
        <v>10</v>
      </c>
      <c r="E32" t="s">
        <v>11</v>
      </c>
      <c r="F32" t="s">
        <v>13</v>
      </c>
      <c r="G32">
        <v>2</v>
      </c>
      <c r="H32">
        <v>3</v>
      </c>
      <c r="I32" s="13">
        <v>45356</v>
      </c>
      <c r="J32" s="13" t="str">
        <f>TEXT(Table1[[#This Row],[Date]],"[$-en-US]mmm yyyy")</f>
        <v>Mar 2024</v>
      </c>
      <c r="K32" s="13" t="str">
        <f>TEXT(Table1[[#This Row],[Date]],"[$-en-US]ddd")</f>
        <v>Tue</v>
      </c>
    </row>
    <row r="33" spans="1:11" x14ac:dyDescent="0.25">
      <c r="A33">
        <v>14</v>
      </c>
      <c r="B33" t="s">
        <v>9</v>
      </c>
      <c r="C33">
        <v>38.700000000000003</v>
      </c>
      <c r="D33" t="s">
        <v>10</v>
      </c>
      <c r="E33" t="s">
        <v>15</v>
      </c>
      <c r="F33" t="s">
        <v>13</v>
      </c>
      <c r="G33">
        <v>2</v>
      </c>
      <c r="H33">
        <v>3</v>
      </c>
      <c r="I33" s="13">
        <v>45356</v>
      </c>
      <c r="J33" s="13" t="str">
        <f>TEXT(Table1[[#This Row],[Date]],"[$-en-US]mmm yyyy")</f>
        <v>Mar 2024</v>
      </c>
      <c r="K33" s="13" t="str">
        <f>TEXT(Table1[[#This Row],[Date]],"[$-en-US]ddd")</f>
        <v>Tue</v>
      </c>
    </row>
    <row r="34" spans="1:11" x14ac:dyDescent="0.25">
      <c r="A34">
        <v>17</v>
      </c>
      <c r="B34" t="s">
        <v>9</v>
      </c>
      <c r="C34">
        <v>38.700000000000003</v>
      </c>
      <c r="D34" t="s">
        <v>10</v>
      </c>
      <c r="E34" t="s">
        <v>18</v>
      </c>
      <c r="F34" t="s">
        <v>13</v>
      </c>
      <c r="G34">
        <v>2</v>
      </c>
      <c r="H34">
        <v>3</v>
      </c>
      <c r="I34" s="13">
        <v>45356</v>
      </c>
      <c r="J34" s="13" t="str">
        <f>TEXT(Table1[[#This Row],[Date]],"[$-en-US]mmm yyyy")</f>
        <v>Mar 2024</v>
      </c>
      <c r="K34" s="13" t="str">
        <f>TEXT(Table1[[#This Row],[Date]],"[$-en-US]ddd")</f>
        <v>Tue</v>
      </c>
    </row>
    <row r="35" spans="1:11" x14ac:dyDescent="0.25">
      <c r="A35">
        <v>17</v>
      </c>
      <c r="B35" t="s">
        <v>9</v>
      </c>
      <c r="C35">
        <v>38.700000000000003</v>
      </c>
      <c r="D35" t="s">
        <v>14</v>
      </c>
      <c r="E35" t="s">
        <v>18</v>
      </c>
      <c r="F35" t="s">
        <v>13</v>
      </c>
      <c r="G35">
        <v>2</v>
      </c>
      <c r="H35">
        <v>3</v>
      </c>
      <c r="I35" s="13">
        <v>45356</v>
      </c>
      <c r="J35" s="13" t="str">
        <f>TEXT(Table1[[#This Row],[Date]],"[$-en-US]mmm yyyy")</f>
        <v>Mar 2024</v>
      </c>
      <c r="K35" s="13" t="str">
        <f>TEXT(Table1[[#This Row],[Date]],"[$-en-US]ddd")</f>
        <v>Tue</v>
      </c>
    </row>
    <row r="36" spans="1:11" x14ac:dyDescent="0.25">
      <c r="A36">
        <v>17</v>
      </c>
      <c r="B36" t="s">
        <v>9</v>
      </c>
      <c r="C36">
        <v>38.700000000000003</v>
      </c>
      <c r="D36" t="s">
        <v>19</v>
      </c>
      <c r="E36" t="s">
        <v>18</v>
      </c>
      <c r="F36" t="s">
        <v>13</v>
      </c>
      <c r="G36">
        <v>2</v>
      </c>
      <c r="H36">
        <v>3</v>
      </c>
      <c r="I36" s="13">
        <v>45356</v>
      </c>
      <c r="J36" s="13" t="str">
        <f>TEXT(Table1[[#This Row],[Date]],"[$-en-US]mmm yyyy")</f>
        <v>Mar 2024</v>
      </c>
      <c r="K36" s="13" t="str">
        <f>TEXT(Table1[[#This Row],[Date]],"[$-en-US]ddd")</f>
        <v>Tue</v>
      </c>
    </row>
    <row r="37" spans="1:11" x14ac:dyDescent="0.25">
      <c r="A37">
        <v>17</v>
      </c>
      <c r="B37" t="s">
        <v>9</v>
      </c>
      <c r="C37">
        <v>38.700000000000003</v>
      </c>
      <c r="D37" t="s">
        <v>14</v>
      </c>
      <c r="E37" t="s">
        <v>18</v>
      </c>
      <c r="F37" t="s">
        <v>13</v>
      </c>
      <c r="G37">
        <v>2</v>
      </c>
      <c r="H37">
        <v>3</v>
      </c>
      <c r="I37" s="13">
        <v>45356</v>
      </c>
      <c r="J37" s="13" t="str">
        <f>TEXT(Table1[[#This Row],[Date]],"[$-en-US]mmm yyyy")</f>
        <v>Mar 2024</v>
      </c>
      <c r="K37" s="13" t="str">
        <f>TEXT(Table1[[#This Row],[Date]],"[$-en-US]ddd")</f>
        <v>Tue</v>
      </c>
    </row>
    <row r="38" spans="1:11" x14ac:dyDescent="0.25">
      <c r="A38">
        <v>17</v>
      </c>
      <c r="B38" t="s">
        <v>9</v>
      </c>
      <c r="C38">
        <v>38.700000000000003</v>
      </c>
      <c r="D38" t="s">
        <v>14</v>
      </c>
      <c r="E38" t="s">
        <v>18</v>
      </c>
      <c r="F38" t="s">
        <v>13</v>
      </c>
      <c r="G38">
        <v>2</v>
      </c>
      <c r="H38">
        <v>3</v>
      </c>
      <c r="I38" s="13">
        <v>45356</v>
      </c>
      <c r="J38" s="13" t="str">
        <f>TEXT(Table1[[#This Row],[Date]],"[$-en-US]mmm yyyy")</f>
        <v>Mar 2024</v>
      </c>
      <c r="K38" s="13" t="str">
        <f>TEXT(Table1[[#This Row],[Date]],"[$-en-US]ddd")</f>
        <v>Tue</v>
      </c>
    </row>
    <row r="39" spans="1:11" x14ac:dyDescent="0.25">
      <c r="A39">
        <v>17</v>
      </c>
      <c r="B39" t="s">
        <v>9</v>
      </c>
      <c r="C39">
        <v>28.9</v>
      </c>
      <c r="D39" t="s">
        <v>22</v>
      </c>
      <c r="E39" t="s">
        <v>18</v>
      </c>
      <c r="F39" t="s">
        <v>13</v>
      </c>
      <c r="G39">
        <v>2</v>
      </c>
      <c r="H39">
        <v>3</v>
      </c>
      <c r="I39" s="13">
        <v>45356</v>
      </c>
      <c r="J39" s="13" t="str">
        <f>TEXT(Table1[[#This Row],[Date]],"[$-en-US]mmm yyyy")</f>
        <v>Mar 2024</v>
      </c>
      <c r="K39" s="13" t="str">
        <f>TEXT(Table1[[#This Row],[Date]],"[$-en-US]ddd")</f>
        <v>Tue</v>
      </c>
    </row>
    <row r="40" spans="1:11" x14ac:dyDescent="0.25">
      <c r="A40">
        <v>18</v>
      </c>
      <c r="B40" t="s">
        <v>9</v>
      </c>
      <c r="C40">
        <v>38.700000000000003</v>
      </c>
      <c r="D40" t="s">
        <v>14</v>
      </c>
      <c r="E40" t="s">
        <v>18</v>
      </c>
      <c r="F40" t="s">
        <v>13</v>
      </c>
      <c r="G40">
        <v>2</v>
      </c>
      <c r="H40">
        <v>3</v>
      </c>
      <c r="I40" s="13">
        <v>45356</v>
      </c>
      <c r="J40" s="13" t="str">
        <f>TEXT(Table1[[#This Row],[Date]],"[$-en-US]mmm yyyy")</f>
        <v>Mar 2024</v>
      </c>
      <c r="K40" s="13" t="str">
        <f>TEXT(Table1[[#This Row],[Date]],"[$-en-US]ddd")</f>
        <v>Tue</v>
      </c>
    </row>
    <row r="41" spans="1:11" x14ac:dyDescent="0.25">
      <c r="A41">
        <v>13</v>
      </c>
      <c r="B41" t="s">
        <v>9</v>
      </c>
      <c r="C41">
        <v>28.9</v>
      </c>
      <c r="D41" t="s">
        <v>16</v>
      </c>
      <c r="E41" t="s">
        <v>15</v>
      </c>
      <c r="F41" t="s">
        <v>13</v>
      </c>
      <c r="G41">
        <v>3</v>
      </c>
      <c r="H41">
        <v>3</v>
      </c>
      <c r="I41" s="13">
        <v>45357</v>
      </c>
      <c r="J41" s="13" t="str">
        <f>TEXT(Table1[[#This Row],[Date]],"[$-en-US]mmm yyyy")</f>
        <v>Mar 2024</v>
      </c>
      <c r="K41" s="13" t="str">
        <f>TEXT(Table1[[#This Row],[Date]],"[$-en-US]ddd")</f>
        <v>Wed</v>
      </c>
    </row>
    <row r="42" spans="1:11" x14ac:dyDescent="0.25">
      <c r="A42">
        <v>13</v>
      </c>
      <c r="B42" t="s">
        <v>9</v>
      </c>
      <c r="C42">
        <v>28.9</v>
      </c>
      <c r="D42" t="s">
        <v>22</v>
      </c>
      <c r="E42" t="s">
        <v>15</v>
      </c>
      <c r="F42" t="s">
        <v>13</v>
      </c>
      <c r="G42">
        <v>3</v>
      </c>
      <c r="H42">
        <v>3</v>
      </c>
      <c r="I42" s="13">
        <v>45357</v>
      </c>
      <c r="J42" s="13" t="str">
        <f>TEXT(Table1[[#This Row],[Date]],"[$-en-US]mmm yyyy")</f>
        <v>Mar 2024</v>
      </c>
      <c r="K42" s="13" t="str">
        <f>TEXT(Table1[[#This Row],[Date]],"[$-en-US]ddd")</f>
        <v>Wed</v>
      </c>
    </row>
    <row r="43" spans="1:11" x14ac:dyDescent="0.25">
      <c r="A43">
        <v>14</v>
      </c>
      <c r="B43" t="s">
        <v>9</v>
      </c>
      <c r="C43">
        <v>38.700000000000003</v>
      </c>
      <c r="D43" t="s">
        <v>27</v>
      </c>
      <c r="E43" t="s">
        <v>15</v>
      </c>
      <c r="F43" t="s">
        <v>13</v>
      </c>
      <c r="G43">
        <v>3</v>
      </c>
      <c r="H43">
        <v>3</v>
      </c>
      <c r="I43" s="13">
        <v>45357</v>
      </c>
      <c r="J43" s="13" t="str">
        <f>TEXT(Table1[[#This Row],[Date]],"[$-en-US]mmm yyyy")</f>
        <v>Mar 2024</v>
      </c>
      <c r="K43" s="13" t="str">
        <f>TEXT(Table1[[#This Row],[Date]],"[$-en-US]ddd")</f>
        <v>Wed</v>
      </c>
    </row>
    <row r="44" spans="1:11" x14ac:dyDescent="0.25">
      <c r="A44">
        <v>14</v>
      </c>
      <c r="B44" t="s">
        <v>9</v>
      </c>
      <c r="C44">
        <v>38.700000000000003</v>
      </c>
      <c r="D44" t="s">
        <v>27</v>
      </c>
      <c r="E44" t="s">
        <v>15</v>
      </c>
      <c r="F44" t="s">
        <v>13</v>
      </c>
      <c r="G44">
        <v>3</v>
      </c>
      <c r="H44">
        <v>3</v>
      </c>
      <c r="I44" s="13">
        <v>45357</v>
      </c>
      <c r="J44" s="13" t="str">
        <f>TEXT(Table1[[#This Row],[Date]],"[$-en-US]mmm yyyy")</f>
        <v>Mar 2024</v>
      </c>
      <c r="K44" s="13" t="str">
        <f>TEXT(Table1[[#This Row],[Date]],"[$-en-US]ddd")</f>
        <v>Wed</v>
      </c>
    </row>
    <row r="45" spans="1:11" x14ac:dyDescent="0.25">
      <c r="A45">
        <v>10</v>
      </c>
      <c r="B45" t="s">
        <v>9</v>
      </c>
      <c r="C45">
        <v>38.700000000000003</v>
      </c>
      <c r="D45" t="s">
        <v>14</v>
      </c>
      <c r="E45" t="s">
        <v>11</v>
      </c>
      <c r="F45" t="s">
        <v>13</v>
      </c>
      <c r="G45">
        <v>4</v>
      </c>
      <c r="H45">
        <v>3</v>
      </c>
      <c r="I45" s="13">
        <v>45358</v>
      </c>
      <c r="J45" s="13" t="str">
        <f>TEXT(Table1[[#This Row],[Date]],"[$-en-US]mmm yyyy")</f>
        <v>Mar 2024</v>
      </c>
      <c r="K45" s="13" t="str">
        <f>TEXT(Table1[[#This Row],[Date]],"[$-en-US]ddd")</f>
        <v>Thu</v>
      </c>
    </row>
    <row r="46" spans="1:11" x14ac:dyDescent="0.25">
      <c r="A46">
        <v>11</v>
      </c>
      <c r="B46" t="s">
        <v>9</v>
      </c>
      <c r="C46">
        <v>38.700000000000003</v>
      </c>
      <c r="D46" t="s">
        <v>10</v>
      </c>
      <c r="E46" t="s">
        <v>11</v>
      </c>
      <c r="F46" t="s">
        <v>13</v>
      </c>
      <c r="G46">
        <v>4</v>
      </c>
      <c r="H46">
        <v>3</v>
      </c>
      <c r="I46" s="13">
        <v>45358</v>
      </c>
      <c r="J46" s="13" t="str">
        <f>TEXT(Table1[[#This Row],[Date]],"[$-en-US]mmm yyyy")</f>
        <v>Mar 2024</v>
      </c>
      <c r="K46" s="13" t="str">
        <f>TEXT(Table1[[#This Row],[Date]],"[$-en-US]ddd")</f>
        <v>Thu</v>
      </c>
    </row>
    <row r="47" spans="1:11" x14ac:dyDescent="0.25">
      <c r="A47">
        <v>15</v>
      </c>
      <c r="B47" t="s">
        <v>9</v>
      </c>
      <c r="C47">
        <v>28.9</v>
      </c>
      <c r="D47" t="s">
        <v>16</v>
      </c>
      <c r="E47" t="s">
        <v>15</v>
      </c>
      <c r="F47" t="s">
        <v>13</v>
      </c>
      <c r="G47">
        <v>4</v>
      </c>
      <c r="H47">
        <v>3</v>
      </c>
      <c r="I47" s="13">
        <v>45358</v>
      </c>
      <c r="J47" s="13" t="str">
        <f>TEXT(Table1[[#This Row],[Date]],"[$-en-US]mmm yyyy")</f>
        <v>Mar 2024</v>
      </c>
      <c r="K47" s="13" t="str">
        <f>TEXT(Table1[[#This Row],[Date]],"[$-en-US]ddd")</f>
        <v>Thu</v>
      </c>
    </row>
    <row r="48" spans="1:11" x14ac:dyDescent="0.25">
      <c r="A48">
        <v>15</v>
      </c>
      <c r="B48" t="s">
        <v>9</v>
      </c>
      <c r="C48">
        <v>33.799999999999997</v>
      </c>
      <c r="D48" t="s">
        <v>17</v>
      </c>
      <c r="E48" t="s">
        <v>15</v>
      </c>
      <c r="F48" t="s">
        <v>13</v>
      </c>
      <c r="G48">
        <v>4</v>
      </c>
      <c r="H48">
        <v>3</v>
      </c>
      <c r="I48" s="13">
        <v>45358</v>
      </c>
      <c r="J48" s="13" t="str">
        <f>TEXT(Table1[[#This Row],[Date]],"[$-en-US]mmm yyyy")</f>
        <v>Mar 2024</v>
      </c>
      <c r="K48" s="13" t="str">
        <f>TEXT(Table1[[#This Row],[Date]],"[$-en-US]ddd")</f>
        <v>Thu</v>
      </c>
    </row>
    <row r="49" spans="1:11" x14ac:dyDescent="0.25">
      <c r="A49">
        <v>10</v>
      </c>
      <c r="B49" t="s">
        <v>9</v>
      </c>
      <c r="C49">
        <v>28.9</v>
      </c>
      <c r="D49" t="s">
        <v>22</v>
      </c>
      <c r="E49" t="s">
        <v>11</v>
      </c>
      <c r="F49" t="s">
        <v>13</v>
      </c>
      <c r="G49">
        <v>5</v>
      </c>
      <c r="H49">
        <v>3</v>
      </c>
      <c r="I49" s="13">
        <v>45359</v>
      </c>
      <c r="J49" s="13" t="str">
        <f>TEXT(Table1[[#This Row],[Date]],"[$-en-US]mmm yyyy")</f>
        <v>Mar 2024</v>
      </c>
      <c r="K49" s="13" t="str">
        <f>TEXT(Table1[[#This Row],[Date]],"[$-en-US]ddd")</f>
        <v>Fri</v>
      </c>
    </row>
    <row r="50" spans="1:11" x14ac:dyDescent="0.25">
      <c r="A50">
        <v>12</v>
      </c>
      <c r="B50" t="s">
        <v>9</v>
      </c>
      <c r="C50">
        <v>38.700000000000003</v>
      </c>
      <c r="D50" t="s">
        <v>27</v>
      </c>
      <c r="E50" t="s">
        <v>15</v>
      </c>
      <c r="F50" t="s">
        <v>13</v>
      </c>
      <c r="G50">
        <v>5</v>
      </c>
      <c r="H50">
        <v>3</v>
      </c>
      <c r="I50" s="13">
        <v>45359</v>
      </c>
      <c r="J50" s="13" t="str">
        <f>TEXT(Table1[[#This Row],[Date]],"[$-en-US]mmm yyyy")</f>
        <v>Mar 2024</v>
      </c>
      <c r="K50" s="13" t="str">
        <f>TEXT(Table1[[#This Row],[Date]],"[$-en-US]ddd")</f>
        <v>Fri</v>
      </c>
    </row>
    <row r="51" spans="1:11" x14ac:dyDescent="0.25">
      <c r="A51">
        <v>13</v>
      </c>
      <c r="B51" t="s">
        <v>9</v>
      </c>
      <c r="C51">
        <v>28.9</v>
      </c>
      <c r="D51" t="s">
        <v>16</v>
      </c>
      <c r="E51" t="s">
        <v>15</v>
      </c>
      <c r="F51" t="s">
        <v>13</v>
      </c>
      <c r="G51">
        <v>5</v>
      </c>
      <c r="H51">
        <v>3</v>
      </c>
      <c r="I51" s="13">
        <v>45359</v>
      </c>
      <c r="J51" s="13" t="str">
        <f>TEXT(Table1[[#This Row],[Date]],"[$-en-US]mmm yyyy")</f>
        <v>Mar 2024</v>
      </c>
      <c r="K51" s="13" t="str">
        <f>TEXT(Table1[[#This Row],[Date]],"[$-en-US]ddd")</f>
        <v>Fri</v>
      </c>
    </row>
    <row r="52" spans="1:11" x14ac:dyDescent="0.25">
      <c r="A52">
        <v>14</v>
      </c>
      <c r="B52" t="s">
        <v>9</v>
      </c>
      <c r="C52">
        <v>28.9</v>
      </c>
      <c r="D52" t="s">
        <v>16</v>
      </c>
      <c r="E52" t="s">
        <v>15</v>
      </c>
      <c r="F52" t="s">
        <v>13</v>
      </c>
      <c r="G52">
        <v>5</v>
      </c>
      <c r="H52">
        <v>3</v>
      </c>
      <c r="I52" s="13">
        <v>45359</v>
      </c>
      <c r="J52" s="13" t="str">
        <f>TEXT(Table1[[#This Row],[Date]],"[$-en-US]mmm yyyy")</f>
        <v>Mar 2024</v>
      </c>
      <c r="K52" s="13" t="str">
        <f>TEXT(Table1[[#This Row],[Date]],"[$-en-US]ddd")</f>
        <v>Fri</v>
      </c>
    </row>
    <row r="53" spans="1:11" x14ac:dyDescent="0.25">
      <c r="A53">
        <v>14</v>
      </c>
      <c r="B53" t="s">
        <v>9</v>
      </c>
      <c r="C53">
        <v>28.9</v>
      </c>
      <c r="D53" t="s">
        <v>16</v>
      </c>
      <c r="E53" t="s">
        <v>15</v>
      </c>
      <c r="F53" t="s">
        <v>13</v>
      </c>
      <c r="G53">
        <v>5</v>
      </c>
      <c r="H53">
        <v>3</v>
      </c>
      <c r="I53" s="13">
        <v>45359</v>
      </c>
      <c r="J53" s="13" t="str">
        <f>TEXT(Table1[[#This Row],[Date]],"[$-en-US]mmm yyyy")</f>
        <v>Mar 2024</v>
      </c>
      <c r="K53" s="13" t="str">
        <f>TEXT(Table1[[#This Row],[Date]],"[$-en-US]ddd")</f>
        <v>Fri</v>
      </c>
    </row>
    <row r="54" spans="1:11" x14ac:dyDescent="0.25">
      <c r="A54">
        <v>14</v>
      </c>
      <c r="B54" t="s">
        <v>9</v>
      </c>
      <c r="C54">
        <v>33.799999999999997</v>
      </c>
      <c r="D54" t="s">
        <v>17</v>
      </c>
      <c r="E54" t="s">
        <v>15</v>
      </c>
      <c r="F54" t="s">
        <v>13</v>
      </c>
      <c r="G54">
        <v>5</v>
      </c>
      <c r="H54">
        <v>3</v>
      </c>
      <c r="I54" s="13">
        <v>45359</v>
      </c>
      <c r="J54" s="13" t="str">
        <f>TEXT(Table1[[#This Row],[Date]],"[$-en-US]mmm yyyy")</f>
        <v>Mar 2024</v>
      </c>
      <c r="K54" s="13" t="str">
        <f>TEXT(Table1[[#This Row],[Date]],"[$-en-US]ddd")</f>
        <v>Fri</v>
      </c>
    </row>
    <row r="55" spans="1:11" x14ac:dyDescent="0.25">
      <c r="A55">
        <v>18</v>
      </c>
      <c r="B55" t="s">
        <v>9</v>
      </c>
      <c r="C55">
        <v>38.700000000000003</v>
      </c>
      <c r="D55" t="s">
        <v>10</v>
      </c>
      <c r="E55" t="s">
        <v>18</v>
      </c>
      <c r="F55" t="s">
        <v>13</v>
      </c>
      <c r="G55">
        <v>5</v>
      </c>
      <c r="H55">
        <v>3</v>
      </c>
      <c r="I55" s="13">
        <v>45359</v>
      </c>
      <c r="J55" s="13" t="str">
        <f>TEXT(Table1[[#This Row],[Date]],"[$-en-US]mmm yyyy")</f>
        <v>Mar 2024</v>
      </c>
      <c r="K55" s="13" t="str">
        <f>TEXT(Table1[[#This Row],[Date]],"[$-en-US]ddd")</f>
        <v>Fri</v>
      </c>
    </row>
    <row r="56" spans="1:11" x14ac:dyDescent="0.25">
      <c r="A56">
        <v>18</v>
      </c>
      <c r="B56" t="s">
        <v>9</v>
      </c>
      <c r="C56">
        <v>38.700000000000003</v>
      </c>
      <c r="D56" t="s">
        <v>10</v>
      </c>
      <c r="E56" t="s">
        <v>18</v>
      </c>
      <c r="F56" t="s">
        <v>13</v>
      </c>
      <c r="G56">
        <v>5</v>
      </c>
      <c r="H56">
        <v>3</v>
      </c>
      <c r="I56" s="13">
        <v>45359</v>
      </c>
      <c r="J56" s="13" t="str">
        <f>TEXT(Table1[[#This Row],[Date]],"[$-en-US]mmm yyyy")</f>
        <v>Mar 2024</v>
      </c>
      <c r="K56" s="13" t="str">
        <f>TEXT(Table1[[#This Row],[Date]],"[$-en-US]ddd")</f>
        <v>Fri</v>
      </c>
    </row>
    <row r="57" spans="1:11" x14ac:dyDescent="0.25">
      <c r="A57">
        <v>12</v>
      </c>
      <c r="B57" t="s">
        <v>9</v>
      </c>
      <c r="C57">
        <v>24</v>
      </c>
      <c r="D57" t="s">
        <v>24</v>
      </c>
      <c r="E57" t="s">
        <v>15</v>
      </c>
      <c r="F57" t="s">
        <v>13</v>
      </c>
      <c r="G57">
        <v>6</v>
      </c>
      <c r="H57">
        <v>3</v>
      </c>
      <c r="I57" s="13">
        <v>45360</v>
      </c>
      <c r="J57" s="13" t="str">
        <f>TEXT(Table1[[#This Row],[Date]],"[$-en-US]mmm yyyy")</f>
        <v>Mar 2024</v>
      </c>
      <c r="K57" s="13" t="str">
        <f>TEXT(Table1[[#This Row],[Date]],"[$-en-US]ddd")</f>
        <v>Sat</v>
      </c>
    </row>
    <row r="58" spans="1:11" x14ac:dyDescent="0.25">
      <c r="A58">
        <v>12</v>
      </c>
      <c r="B58" t="s">
        <v>9</v>
      </c>
      <c r="C58">
        <v>28.9</v>
      </c>
      <c r="D58" t="s">
        <v>16</v>
      </c>
      <c r="E58" t="s">
        <v>15</v>
      </c>
      <c r="F58" t="s">
        <v>13</v>
      </c>
      <c r="G58">
        <v>6</v>
      </c>
      <c r="H58">
        <v>3</v>
      </c>
      <c r="I58" s="13">
        <v>45360</v>
      </c>
      <c r="J58" s="13" t="str">
        <f>TEXT(Table1[[#This Row],[Date]],"[$-en-US]mmm yyyy")</f>
        <v>Mar 2024</v>
      </c>
      <c r="K58" s="13" t="str">
        <f>TEXT(Table1[[#This Row],[Date]],"[$-en-US]ddd")</f>
        <v>Sat</v>
      </c>
    </row>
    <row r="59" spans="1:11" x14ac:dyDescent="0.25">
      <c r="A59">
        <v>12</v>
      </c>
      <c r="B59" t="s">
        <v>9</v>
      </c>
      <c r="C59">
        <v>38.700000000000003</v>
      </c>
      <c r="D59" t="s">
        <v>27</v>
      </c>
      <c r="E59" t="s">
        <v>15</v>
      </c>
      <c r="F59" t="s">
        <v>13</v>
      </c>
      <c r="G59">
        <v>6</v>
      </c>
      <c r="H59">
        <v>3</v>
      </c>
      <c r="I59" s="13">
        <v>45360</v>
      </c>
      <c r="J59" s="13" t="str">
        <f>TEXT(Table1[[#This Row],[Date]],"[$-en-US]mmm yyyy")</f>
        <v>Mar 2024</v>
      </c>
      <c r="K59" s="13" t="str">
        <f>TEXT(Table1[[#This Row],[Date]],"[$-en-US]ddd")</f>
        <v>Sat</v>
      </c>
    </row>
    <row r="60" spans="1:11" x14ac:dyDescent="0.25">
      <c r="A60">
        <v>12</v>
      </c>
      <c r="B60" t="s">
        <v>9</v>
      </c>
      <c r="C60">
        <v>28.9</v>
      </c>
      <c r="D60" t="s">
        <v>16</v>
      </c>
      <c r="E60" t="s">
        <v>15</v>
      </c>
      <c r="F60" t="s">
        <v>13</v>
      </c>
      <c r="G60">
        <v>6</v>
      </c>
      <c r="H60">
        <v>3</v>
      </c>
      <c r="I60" s="13">
        <v>45360</v>
      </c>
      <c r="J60" s="13" t="str">
        <f>TEXT(Table1[[#This Row],[Date]],"[$-en-US]mmm yyyy")</f>
        <v>Mar 2024</v>
      </c>
      <c r="K60" s="13" t="str">
        <f>TEXT(Table1[[#This Row],[Date]],"[$-en-US]ddd")</f>
        <v>Sat</v>
      </c>
    </row>
    <row r="61" spans="1:11" x14ac:dyDescent="0.25">
      <c r="A61">
        <v>12</v>
      </c>
      <c r="B61" t="s">
        <v>9</v>
      </c>
      <c r="C61">
        <v>28.9</v>
      </c>
      <c r="D61" t="s">
        <v>16</v>
      </c>
      <c r="E61" t="s">
        <v>15</v>
      </c>
      <c r="F61" t="s">
        <v>13</v>
      </c>
      <c r="G61">
        <v>6</v>
      </c>
      <c r="H61">
        <v>3</v>
      </c>
      <c r="I61" s="13">
        <v>45360</v>
      </c>
      <c r="J61" s="13" t="str">
        <f>TEXT(Table1[[#This Row],[Date]],"[$-en-US]mmm yyyy")</f>
        <v>Mar 2024</v>
      </c>
      <c r="K61" s="13" t="str">
        <f>TEXT(Table1[[#This Row],[Date]],"[$-en-US]ddd")</f>
        <v>Sat</v>
      </c>
    </row>
    <row r="62" spans="1:11" x14ac:dyDescent="0.25">
      <c r="A62">
        <v>13</v>
      </c>
      <c r="B62" t="s">
        <v>9</v>
      </c>
      <c r="C62">
        <v>38.700000000000003</v>
      </c>
      <c r="D62" t="s">
        <v>10</v>
      </c>
      <c r="E62" t="s">
        <v>15</v>
      </c>
      <c r="F62" t="s">
        <v>13</v>
      </c>
      <c r="G62">
        <v>6</v>
      </c>
      <c r="H62">
        <v>3</v>
      </c>
      <c r="I62" s="13">
        <v>45360</v>
      </c>
      <c r="J62" s="13" t="str">
        <f>TEXT(Table1[[#This Row],[Date]],"[$-en-US]mmm yyyy")</f>
        <v>Mar 2024</v>
      </c>
      <c r="K62" s="13" t="str">
        <f>TEXT(Table1[[#This Row],[Date]],"[$-en-US]ddd")</f>
        <v>Sat</v>
      </c>
    </row>
    <row r="63" spans="1:11" x14ac:dyDescent="0.25">
      <c r="A63">
        <v>13</v>
      </c>
      <c r="B63" t="s">
        <v>9</v>
      </c>
      <c r="C63">
        <v>33.799999999999997</v>
      </c>
      <c r="D63" t="s">
        <v>17</v>
      </c>
      <c r="E63" t="s">
        <v>15</v>
      </c>
      <c r="F63" t="s">
        <v>13</v>
      </c>
      <c r="G63">
        <v>6</v>
      </c>
      <c r="H63">
        <v>3</v>
      </c>
      <c r="I63" s="13">
        <v>45360</v>
      </c>
      <c r="J63" s="13" t="str">
        <f>TEXT(Table1[[#This Row],[Date]],"[$-en-US]mmm yyyy")</f>
        <v>Mar 2024</v>
      </c>
      <c r="K63" s="13" t="str">
        <f>TEXT(Table1[[#This Row],[Date]],"[$-en-US]ddd")</f>
        <v>Sat</v>
      </c>
    </row>
    <row r="64" spans="1:11" x14ac:dyDescent="0.25">
      <c r="A64">
        <v>13</v>
      </c>
      <c r="B64" t="s">
        <v>9</v>
      </c>
      <c r="C64">
        <v>28.9</v>
      </c>
      <c r="D64" t="s">
        <v>22</v>
      </c>
      <c r="E64" t="s">
        <v>15</v>
      </c>
      <c r="F64" t="s">
        <v>13</v>
      </c>
      <c r="G64">
        <v>6</v>
      </c>
      <c r="H64">
        <v>3</v>
      </c>
      <c r="I64" s="13">
        <v>45360</v>
      </c>
      <c r="J64" s="13" t="str">
        <f>TEXT(Table1[[#This Row],[Date]],"[$-en-US]mmm yyyy")</f>
        <v>Mar 2024</v>
      </c>
      <c r="K64" s="13" t="str">
        <f>TEXT(Table1[[#This Row],[Date]],"[$-en-US]ddd")</f>
        <v>Sat</v>
      </c>
    </row>
    <row r="65" spans="1:11" x14ac:dyDescent="0.25">
      <c r="A65">
        <v>13</v>
      </c>
      <c r="B65" t="s">
        <v>9</v>
      </c>
      <c r="C65">
        <v>38.700000000000003</v>
      </c>
      <c r="D65" t="s">
        <v>27</v>
      </c>
      <c r="E65" t="s">
        <v>15</v>
      </c>
      <c r="F65" t="s">
        <v>13</v>
      </c>
      <c r="G65">
        <v>6</v>
      </c>
      <c r="H65">
        <v>3</v>
      </c>
      <c r="I65" s="13">
        <v>45360</v>
      </c>
      <c r="J65" s="13" t="str">
        <f>TEXT(Table1[[#This Row],[Date]],"[$-en-US]mmm yyyy")</f>
        <v>Mar 2024</v>
      </c>
      <c r="K65" s="13" t="str">
        <f>TEXT(Table1[[#This Row],[Date]],"[$-en-US]ddd")</f>
        <v>Sat</v>
      </c>
    </row>
    <row r="66" spans="1:11" x14ac:dyDescent="0.25">
      <c r="A66">
        <v>14</v>
      </c>
      <c r="B66" t="s">
        <v>9</v>
      </c>
      <c r="C66">
        <v>33.799999999999997</v>
      </c>
      <c r="D66" t="s">
        <v>17</v>
      </c>
      <c r="E66" t="s">
        <v>15</v>
      </c>
      <c r="F66" t="s">
        <v>13</v>
      </c>
      <c r="G66">
        <v>6</v>
      </c>
      <c r="H66">
        <v>3</v>
      </c>
      <c r="I66" s="13">
        <v>45360</v>
      </c>
      <c r="J66" s="13" t="str">
        <f>TEXT(Table1[[#This Row],[Date]],"[$-en-US]mmm yyyy")</f>
        <v>Mar 2024</v>
      </c>
      <c r="K66" s="13" t="str">
        <f>TEXT(Table1[[#This Row],[Date]],"[$-en-US]ddd")</f>
        <v>Sat</v>
      </c>
    </row>
    <row r="67" spans="1:11" x14ac:dyDescent="0.25">
      <c r="A67">
        <v>14</v>
      </c>
      <c r="B67" t="s">
        <v>9</v>
      </c>
      <c r="C67">
        <v>38.700000000000003</v>
      </c>
      <c r="D67" t="s">
        <v>14</v>
      </c>
      <c r="E67" t="s">
        <v>15</v>
      </c>
      <c r="F67" t="s">
        <v>13</v>
      </c>
      <c r="G67">
        <v>6</v>
      </c>
      <c r="H67">
        <v>3</v>
      </c>
      <c r="I67" s="13">
        <v>45360</v>
      </c>
      <c r="J67" s="13" t="str">
        <f>TEXT(Table1[[#This Row],[Date]],"[$-en-US]mmm yyyy")</f>
        <v>Mar 2024</v>
      </c>
      <c r="K67" s="13" t="str">
        <f>TEXT(Table1[[#This Row],[Date]],"[$-en-US]ddd")</f>
        <v>Sat</v>
      </c>
    </row>
    <row r="68" spans="1:11" x14ac:dyDescent="0.25">
      <c r="A68">
        <v>19</v>
      </c>
      <c r="B68" t="s">
        <v>9</v>
      </c>
      <c r="C68">
        <v>38.700000000000003</v>
      </c>
      <c r="D68" t="s">
        <v>27</v>
      </c>
      <c r="E68" t="s">
        <v>18</v>
      </c>
      <c r="F68" t="s">
        <v>13</v>
      </c>
      <c r="G68">
        <v>6</v>
      </c>
      <c r="H68">
        <v>3</v>
      </c>
      <c r="I68" s="13">
        <v>45360</v>
      </c>
      <c r="J68" s="13" t="str">
        <f>TEXT(Table1[[#This Row],[Date]],"[$-en-US]mmm yyyy")</f>
        <v>Mar 2024</v>
      </c>
      <c r="K68" s="13" t="str">
        <f>TEXT(Table1[[#This Row],[Date]],"[$-en-US]ddd")</f>
        <v>Sat</v>
      </c>
    </row>
    <row r="69" spans="1:11" x14ac:dyDescent="0.25">
      <c r="A69">
        <v>19</v>
      </c>
      <c r="B69" t="s">
        <v>9</v>
      </c>
      <c r="C69">
        <v>38.700000000000003</v>
      </c>
      <c r="D69" t="s">
        <v>14</v>
      </c>
      <c r="E69" t="s">
        <v>18</v>
      </c>
      <c r="F69" t="s">
        <v>13</v>
      </c>
      <c r="G69">
        <v>6</v>
      </c>
      <c r="H69">
        <v>3</v>
      </c>
      <c r="I69" s="13">
        <v>45360</v>
      </c>
      <c r="J69" s="13" t="str">
        <f>TEXT(Table1[[#This Row],[Date]],"[$-en-US]mmm yyyy")</f>
        <v>Mar 2024</v>
      </c>
      <c r="K69" s="13" t="str">
        <f>TEXT(Table1[[#This Row],[Date]],"[$-en-US]ddd")</f>
        <v>Sat</v>
      </c>
    </row>
    <row r="70" spans="1:11" x14ac:dyDescent="0.25">
      <c r="A70">
        <v>11</v>
      </c>
      <c r="B70" t="s">
        <v>9</v>
      </c>
      <c r="C70">
        <v>24</v>
      </c>
      <c r="D70" t="s">
        <v>24</v>
      </c>
      <c r="E70" t="s">
        <v>11</v>
      </c>
      <c r="F70" t="s">
        <v>13</v>
      </c>
      <c r="G70">
        <v>7</v>
      </c>
      <c r="H70">
        <v>3</v>
      </c>
      <c r="I70" s="13">
        <v>45361</v>
      </c>
      <c r="J70" s="13" t="str">
        <f>TEXT(Table1[[#This Row],[Date]],"[$-en-US]mmm yyyy")</f>
        <v>Mar 2024</v>
      </c>
      <c r="K70" s="13" t="str">
        <f>TEXT(Table1[[#This Row],[Date]],"[$-en-US]ddd")</f>
        <v>Sun</v>
      </c>
    </row>
    <row r="71" spans="1:11" x14ac:dyDescent="0.25">
      <c r="A71">
        <v>19</v>
      </c>
      <c r="B71" t="s">
        <v>9</v>
      </c>
      <c r="C71">
        <v>38.700000000000003</v>
      </c>
      <c r="D71" t="s">
        <v>10</v>
      </c>
      <c r="E71" t="s">
        <v>18</v>
      </c>
      <c r="F71" t="s">
        <v>13</v>
      </c>
      <c r="G71">
        <v>7</v>
      </c>
      <c r="H71">
        <v>3</v>
      </c>
      <c r="I71" s="13">
        <v>45361</v>
      </c>
      <c r="J71" s="13" t="str">
        <f>TEXT(Table1[[#This Row],[Date]],"[$-en-US]mmm yyyy")</f>
        <v>Mar 2024</v>
      </c>
      <c r="K71" s="13" t="str">
        <f>TEXT(Table1[[#This Row],[Date]],"[$-en-US]ddd")</f>
        <v>Sun</v>
      </c>
    </row>
    <row r="72" spans="1:11" x14ac:dyDescent="0.25">
      <c r="A72">
        <v>19</v>
      </c>
      <c r="B72" t="s">
        <v>9</v>
      </c>
      <c r="C72">
        <v>28.9</v>
      </c>
      <c r="D72" t="s">
        <v>22</v>
      </c>
      <c r="E72" t="s">
        <v>18</v>
      </c>
      <c r="F72" t="s">
        <v>13</v>
      </c>
      <c r="G72">
        <v>7</v>
      </c>
      <c r="H72">
        <v>3</v>
      </c>
      <c r="I72" s="13">
        <v>45361</v>
      </c>
      <c r="J72" s="13" t="str">
        <f>TEXT(Table1[[#This Row],[Date]],"[$-en-US]mmm yyyy")</f>
        <v>Mar 2024</v>
      </c>
      <c r="K72" s="13" t="str">
        <f>TEXT(Table1[[#This Row],[Date]],"[$-en-US]ddd")</f>
        <v>Sun</v>
      </c>
    </row>
    <row r="73" spans="1:11" x14ac:dyDescent="0.25">
      <c r="A73">
        <v>11</v>
      </c>
      <c r="B73" t="s">
        <v>9</v>
      </c>
      <c r="C73">
        <v>38.700000000000003</v>
      </c>
      <c r="D73" t="s">
        <v>27</v>
      </c>
      <c r="E73" t="s">
        <v>11</v>
      </c>
      <c r="F73" t="s">
        <v>13</v>
      </c>
      <c r="G73">
        <v>1</v>
      </c>
      <c r="H73">
        <v>3</v>
      </c>
      <c r="I73" s="13">
        <v>45362</v>
      </c>
      <c r="J73" s="13" t="str">
        <f>TEXT(Table1[[#This Row],[Date]],"[$-en-US]mmm yyyy")</f>
        <v>Mar 2024</v>
      </c>
      <c r="K73" s="13" t="str">
        <f>TEXT(Table1[[#This Row],[Date]],"[$-en-US]ddd")</f>
        <v>Mon</v>
      </c>
    </row>
    <row r="74" spans="1:11" x14ac:dyDescent="0.25">
      <c r="A74">
        <v>16</v>
      </c>
      <c r="B74" t="s">
        <v>9</v>
      </c>
      <c r="C74">
        <v>28.9</v>
      </c>
      <c r="D74" t="s">
        <v>16</v>
      </c>
      <c r="E74" t="s">
        <v>15</v>
      </c>
      <c r="F74" t="s">
        <v>13</v>
      </c>
      <c r="G74">
        <v>1</v>
      </c>
      <c r="H74">
        <v>3</v>
      </c>
      <c r="I74" s="13">
        <v>45362</v>
      </c>
      <c r="J74" s="13" t="str">
        <f>TEXT(Table1[[#This Row],[Date]],"[$-en-US]mmm yyyy")</f>
        <v>Mar 2024</v>
      </c>
      <c r="K74" s="13" t="str">
        <f>TEXT(Table1[[#This Row],[Date]],"[$-en-US]ddd")</f>
        <v>Mon</v>
      </c>
    </row>
    <row r="75" spans="1:11" x14ac:dyDescent="0.25">
      <c r="A75">
        <v>16</v>
      </c>
      <c r="B75" t="s">
        <v>9</v>
      </c>
      <c r="C75">
        <v>38.700000000000003</v>
      </c>
      <c r="D75" t="s">
        <v>10</v>
      </c>
      <c r="E75" t="s">
        <v>15</v>
      </c>
      <c r="F75" t="s">
        <v>13</v>
      </c>
      <c r="G75">
        <v>1</v>
      </c>
      <c r="H75">
        <v>3</v>
      </c>
      <c r="I75" s="13">
        <v>45362</v>
      </c>
      <c r="J75" s="13" t="str">
        <f>TEXT(Table1[[#This Row],[Date]],"[$-en-US]mmm yyyy")</f>
        <v>Mar 2024</v>
      </c>
      <c r="K75" s="13" t="str">
        <f>TEXT(Table1[[#This Row],[Date]],"[$-en-US]ddd")</f>
        <v>Mon</v>
      </c>
    </row>
    <row r="76" spans="1:11" x14ac:dyDescent="0.25">
      <c r="A76">
        <v>16</v>
      </c>
      <c r="B76" t="s">
        <v>9</v>
      </c>
      <c r="C76">
        <v>28.9</v>
      </c>
      <c r="D76" t="s">
        <v>22</v>
      </c>
      <c r="E76" t="s">
        <v>15</v>
      </c>
      <c r="F76" t="s">
        <v>13</v>
      </c>
      <c r="G76">
        <v>1</v>
      </c>
      <c r="H76">
        <v>3</v>
      </c>
      <c r="I76" s="13">
        <v>45362</v>
      </c>
      <c r="J76" s="13" t="str">
        <f>TEXT(Table1[[#This Row],[Date]],"[$-en-US]mmm yyyy")</f>
        <v>Mar 2024</v>
      </c>
      <c r="K76" s="13" t="str">
        <f>TEXT(Table1[[#This Row],[Date]],"[$-en-US]ddd")</f>
        <v>Mon</v>
      </c>
    </row>
    <row r="77" spans="1:11" x14ac:dyDescent="0.25">
      <c r="A77">
        <v>10</v>
      </c>
      <c r="B77" t="s">
        <v>9</v>
      </c>
      <c r="C77">
        <v>28.9</v>
      </c>
      <c r="D77" t="s">
        <v>16</v>
      </c>
      <c r="E77" t="s">
        <v>11</v>
      </c>
      <c r="F77" t="s">
        <v>13</v>
      </c>
      <c r="G77">
        <v>2</v>
      </c>
      <c r="H77">
        <v>3</v>
      </c>
      <c r="I77" s="13">
        <v>45363</v>
      </c>
      <c r="J77" s="13" t="str">
        <f>TEXT(Table1[[#This Row],[Date]],"[$-en-US]mmm yyyy")</f>
        <v>Mar 2024</v>
      </c>
      <c r="K77" s="13" t="str">
        <f>TEXT(Table1[[#This Row],[Date]],"[$-en-US]ddd")</f>
        <v>Tue</v>
      </c>
    </row>
    <row r="78" spans="1:11" x14ac:dyDescent="0.25">
      <c r="A78">
        <v>10</v>
      </c>
      <c r="B78" t="s">
        <v>9</v>
      </c>
      <c r="C78">
        <v>28.9</v>
      </c>
      <c r="D78" t="s">
        <v>22</v>
      </c>
      <c r="E78" t="s">
        <v>11</v>
      </c>
      <c r="F78" t="s">
        <v>13</v>
      </c>
      <c r="G78">
        <v>2</v>
      </c>
      <c r="H78">
        <v>3</v>
      </c>
      <c r="I78" s="13">
        <v>45363</v>
      </c>
      <c r="J78" s="13" t="str">
        <f>TEXT(Table1[[#This Row],[Date]],"[$-en-US]mmm yyyy")</f>
        <v>Mar 2024</v>
      </c>
      <c r="K78" s="13" t="str">
        <f>TEXT(Table1[[#This Row],[Date]],"[$-en-US]ddd")</f>
        <v>Tue</v>
      </c>
    </row>
    <row r="79" spans="1:11" x14ac:dyDescent="0.25">
      <c r="A79">
        <v>11</v>
      </c>
      <c r="B79" t="s">
        <v>9</v>
      </c>
      <c r="C79">
        <v>38.700000000000003</v>
      </c>
      <c r="D79" t="s">
        <v>14</v>
      </c>
      <c r="E79" t="s">
        <v>11</v>
      </c>
      <c r="F79" t="s">
        <v>13</v>
      </c>
      <c r="G79">
        <v>2</v>
      </c>
      <c r="H79">
        <v>3</v>
      </c>
      <c r="I79" s="13">
        <v>45363</v>
      </c>
      <c r="J79" s="13" t="str">
        <f>TEXT(Table1[[#This Row],[Date]],"[$-en-US]mmm yyyy")</f>
        <v>Mar 2024</v>
      </c>
      <c r="K79" s="13" t="str">
        <f>TEXT(Table1[[#This Row],[Date]],"[$-en-US]ddd")</f>
        <v>Tue</v>
      </c>
    </row>
    <row r="80" spans="1:11" x14ac:dyDescent="0.25">
      <c r="A80">
        <v>12</v>
      </c>
      <c r="B80" t="s">
        <v>9</v>
      </c>
      <c r="C80">
        <v>33.799999999999997</v>
      </c>
      <c r="D80" t="s">
        <v>17</v>
      </c>
      <c r="E80" t="s">
        <v>15</v>
      </c>
      <c r="F80" t="s">
        <v>13</v>
      </c>
      <c r="G80">
        <v>2</v>
      </c>
      <c r="H80">
        <v>3</v>
      </c>
      <c r="I80" s="13">
        <v>45363</v>
      </c>
      <c r="J80" s="13" t="str">
        <f>TEXT(Table1[[#This Row],[Date]],"[$-en-US]mmm yyyy")</f>
        <v>Mar 2024</v>
      </c>
      <c r="K80" s="13" t="str">
        <f>TEXT(Table1[[#This Row],[Date]],"[$-en-US]ddd")</f>
        <v>Tue</v>
      </c>
    </row>
    <row r="81" spans="1:11" x14ac:dyDescent="0.25">
      <c r="A81">
        <v>12</v>
      </c>
      <c r="B81" t="s">
        <v>9</v>
      </c>
      <c r="C81">
        <v>28.9</v>
      </c>
      <c r="D81" t="s">
        <v>16</v>
      </c>
      <c r="E81" t="s">
        <v>15</v>
      </c>
      <c r="F81" t="s">
        <v>13</v>
      </c>
      <c r="G81">
        <v>2</v>
      </c>
      <c r="H81">
        <v>3</v>
      </c>
      <c r="I81" s="13">
        <v>45363</v>
      </c>
      <c r="J81" s="13" t="str">
        <f>TEXT(Table1[[#This Row],[Date]],"[$-en-US]mmm yyyy")</f>
        <v>Mar 2024</v>
      </c>
      <c r="K81" s="13" t="str">
        <f>TEXT(Table1[[#This Row],[Date]],"[$-en-US]ddd")</f>
        <v>Tue</v>
      </c>
    </row>
    <row r="82" spans="1:11" x14ac:dyDescent="0.25">
      <c r="A82">
        <v>16</v>
      </c>
      <c r="B82" t="s">
        <v>9</v>
      </c>
      <c r="C82">
        <v>28.9</v>
      </c>
      <c r="D82" t="s">
        <v>16</v>
      </c>
      <c r="E82" t="s">
        <v>15</v>
      </c>
      <c r="F82" t="s">
        <v>13</v>
      </c>
      <c r="G82">
        <v>2</v>
      </c>
      <c r="H82">
        <v>3</v>
      </c>
      <c r="I82" s="13">
        <v>45363</v>
      </c>
      <c r="J82" s="13" t="str">
        <f>TEXT(Table1[[#This Row],[Date]],"[$-en-US]mmm yyyy")</f>
        <v>Mar 2024</v>
      </c>
      <c r="K82" s="13" t="str">
        <f>TEXT(Table1[[#This Row],[Date]],"[$-en-US]ddd")</f>
        <v>Tue</v>
      </c>
    </row>
    <row r="83" spans="1:11" x14ac:dyDescent="0.25">
      <c r="A83">
        <v>11</v>
      </c>
      <c r="B83" t="s">
        <v>9</v>
      </c>
      <c r="C83">
        <v>38.700000000000003</v>
      </c>
      <c r="D83" t="s">
        <v>14</v>
      </c>
      <c r="E83" t="s">
        <v>11</v>
      </c>
      <c r="F83" t="s">
        <v>13</v>
      </c>
      <c r="G83">
        <v>3</v>
      </c>
      <c r="H83">
        <v>3</v>
      </c>
      <c r="I83" s="13">
        <v>45364</v>
      </c>
      <c r="J83" s="13" t="str">
        <f>TEXT(Table1[[#This Row],[Date]],"[$-en-US]mmm yyyy")</f>
        <v>Mar 2024</v>
      </c>
      <c r="K83" s="13" t="str">
        <f>TEXT(Table1[[#This Row],[Date]],"[$-en-US]ddd")</f>
        <v>Wed</v>
      </c>
    </row>
    <row r="84" spans="1:11" x14ac:dyDescent="0.25">
      <c r="A84">
        <v>11</v>
      </c>
      <c r="B84" t="s">
        <v>9</v>
      </c>
      <c r="C84">
        <v>28.9</v>
      </c>
      <c r="D84" t="s">
        <v>16</v>
      </c>
      <c r="E84" t="s">
        <v>11</v>
      </c>
      <c r="F84" t="s">
        <v>13</v>
      </c>
      <c r="G84">
        <v>3</v>
      </c>
      <c r="H84">
        <v>3</v>
      </c>
      <c r="I84" s="13">
        <v>45364</v>
      </c>
      <c r="J84" s="13" t="str">
        <f>TEXT(Table1[[#This Row],[Date]],"[$-en-US]mmm yyyy")</f>
        <v>Mar 2024</v>
      </c>
      <c r="K84" s="13" t="str">
        <f>TEXT(Table1[[#This Row],[Date]],"[$-en-US]ddd")</f>
        <v>Wed</v>
      </c>
    </row>
    <row r="85" spans="1:11" x14ac:dyDescent="0.25">
      <c r="A85">
        <v>12</v>
      </c>
      <c r="B85" t="s">
        <v>9</v>
      </c>
      <c r="C85">
        <v>28.9</v>
      </c>
      <c r="D85" t="s">
        <v>16</v>
      </c>
      <c r="E85" t="s">
        <v>15</v>
      </c>
      <c r="F85" t="s">
        <v>13</v>
      </c>
      <c r="G85">
        <v>3</v>
      </c>
      <c r="H85">
        <v>3</v>
      </c>
      <c r="I85" s="13">
        <v>45364</v>
      </c>
      <c r="J85" s="13" t="str">
        <f>TEXT(Table1[[#This Row],[Date]],"[$-en-US]mmm yyyy")</f>
        <v>Mar 2024</v>
      </c>
      <c r="K85" s="13" t="str">
        <f>TEXT(Table1[[#This Row],[Date]],"[$-en-US]ddd")</f>
        <v>Wed</v>
      </c>
    </row>
    <row r="86" spans="1:11" x14ac:dyDescent="0.25">
      <c r="A86">
        <v>12</v>
      </c>
      <c r="B86" t="s">
        <v>9</v>
      </c>
      <c r="C86">
        <v>28.9</v>
      </c>
      <c r="D86" t="s">
        <v>16</v>
      </c>
      <c r="E86" t="s">
        <v>15</v>
      </c>
      <c r="F86" t="s">
        <v>13</v>
      </c>
      <c r="G86">
        <v>3</v>
      </c>
      <c r="H86">
        <v>3</v>
      </c>
      <c r="I86" s="13">
        <v>45364</v>
      </c>
      <c r="J86" s="13" t="str">
        <f>TEXT(Table1[[#This Row],[Date]],"[$-en-US]mmm yyyy")</f>
        <v>Mar 2024</v>
      </c>
      <c r="K86" s="13" t="str">
        <f>TEXT(Table1[[#This Row],[Date]],"[$-en-US]ddd")</f>
        <v>Wed</v>
      </c>
    </row>
    <row r="87" spans="1:11" x14ac:dyDescent="0.25">
      <c r="A87">
        <v>14</v>
      </c>
      <c r="B87" t="s">
        <v>9</v>
      </c>
      <c r="C87">
        <v>33.799999999999997</v>
      </c>
      <c r="D87" t="s">
        <v>17</v>
      </c>
      <c r="E87" t="s">
        <v>15</v>
      </c>
      <c r="F87" t="s">
        <v>13</v>
      </c>
      <c r="G87">
        <v>3</v>
      </c>
      <c r="H87">
        <v>3</v>
      </c>
      <c r="I87" s="13">
        <v>45364</v>
      </c>
      <c r="J87" s="13" t="str">
        <f>TEXT(Table1[[#This Row],[Date]],"[$-en-US]mmm yyyy")</f>
        <v>Mar 2024</v>
      </c>
      <c r="K87" s="13" t="str">
        <f>TEXT(Table1[[#This Row],[Date]],"[$-en-US]ddd")</f>
        <v>Wed</v>
      </c>
    </row>
    <row r="88" spans="1:11" x14ac:dyDescent="0.25">
      <c r="A88">
        <v>15</v>
      </c>
      <c r="B88" t="s">
        <v>9</v>
      </c>
      <c r="C88">
        <v>24</v>
      </c>
      <c r="D88" t="s">
        <v>24</v>
      </c>
      <c r="E88" t="s">
        <v>15</v>
      </c>
      <c r="F88" t="s">
        <v>13</v>
      </c>
      <c r="G88">
        <v>3</v>
      </c>
      <c r="H88">
        <v>3</v>
      </c>
      <c r="I88" s="13">
        <v>45364</v>
      </c>
      <c r="J88" s="13" t="str">
        <f>TEXT(Table1[[#This Row],[Date]],"[$-en-US]mmm yyyy")</f>
        <v>Mar 2024</v>
      </c>
      <c r="K88" s="13" t="str">
        <f>TEXT(Table1[[#This Row],[Date]],"[$-en-US]ddd")</f>
        <v>Wed</v>
      </c>
    </row>
    <row r="89" spans="1:11" x14ac:dyDescent="0.25">
      <c r="A89">
        <v>15</v>
      </c>
      <c r="B89" t="s">
        <v>9</v>
      </c>
      <c r="C89">
        <v>24</v>
      </c>
      <c r="D89" t="s">
        <v>24</v>
      </c>
      <c r="E89" t="s">
        <v>15</v>
      </c>
      <c r="F89" t="s">
        <v>13</v>
      </c>
      <c r="G89">
        <v>3</v>
      </c>
      <c r="H89">
        <v>3</v>
      </c>
      <c r="I89" s="13">
        <v>45364</v>
      </c>
      <c r="J89" s="13" t="str">
        <f>TEXT(Table1[[#This Row],[Date]],"[$-en-US]mmm yyyy")</f>
        <v>Mar 2024</v>
      </c>
      <c r="K89" s="13" t="str">
        <f>TEXT(Table1[[#This Row],[Date]],"[$-en-US]ddd")</f>
        <v>Wed</v>
      </c>
    </row>
    <row r="90" spans="1:11" x14ac:dyDescent="0.25">
      <c r="A90">
        <v>16</v>
      </c>
      <c r="B90" t="s">
        <v>9</v>
      </c>
      <c r="C90">
        <v>24</v>
      </c>
      <c r="D90" t="s">
        <v>24</v>
      </c>
      <c r="E90" t="s">
        <v>15</v>
      </c>
      <c r="F90" t="s">
        <v>13</v>
      </c>
      <c r="G90">
        <v>3</v>
      </c>
      <c r="H90">
        <v>3</v>
      </c>
      <c r="I90" s="13">
        <v>45364</v>
      </c>
      <c r="J90" s="13" t="str">
        <f>TEXT(Table1[[#This Row],[Date]],"[$-en-US]mmm yyyy")</f>
        <v>Mar 2024</v>
      </c>
      <c r="K90" s="13" t="str">
        <f>TEXT(Table1[[#This Row],[Date]],"[$-en-US]ddd")</f>
        <v>Wed</v>
      </c>
    </row>
    <row r="91" spans="1:11" x14ac:dyDescent="0.25">
      <c r="A91">
        <v>10</v>
      </c>
      <c r="B91" t="s">
        <v>9</v>
      </c>
      <c r="C91">
        <v>38.700000000000003</v>
      </c>
      <c r="D91" t="s">
        <v>10</v>
      </c>
      <c r="E91" t="s">
        <v>11</v>
      </c>
      <c r="F91" t="s">
        <v>13</v>
      </c>
      <c r="G91">
        <v>4</v>
      </c>
      <c r="H91">
        <v>3</v>
      </c>
      <c r="I91" s="13">
        <v>45365</v>
      </c>
      <c r="J91" s="13" t="str">
        <f>TEXT(Table1[[#This Row],[Date]],"[$-en-US]mmm yyyy")</f>
        <v>Mar 2024</v>
      </c>
      <c r="K91" s="13" t="str">
        <f>TEXT(Table1[[#This Row],[Date]],"[$-en-US]ddd")</f>
        <v>Thu</v>
      </c>
    </row>
    <row r="92" spans="1:11" x14ac:dyDescent="0.25">
      <c r="A92">
        <v>10</v>
      </c>
      <c r="B92" t="s">
        <v>9</v>
      </c>
      <c r="C92">
        <v>38.700000000000003</v>
      </c>
      <c r="D92" t="s">
        <v>14</v>
      </c>
      <c r="E92" t="s">
        <v>11</v>
      </c>
      <c r="F92" t="s">
        <v>13</v>
      </c>
      <c r="G92">
        <v>4</v>
      </c>
      <c r="H92">
        <v>3</v>
      </c>
      <c r="I92" s="13">
        <v>45365</v>
      </c>
      <c r="J92" s="13" t="str">
        <f>TEXT(Table1[[#This Row],[Date]],"[$-en-US]mmm yyyy")</f>
        <v>Mar 2024</v>
      </c>
      <c r="K92" s="13" t="str">
        <f>TEXT(Table1[[#This Row],[Date]],"[$-en-US]ddd")</f>
        <v>Thu</v>
      </c>
    </row>
    <row r="93" spans="1:11" x14ac:dyDescent="0.25">
      <c r="A93">
        <v>13</v>
      </c>
      <c r="B93" t="s">
        <v>9</v>
      </c>
      <c r="C93">
        <v>28.9</v>
      </c>
      <c r="D93" t="s">
        <v>22</v>
      </c>
      <c r="E93" t="s">
        <v>15</v>
      </c>
      <c r="F93" t="s">
        <v>13</v>
      </c>
      <c r="G93">
        <v>4</v>
      </c>
      <c r="H93">
        <v>3</v>
      </c>
      <c r="I93" s="13">
        <v>45365</v>
      </c>
      <c r="J93" s="13" t="str">
        <f>TEXT(Table1[[#This Row],[Date]],"[$-en-US]mmm yyyy")</f>
        <v>Mar 2024</v>
      </c>
      <c r="K93" s="13" t="str">
        <f>TEXT(Table1[[#This Row],[Date]],"[$-en-US]ddd")</f>
        <v>Thu</v>
      </c>
    </row>
    <row r="94" spans="1:11" x14ac:dyDescent="0.25">
      <c r="A94">
        <v>13</v>
      </c>
      <c r="B94" t="s">
        <v>9</v>
      </c>
      <c r="C94">
        <v>28.9</v>
      </c>
      <c r="D94" t="s">
        <v>16</v>
      </c>
      <c r="E94" t="s">
        <v>15</v>
      </c>
      <c r="F94" t="s">
        <v>13</v>
      </c>
      <c r="G94">
        <v>4</v>
      </c>
      <c r="H94">
        <v>3</v>
      </c>
      <c r="I94" s="13">
        <v>45365</v>
      </c>
      <c r="J94" s="13" t="str">
        <f>TEXT(Table1[[#This Row],[Date]],"[$-en-US]mmm yyyy")</f>
        <v>Mar 2024</v>
      </c>
      <c r="K94" s="13" t="str">
        <f>TEXT(Table1[[#This Row],[Date]],"[$-en-US]ddd")</f>
        <v>Thu</v>
      </c>
    </row>
    <row r="95" spans="1:11" x14ac:dyDescent="0.25">
      <c r="A95">
        <v>13</v>
      </c>
      <c r="B95" t="s">
        <v>9</v>
      </c>
      <c r="C95">
        <v>33.799999999999997</v>
      </c>
      <c r="D95" t="s">
        <v>17</v>
      </c>
      <c r="E95" t="s">
        <v>15</v>
      </c>
      <c r="F95" t="s">
        <v>13</v>
      </c>
      <c r="G95">
        <v>4</v>
      </c>
      <c r="H95">
        <v>3</v>
      </c>
      <c r="I95" s="13">
        <v>45365</v>
      </c>
      <c r="J95" s="13" t="str">
        <f>TEXT(Table1[[#This Row],[Date]],"[$-en-US]mmm yyyy")</f>
        <v>Mar 2024</v>
      </c>
      <c r="K95" s="13" t="str">
        <f>TEXT(Table1[[#This Row],[Date]],"[$-en-US]ddd")</f>
        <v>Thu</v>
      </c>
    </row>
    <row r="96" spans="1:11" x14ac:dyDescent="0.25">
      <c r="A96">
        <v>13</v>
      </c>
      <c r="B96" t="s">
        <v>9</v>
      </c>
      <c r="C96">
        <v>24</v>
      </c>
      <c r="D96" t="s">
        <v>24</v>
      </c>
      <c r="E96" t="s">
        <v>15</v>
      </c>
      <c r="F96" t="s">
        <v>13</v>
      </c>
      <c r="G96">
        <v>4</v>
      </c>
      <c r="H96">
        <v>3</v>
      </c>
      <c r="I96" s="13">
        <v>45365</v>
      </c>
      <c r="J96" s="13" t="str">
        <f>TEXT(Table1[[#This Row],[Date]],"[$-en-US]mmm yyyy")</f>
        <v>Mar 2024</v>
      </c>
      <c r="K96" s="13" t="str">
        <f>TEXT(Table1[[#This Row],[Date]],"[$-en-US]ddd")</f>
        <v>Thu</v>
      </c>
    </row>
    <row r="97" spans="1:11" x14ac:dyDescent="0.25">
      <c r="A97">
        <v>15</v>
      </c>
      <c r="B97" t="s">
        <v>9</v>
      </c>
      <c r="C97">
        <v>38.700000000000003</v>
      </c>
      <c r="D97" t="s">
        <v>10</v>
      </c>
      <c r="E97" t="s">
        <v>15</v>
      </c>
      <c r="F97" t="s">
        <v>13</v>
      </c>
      <c r="G97">
        <v>4</v>
      </c>
      <c r="H97">
        <v>3</v>
      </c>
      <c r="I97" s="13">
        <v>45365</v>
      </c>
      <c r="J97" s="13" t="str">
        <f>TEXT(Table1[[#This Row],[Date]],"[$-en-US]mmm yyyy")</f>
        <v>Mar 2024</v>
      </c>
      <c r="K97" s="13" t="str">
        <f>TEXT(Table1[[#This Row],[Date]],"[$-en-US]ddd")</f>
        <v>Thu</v>
      </c>
    </row>
    <row r="98" spans="1:11" x14ac:dyDescent="0.25">
      <c r="A98">
        <v>16</v>
      </c>
      <c r="B98" t="s">
        <v>9</v>
      </c>
      <c r="C98">
        <v>33.799999999999997</v>
      </c>
      <c r="D98" t="s">
        <v>17</v>
      </c>
      <c r="E98" t="s">
        <v>15</v>
      </c>
      <c r="F98" t="s">
        <v>13</v>
      </c>
      <c r="G98">
        <v>4</v>
      </c>
      <c r="H98">
        <v>3</v>
      </c>
      <c r="I98" s="13">
        <v>45365</v>
      </c>
      <c r="J98" s="13" t="str">
        <f>TEXT(Table1[[#This Row],[Date]],"[$-en-US]mmm yyyy")</f>
        <v>Mar 2024</v>
      </c>
      <c r="K98" s="13" t="str">
        <f>TEXT(Table1[[#This Row],[Date]],"[$-en-US]ddd")</f>
        <v>Thu</v>
      </c>
    </row>
    <row r="99" spans="1:11" x14ac:dyDescent="0.25">
      <c r="A99">
        <v>16</v>
      </c>
      <c r="B99" t="s">
        <v>9</v>
      </c>
      <c r="C99">
        <v>24</v>
      </c>
      <c r="D99" t="s">
        <v>24</v>
      </c>
      <c r="E99" t="s">
        <v>15</v>
      </c>
      <c r="F99" t="s">
        <v>13</v>
      </c>
      <c r="G99">
        <v>4</v>
      </c>
      <c r="H99">
        <v>3</v>
      </c>
      <c r="I99" s="13">
        <v>45365</v>
      </c>
      <c r="J99" s="13" t="str">
        <f>TEXT(Table1[[#This Row],[Date]],"[$-en-US]mmm yyyy")</f>
        <v>Mar 2024</v>
      </c>
      <c r="K99" s="13" t="str">
        <f>TEXT(Table1[[#This Row],[Date]],"[$-en-US]ddd")</f>
        <v>Thu</v>
      </c>
    </row>
    <row r="100" spans="1:11" x14ac:dyDescent="0.25">
      <c r="A100">
        <v>18</v>
      </c>
      <c r="B100" t="s">
        <v>9</v>
      </c>
      <c r="C100">
        <v>38.700000000000003</v>
      </c>
      <c r="D100" t="s">
        <v>14</v>
      </c>
      <c r="E100" t="s">
        <v>18</v>
      </c>
      <c r="F100" t="s">
        <v>13</v>
      </c>
      <c r="G100">
        <v>4</v>
      </c>
      <c r="H100">
        <v>3</v>
      </c>
      <c r="I100" s="13">
        <v>45365</v>
      </c>
      <c r="J100" s="13" t="str">
        <f>TEXT(Table1[[#This Row],[Date]],"[$-en-US]mmm yyyy")</f>
        <v>Mar 2024</v>
      </c>
      <c r="K100" s="13" t="str">
        <f>TEXT(Table1[[#This Row],[Date]],"[$-en-US]ddd")</f>
        <v>Thu</v>
      </c>
    </row>
    <row r="101" spans="1:11" x14ac:dyDescent="0.25">
      <c r="A101">
        <v>19</v>
      </c>
      <c r="B101" t="s">
        <v>9</v>
      </c>
      <c r="C101">
        <v>28.9</v>
      </c>
      <c r="D101" t="s">
        <v>22</v>
      </c>
      <c r="E101" t="s">
        <v>18</v>
      </c>
      <c r="F101" t="s">
        <v>13</v>
      </c>
      <c r="G101">
        <v>4</v>
      </c>
      <c r="H101">
        <v>3</v>
      </c>
      <c r="I101" s="13">
        <v>45365</v>
      </c>
      <c r="J101" s="13" t="str">
        <f>TEXT(Table1[[#This Row],[Date]],"[$-en-US]mmm yyyy")</f>
        <v>Mar 2024</v>
      </c>
      <c r="K101" s="13" t="str">
        <f>TEXT(Table1[[#This Row],[Date]],"[$-en-US]ddd")</f>
        <v>Thu</v>
      </c>
    </row>
    <row r="102" spans="1:11" x14ac:dyDescent="0.25">
      <c r="A102">
        <v>10</v>
      </c>
      <c r="B102" t="s">
        <v>9</v>
      </c>
      <c r="C102">
        <v>38.700000000000003</v>
      </c>
      <c r="D102" t="s">
        <v>14</v>
      </c>
      <c r="E102" t="s">
        <v>11</v>
      </c>
      <c r="F102" t="s">
        <v>13</v>
      </c>
      <c r="G102">
        <v>5</v>
      </c>
      <c r="H102">
        <v>3</v>
      </c>
      <c r="I102" s="13">
        <v>45366</v>
      </c>
      <c r="J102" s="13" t="str">
        <f>TEXT(Table1[[#This Row],[Date]],"[$-en-US]mmm yyyy")</f>
        <v>Mar 2024</v>
      </c>
      <c r="K102" s="13" t="str">
        <f>TEXT(Table1[[#This Row],[Date]],"[$-en-US]ddd")</f>
        <v>Fri</v>
      </c>
    </row>
    <row r="103" spans="1:11" x14ac:dyDescent="0.25">
      <c r="A103">
        <v>18</v>
      </c>
      <c r="B103" t="s">
        <v>9</v>
      </c>
      <c r="C103">
        <v>28.9</v>
      </c>
      <c r="D103" t="s">
        <v>16</v>
      </c>
      <c r="E103" t="s">
        <v>18</v>
      </c>
      <c r="F103" t="s">
        <v>13</v>
      </c>
      <c r="G103">
        <v>5</v>
      </c>
      <c r="H103">
        <v>3</v>
      </c>
      <c r="I103" s="13">
        <v>45366</v>
      </c>
      <c r="J103" s="13" t="str">
        <f>TEXT(Table1[[#This Row],[Date]],"[$-en-US]mmm yyyy")</f>
        <v>Mar 2024</v>
      </c>
      <c r="K103" s="13" t="str">
        <f>TEXT(Table1[[#This Row],[Date]],"[$-en-US]ddd")</f>
        <v>Fri</v>
      </c>
    </row>
    <row r="104" spans="1:11" x14ac:dyDescent="0.25">
      <c r="A104">
        <v>12</v>
      </c>
      <c r="B104" t="s">
        <v>9</v>
      </c>
      <c r="C104">
        <v>33.799999999999997</v>
      </c>
      <c r="D104" t="s">
        <v>17</v>
      </c>
      <c r="E104" t="s">
        <v>15</v>
      </c>
      <c r="F104" t="s">
        <v>13</v>
      </c>
      <c r="G104">
        <v>6</v>
      </c>
      <c r="H104">
        <v>3</v>
      </c>
      <c r="I104" s="13">
        <v>45367</v>
      </c>
      <c r="J104" s="13" t="str">
        <f>TEXT(Table1[[#This Row],[Date]],"[$-en-US]mmm yyyy")</f>
        <v>Mar 2024</v>
      </c>
      <c r="K104" s="13" t="str">
        <f>TEXT(Table1[[#This Row],[Date]],"[$-en-US]ddd")</f>
        <v>Sat</v>
      </c>
    </row>
    <row r="105" spans="1:11" x14ac:dyDescent="0.25">
      <c r="A105">
        <v>12</v>
      </c>
      <c r="B105" t="s">
        <v>9</v>
      </c>
      <c r="C105">
        <v>28.9</v>
      </c>
      <c r="D105" t="s">
        <v>16</v>
      </c>
      <c r="E105" t="s">
        <v>15</v>
      </c>
      <c r="F105" t="s">
        <v>13</v>
      </c>
      <c r="G105">
        <v>6</v>
      </c>
      <c r="H105">
        <v>3</v>
      </c>
      <c r="I105" s="13">
        <v>45367</v>
      </c>
      <c r="J105" s="13" t="str">
        <f>TEXT(Table1[[#This Row],[Date]],"[$-en-US]mmm yyyy")</f>
        <v>Mar 2024</v>
      </c>
      <c r="K105" s="13" t="str">
        <f>TEXT(Table1[[#This Row],[Date]],"[$-en-US]ddd")</f>
        <v>Sat</v>
      </c>
    </row>
    <row r="106" spans="1:11" x14ac:dyDescent="0.25">
      <c r="A106">
        <v>15</v>
      </c>
      <c r="B106" t="s">
        <v>9</v>
      </c>
      <c r="C106">
        <v>28.9</v>
      </c>
      <c r="D106" t="s">
        <v>22</v>
      </c>
      <c r="E106" t="s">
        <v>15</v>
      </c>
      <c r="F106" t="s">
        <v>13</v>
      </c>
      <c r="G106">
        <v>6</v>
      </c>
      <c r="H106">
        <v>3</v>
      </c>
      <c r="I106" s="13">
        <v>45367</v>
      </c>
      <c r="J106" s="13" t="str">
        <f>TEXT(Table1[[#This Row],[Date]],"[$-en-US]mmm yyyy")</f>
        <v>Mar 2024</v>
      </c>
      <c r="K106" s="13" t="str">
        <f>TEXT(Table1[[#This Row],[Date]],"[$-en-US]ddd")</f>
        <v>Sat</v>
      </c>
    </row>
    <row r="107" spans="1:11" x14ac:dyDescent="0.25">
      <c r="A107">
        <v>16</v>
      </c>
      <c r="B107" t="s">
        <v>9</v>
      </c>
      <c r="C107">
        <v>28.9</v>
      </c>
      <c r="D107" t="s">
        <v>22</v>
      </c>
      <c r="E107" t="s">
        <v>15</v>
      </c>
      <c r="F107" t="s">
        <v>13</v>
      </c>
      <c r="G107">
        <v>6</v>
      </c>
      <c r="H107">
        <v>3</v>
      </c>
      <c r="I107" s="13">
        <v>45367</v>
      </c>
      <c r="J107" s="13" t="str">
        <f>TEXT(Table1[[#This Row],[Date]],"[$-en-US]mmm yyyy")</f>
        <v>Mar 2024</v>
      </c>
      <c r="K107" s="13" t="str">
        <f>TEXT(Table1[[#This Row],[Date]],"[$-en-US]ddd")</f>
        <v>Sat</v>
      </c>
    </row>
    <row r="108" spans="1:11" x14ac:dyDescent="0.25">
      <c r="A108">
        <v>16</v>
      </c>
      <c r="B108" t="s">
        <v>9</v>
      </c>
      <c r="C108">
        <v>28.9</v>
      </c>
      <c r="D108" t="s">
        <v>22</v>
      </c>
      <c r="E108" t="s">
        <v>15</v>
      </c>
      <c r="F108" t="s">
        <v>13</v>
      </c>
      <c r="G108">
        <v>6</v>
      </c>
      <c r="H108">
        <v>3</v>
      </c>
      <c r="I108" s="13">
        <v>45367</v>
      </c>
      <c r="J108" s="13" t="str">
        <f>TEXT(Table1[[#This Row],[Date]],"[$-en-US]mmm yyyy")</f>
        <v>Mar 2024</v>
      </c>
      <c r="K108" s="13" t="str">
        <f>TEXT(Table1[[#This Row],[Date]],"[$-en-US]ddd")</f>
        <v>Sat</v>
      </c>
    </row>
    <row r="109" spans="1:11" x14ac:dyDescent="0.25">
      <c r="A109">
        <v>17</v>
      </c>
      <c r="B109" t="s">
        <v>9</v>
      </c>
      <c r="C109">
        <v>33.799999999999997</v>
      </c>
      <c r="D109" t="s">
        <v>17</v>
      </c>
      <c r="E109" t="s">
        <v>18</v>
      </c>
      <c r="F109" t="s">
        <v>13</v>
      </c>
      <c r="G109">
        <v>6</v>
      </c>
      <c r="H109">
        <v>3</v>
      </c>
      <c r="I109" s="13">
        <v>45367</v>
      </c>
      <c r="J109" s="13" t="str">
        <f>TEXT(Table1[[#This Row],[Date]],"[$-en-US]mmm yyyy")</f>
        <v>Mar 2024</v>
      </c>
      <c r="K109" s="13" t="str">
        <f>TEXT(Table1[[#This Row],[Date]],"[$-en-US]ddd")</f>
        <v>Sat</v>
      </c>
    </row>
    <row r="110" spans="1:11" x14ac:dyDescent="0.25">
      <c r="A110">
        <v>12</v>
      </c>
      <c r="B110" t="s">
        <v>9</v>
      </c>
      <c r="C110">
        <v>28.9</v>
      </c>
      <c r="D110" t="s">
        <v>22</v>
      </c>
      <c r="E110" t="s">
        <v>15</v>
      </c>
      <c r="F110" t="s">
        <v>13</v>
      </c>
      <c r="G110">
        <v>7</v>
      </c>
      <c r="H110">
        <v>3</v>
      </c>
      <c r="I110" s="13">
        <v>45368</v>
      </c>
      <c r="J110" s="13" t="str">
        <f>TEXT(Table1[[#This Row],[Date]],"[$-en-US]mmm yyyy")</f>
        <v>Mar 2024</v>
      </c>
      <c r="K110" s="13" t="str">
        <f>TEXT(Table1[[#This Row],[Date]],"[$-en-US]ddd")</f>
        <v>Sun</v>
      </c>
    </row>
    <row r="111" spans="1:11" x14ac:dyDescent="0.25">
      <c r="A111">
        <v>11</v>
      </c>
      <c r="B111" t="s">
        <v>9</v>
      </c>
      <c r="C111">
        <v>28.9</v>
      </c>
      <c r="D111" t="s">
        <v>22</v>
      </c>
      <c r="E111" t="s">
        <v>11</v>
      </c>
      <c r="F111" t="s">
        <v>13</v>
      </c>
      <c r="G111">
        <v>1</v>
      </c>
      <c r="H111">
        <v>3</v>
      </c>
      <c r="I111" s="13">
        <v>45369</v>
      </c>
      <c r="J111" s="13" t="str">
        <f>TEXT(Table1[[#This Row],[Date]],"[$-en-US]mmm yyyy")</f>
        <v>Mar 2024</v>
      </c>
      <c r="K111" s="13" t="str">
        <f>TEXT(Table1[[#This Row],[Date]],"[$-en-US]ddd")</f>
        <v>Mon</v>
      </c>
    </row>
    <row r="112" spans="1:11" x14ac:dyDescent="0.25">
      <c r="A112">
        <v>15</v>
      </c>
      <c r="B112" t="s">
        <v>9</v>
      </c>
      <c r="C112">
        <v>28.9</v>
      </c>
      <c r="D112" t="s">
        <v>16</v>
      </c>
      <c r="E112" t="s">
        <v>15</v>
      </c>
      <c r="F112" t="s">
        <v>13</v>
      </c>
      <c r="G112">
        <v>1</v>
      </c>
      <c r="H112">
        <v>3</v>
      </c>
      <c r="I112" s="13">
        <v>45369</v>
      </c>
      <c r="J112" s="13" t="str">
        <f>TEXT(Table1[[#This Row],[Date]],"[$-en-US]mmm yyyy")</f>
        <v>Mar 2024</v>
      </c>
      <c r="K112" s="13" t="str">
        <f>TEXT(Table1[[#This Row],[Date]],"[$-en-US]ddd")</f>
        <v>Mon</v>
      </c>
    </row>
    <row r="113" spans="1:11" x14ac:dyDescent="0.25">
      <c r="A113">
        <v>15</v>
      </c>
      <c r="B113" t="s">
        <v>9</v>
      </c>
      <c r="C113">
        <v>28.9</v>
      </c>
      <c r="D113" t="s">
        <v>16</v>
      </c>
      <c r="E113" t="s">
        <v>15</v>
      </c>
      <c r="F113" t="s">
        <v>13</v>
      </c>
      <c r="G113">
        <v>1</v>
      </c>
      <c r="H113">
        <v>3</v>
      </c>
      <c r="I113" s="13">
        <v>45369</v>
      </c>
      <c r="J113" s="13" t="str">
        <f>TEXT(Table1[[#This Row],[Date]],"[$-en-US]mmm yyyy")</f>
        <v>Mar 2024</v>
      </c>
      <c r="K113" s="13" t="str">
        <f>TEXT(Table1[[#This Row],[Date]],"[$-en-US]ddd")</f>
        <v>Mon</v>
      </c>
    </row>
    <row r="114" spans="1:11" x14ac:dyDescent="0.25">
      <c r="A114">
        <v>15</v>
      </c>
      <c r="B114" t="s">
        <v>9</v>
      </c>
      <c r="C114">
        <v>28.9</v>
      </c>
      <c r="D114" t="s">
        <v>16</v>
      </c>
      <c r="E114" t="s">
        <v>15</v>
      </c>
      <c r="F114" t="s">
        <v>13</v>
      </c>
      <c r="G114">
        <v>1</v>
      </c>
      <c r="H114">
        <v>3</v>
      </c>
      <c r="I114" s="13">
        <v>45369</v>
      </c>
      <c r="J114" s="13" t="str">
        <f>TEXT(Table1[[#This Row],[Date]],"[$-en-US]mmm yyyy")</f>
        <v>Mar 2024</v>
      </c>
      <c r="K114" s="13" t="str">
        <f>TEXT(Table1[[#This Row],[Date]],"[$-en-US]ddd")</f>
        <v>Mon</v>
      </c>
    </row>
    <row r="115" spans="1:11" x14ac:dyDescent="0.25">
      <c r="A115">
        <v>14</v>
      </c>
      <c r="B115" t="s">
        <v>9</v>
      </c>
      <c r="C115">
        <v>38.700000000000003</v>
      </c>
      <c r="D115" t="s">
        <v>10</v>
      </c>
      <c r="E115" t="s">
        <v>15</v>
      </c>
      <c r="F115" t="s">
        <v>13</v>
      </c>
      <c r="G115">
        <v>2</v>
      </c>
      <c r="H115">
        <v>3</v>
      </c>
      <c r="I115" s="13">
        <v>45370</v>
      </c>
      <c r="J115" s="13" t="str">
        <f>TEXT(Table1[[#This Row],[Date]],"[$-en-US]mmm yyyy")</f>
        <v>Mar 2024</v>
      </c>
      <c r="K115" s="13" t="str">
        <f>TEXT(Table1[[#This Row],[Date]],"[$-en-US]ddd")</f>
        <v>Tue</v>
      </c>
    </row>
    <row r="116" spans="1:11" x14ac:dyDescent="0.25">
      <c r="A116">
        <v>14</v>
      </c>
      <c r="B116" t="s">
        <v>9</v>
      </c>
      <c r="C116">
        <v>38.700000000000003</v>
      </c>
      <c r="D116" t="s">
        <v>10</v>
      </c>
      <c r="E116" t="s">
        <v>15</v>
      </c>
      <c r="F116" t="s">
        <v>13</v>
      </c>
      <c r="G116">
        <v>2</v>
      </c>
      <c r="H116">
        <v>3</v>
      </c>
      <c r="I116" s="13">
        <v>45370</v>
      </c>
      <c r="J116" s="13" t="str">
        <f>TEXT(Table1[[#This Row],[Date]],"[$-en-US]mmm yyyy")</f>
        <v>Mar 2024</v>
      </c>
      <c r="K116" s="13" t="str">
        <f>TEXT(Table1[[#This Row],[Date]],"[$-en-US]ddd")</f>
        <v>Tue</v>
      </c>
    </row>
    <row r="117" spans="1:11" x14ac:dyDescent="0.25">
      <c r="A117">
        <v>15</v>
      </c>
      <c r="B117" t="s">
        <v>9</v>
      </c>
      <c r="C117">
        <v>38.700000000000003</v>
      </c>
      <c r="D117" t="s">
        <v>14</v>
      </c>
      <c r="E117" t="s">
        <v>15</v>
      </c>
      <c r="F117" t="s">
        <v>13</v>
      </c>
      <c r="G117">
        <v>2</v>
      </c>
      <c r="H117">
        <v>3</v>
      </c>
      <c r="I117" s="13">
        <v>45370</v>
      </c>
      <c r="J117" s="13" t="str">
        <f>TEXT(Table1[[#This Row],[Date]],"[$-en-US]mmm yyyy")</f>
        <v>Mar 2024</v>
      </c>
      <c r="K117" s="13" t="str">
        <f>TEXT(Table1[[#This Row],[Date]],"[$-en-US]ddd")</f>
        <v>Tue</v>
      </c>
    </row>
    <row r="118" spans="1:11" x14ac:dyDescent="0.25">
      <c r="A118">
        <v>16</v>
      </c>
      <c r="B118" t="s">
        <v>9</v>
      </c>
      <c r="C118">
        <v>33.799999999999997</v>
      </c>
      <c r="D118" t="s">
        <v>17</v>
      </c>
      <c r="E118" t="s">
        <v>15</v>
      </c>
      <c r="F118" t="s">
        <v>13</v>
      </c>
      <c r="G118">
        <v>2</v>
      </c>
      <c r="H118">
        <v>3</v>
      </c>
      <c r="I118" s="13">
        <v>45370</v>
      </c>
      <c r="J118" s="13" t="str">
        <f>TEXT(Table1[[#This Row],[Date]],"[$-en-US]mmm yyyy")</f>
        <v>Mar 2024</v>
      </c>
      <c r="K118" s="13" t="str">
        <f>TEXT(Table1[[#This Row],[Date]],"[$-en-US]ddd")</f>
        <v>Tue</v>
      </c>
    </row>
    <row r="119" spans="1:11" x14ac:dyDescent="0.25">
      <c r="A119">
        <v>11</v>
      </c>
      <c r="B119" t="s">
        <v>9</v>
      </c>
      <c r="C119">
        <v>28.9</v>
      </c>
      <c r="D119" t="s">
        <v>22</v>
      </c>
      <c r="E119" t="s">
        <v>11</v>
      </c>
      <c r="F119" t="s">
        <v>13</v>
      </c>
      <c r="G119">
        <v>3</v>
      </c>
      <c r="H119">
        <v>3</v>
      </c>
      <c r="I119" s="13">
        <v>45371</v>
      </c>
      <c r="J119" s="13" t="str">
        <f>TEXT(Table1[[#This Row],[Date]],"[$-en-US]mmm yyyy")</f>
        <v>Mar 2024</v>
      </c>
      <c r="K119" s="13" t="str">
        <f>TEXT(Table1[[#This Row],[Date]],"[$-en-US]ddd")</f>
        <v>Wed</v>
      </c>
    </row>
    <row r="120" spans="1:11" x14ac:dyDescent="0.25">
      <c r="A120">
        <v>12</v>
      </c>
      <c r="B120" t="s">
        <v>9</v>
      </c>
      <c r="C120">
        <v>28.9</v>
      </c>
      <c r="D120" t="s">
        <v>22</v>
      </c>
      <c r="E120" t="s">
        <v>15</v>
      </c>
      <c r="F120" t="s">
        <v>13</v>
      </c>
      <c r="G120">
        <v>3</v>
      </c>
      <c r="H120">
        <v>3</v>
      </c>
      <c r="I120" s="13">
        <v>45371</v>
      </c>
      <c r="J120" s="13" t="str">
        <f>TEXT(Table1[[#This Row],[Date]],"[$-en-US]mmm yyyy")</f>
        <v>Mar 2024</v>
      </c>
      <c r="K120" s="13" t="str">
        <f>TEXT(Table1[[#This Row],[Date]],"[$-en-US]ddd")</f>
        <v>Wed</v>
      </c>
    </row>
    <row r="121" spans="1:11" x14ac:dyDescent="0.25">
      <c r="A121">
        <v>13</v>
      </c>
      <c r="B121" t="s">
        <v>9</v>
      </c>
      <c r="C121">
        <v>38.700000000000003</v>
      </c>
      <c r="D121" t="s">
        <v>27</v>
      </c>
      <c r="E121" t="s">
        <v>15</v>
      </c>
      <c r="F121" t="s">
        <v>13</v>
      </c>
      <c r="G121">
        <v>3</v>
      </c>
      <c r="H121">
        <v>3</v>
      </c>
      <c r="I121" s="13">
        <v>45371</v>
      </c>
      <c r="J121" s="13" t="str">
        <f>TEXT(Table1[[#This Row],[Date]],"[$-en-US]mmm yyyy")</f>
        <v>Mar 2024</v>
      </c>
      <c r="K121" s="13" t="str">
        <f>TEXT(Table1[[#This Row],[Date]],"[$-en-US]ddd")</f>
        <v>Wed</v>
      </c>
    </row>
    <row r="122" spans="1:11" x14ac:dyDescent="0.25">
      <c r="A122">
        <v>16</v>
      </c>
      <c r="B122" t="s">
        <v>9</v>
      </c>
      <c r="C122">
        <v>38.700000000000003</v>
      </c>
      <c r="D122" t="s">
        <v>19</v>
      </c>
      <c r="E122" t="s">
        <v>15</v>
      </c>
      <c r="F122" t="s">
        <v>13</v>
      </c>
      <c r="G122">
        <v>3</v>
      </c>
      <c r="H122">
        <v>3</v>
      </c>
      <c r="I122" s="13">
        <v>45371</v>
      </c>
      <c r="J122" s="13" t="str">
        <f>TEXT(Table1[[#This Row],[Date]],"[$-en-US]mmm yyyy")</f>
        <v>Mar 2024</v>
      </c>
      <c r="K122" s="13" t="str">
        <f>TEXT(Table1[[#This Row],[Date]],"[$-en-US]ddd")</f>
        <v>Wed</v>
      </c>
    </row>
    <row r="123" spans="1:11" x14ac:dyDescent="0.25">
      <c r="A123">
        <v>17</v>
      </c>
      <c r="B123" t="s">
        <v>9</v>
      </c>
      <c r="C123">
        <v>38.700000000000003</v>
      </c>
      <c r="D123" t="s">
        <v>10</v>
      </c>
      <c r="E123" t="s">
        <v>18</v>
      </c>
      <c r="F123" t="s">
        <v>13</v>
      </c>
      <c r="G123">
        <v>3</v>
      </c>
      <c r="H123">
        <v>3</v>
      </c>
      <c r="I123" s="13">
        <v>45371</v>
      </c>
      <c r="J123" s="13" t="str">
        <f>TEXT(Table1[[#This Row],[Date]],"[$-en-US]mmm yyyy")</f>
        <v>Mar 2024</v>
      </c>
      <c r="K123" s="13" t="str">
        <f>TEXT(Table1[[#This Row],[Date]],"[$-en-US]ddd")</f>
        <v>Wed</v>
      </c>
    </row>
    <row r="124" spans="1:11" x14ac:dyDescent="0.25">
      <c r="A124">
        <v>12</v>
      </c>
      <c r="B124" t="s">
        <v>9</v>
      </c>
      <c r="C124">
        <v>28.9</v>
      </c>
      <c r="D124" t="s">
        <v>22</v>
      </c>
      <c r="E124" t="s">
        <v>15</v>
      </c>
      <c r="F124" t="s">
        <v>13</v>
      </c>
      <c r="G124">
        <v>4</v>
      </c>
      <c r="H124">
        <v>3</v>
      </c>
      <c r="I124" s="13">
        <v>45372</v>
      </c>
      <c r="J124" s="13" t="str">
        <f>TEXT(Table1[[#This Row],[Date]],"[$-en-US]mmm yyyy")</f>
        <v>Mar 2024</v>
      </c>
      <c r="K124" s="13" t="str">
        <f>TEXT(Table1[[#This Row],[Date]],"[$-en-US]ddd")</f>
        <v>Thu</v>
      </c>
    </row>
    <row r="125" spans="1:11" x14ac:dyDescent="0.25">
      <c r="A125">
        <v>12</v>
      </c>
      <c r="B125" t="s">
        <v>9</v>
      </c>
      <c r="C125">
        <v>38.700000000000003</v>
      </c>
      <c r="D125" t="s">
        <v>27</v>
      </c>
      <c r="E125" t="s">
        <v>15</v>
      </c>
      <c r="F125" t="s">
        <v>13</v>
      </c>
      <c r="G125">
        <v>4</v>
      </c>
      <c r="H125">
        <v>3</v>
      </c>
      <c r="I125" s="13">
        <v>45372</v>
      </c>
      <c r="J125" s="13" t="str">
        <f>TEXT(Table1[[#This Row],[Date]],"[$-en-US]mmm yyyy")</f>
        <v>Mar 2024</v>
      </c>
      <c r="K125" s="13" t="str">
        <f>TEXT(Table1[[#This Row],[Date]],"[$-en-US]ddd")</f>
        <v>Thu</v>
      </c>
    </row>
    <row r="126" spans="1:11" x14ac:dyDescent="0.25">
      <c r="A126">
        <v>17</v>
      </c>
      <c r="B126" t="s">
        <v>9</v>
      </c>
      <c r="C126">
        <v>28.9</v>
      </c>
      <c r="D126" t="s">
        <v>22</v>
      </c>
      <c r="E126" t="s">
        <v>18</v>
      </c>
      <c r="F126" t="s">
        <v>13</v>
      </c>
      <c r="G126">
        <v>4</v>
      </c>
      <c r="H126">
        <v>3</v>
      </c>
      <c r="I126" s="13">
        <v>45372</v>
      </c>
      <c r="J126" s="13" t="str">
        <f>TEXT(Table1[[#This Row],[Date]],"[$-en-US]mmm yyyy")</f>
        <v>Mar 2024</v>
      </c>
      <c r="K126" s="13" t="str">
        <f>TEXT(Table1[[#This Row],[Date]],"[$-en-US]ddd")</f>
        <v>Thu</v>
      </c>
    </row>
    <row r="127" spans="1:11" x14ac:dyDescent="0.25">
      <c r="A127">
        <v>19</v>
      </c>
      <c r="B127" t="s">
        <v>9</v>
      </c>
      <c r="C127">
        <v>38.700000000000003</v>
      </c>
      <c r="D127" t="s">
        <v>10</v>
      </c>
      <c r="E127" t="s">
        <v>18</v>
      </c>
      <c r="F127" t="s">
        <v>13</v>
      </c>
      <c r="G127">
        <v>4</v>
      </c>
      <c r="H127">
        <v>3</v>
      </c>
      <c r="I127" s="13">
        <v>45372</v>
      </c>
      <c r="J127" s="13" t="str">
        <f>TEXT(Table1[[#This Row],[Date]],"[$-en-US]mmm yyyy")</f>
        <v>Mar 2024</v>
      </c>
      <c r="K127" s="13" t="str">
        <f>TEXT(Table1[[#This Row],[Date]],"[$-en-US]ddd")</f>
        <v>Thu</v>
      </c>
    </row>
    <row r="128" spans="1:11" x14ac:dyDescent="0.25">
      <c r="A128">
        <v>10</v>
      </c>
      <c r="B128" t="s">
        <v>9</v>
      </c>
      <c r="C128">
        <v>33.799999999999997</v>
      </c>
      <c r="D128" t="s">
        <v>17</v>
      </c>
      <c r="E128" t="s">
        <v>11</v>
      </c>
      <c r="F128" t="s">
        <v>13</v>
      </c>
      <c r="G128">
        <v>5</v>
      </c>
      <c r="H128">
        <v>3</v>
      </c>
      <c r="I128" s="13">
        <v>45373</v>
      </c>
      <c r="J128" s="13" t="str">
        <f>TEXT(Table1[[#This Row],[Date]],"[$-en-US]mmm yyyy")</f>
        <v>Mar 2024</v>
      </c>
      <c r="K128" s="13" t="str">
        <f>TEXT(Table1[[#This Row],[Date]],"[$-en-US]ddd")</f>
        <v>Fri</v>
      </c>
    </row>
    <row r="129" spans="1:11" x14ac:dyDescent="0.25">
      <c r="A129">
        <v>13</v>
      </c>
      <c r="B129" t="s">
        <v>9</v>
      </c>
      <c r="C129">
        <v>33.799999999999997</v>
      </c>
      <c r="D129" t="s">
        <v>17</v>
      </c>
      <c r="E129" t="s">
        <v>15</v>
      </c>
      <c r="F129" t="s">
        <v>13</v>
      </c>
      <c r="G129">
        <v>5</v>
      </c>
      <c r="H129">
        <v>3</v>
      </c>
      <c r="I129" s="13">
        <v>45373</v>
      </c>
      <c r="J129" s="13" t="str">
        <f>TEXT(Table1[[#This Row],[Date]],"[$-en-US]mmm yyyy")</f>
        <v>Mar 2024</v>
      </c>
      <c r="K129" s="13" t="str">
        <f>TEXT(Table1[[#This Row],[Date]],"[$-en-US]ddd")</f>
        <v>Fri</v>
      </c>
    </row>
    <row r="130" spans="1:11" x14ac:dyDescent="0.25">
      <c r="A130">
        <v>17</v>
      </c>
      <c r="B130" t="s">
        <v>9</v>
      </c>
      <c r="C130">
        <v>28.9</v>
      </c>
      <c r="D130" t="s">
        <v>16</v>
      </c>
      <c r="E130" t="s">
        <v>18</v>
      </c>
      <c r="F130" t="s">
        <v>13</v>
      </c>
      <c r="G130">
        <v>5</v>
      </c>
      <c r="H130">
        <v>3</v>
      </c>
      <c r="I130" s="13">
        <v>45373</v>
      </c>
      <c r="J130" s="13" t="str">
        <f>TEXT(Table1[[#This Row],[Date]],"[$-en-US]mmm yyyy")</f>
        <v>Mar 2024</v>
      </c>
      <c r="K130" s="13" t="str">
        <f>TEXT(Table1[[#This Row],[Date]],"[$-en-US]ddd")</f>
        <v>Fri</v>
      </c>
    </row>
    <row r="131" spans="1:11" x14ac:dyDescent="0.25">
      <c r="A131">
        <v>17</v>
      </c>
      <c r="B131" t="s">
        <v>9</v>
      </c>
      <c r="C131">
        <v>24</v>
      </c>
      <c r="D131" t="s">
        <v>24</v>
      </c>
      <c r="E131" t="s">
        <v>18</v>
      </c>
      <c r="F131" t="s">
        <v>13</v>
      </c>
      <c r="G131">
        <v>5</v>
      </c>
      <c r="H131">
        <v>3</v>
      </c>
      <c r="I131" s="13">
        <v>45373</v>
      </c>
      <c r="J131" s="13" t="str">
        <f>TEXT(Table1[[#This Row],[Date]],"[$-en-US]mmm yyyy")</f>
        <v>Mar 2024</v>
      </c>
      <c r="K131" s="13" t="str">
        <f>TEXT(Table1[[#This Row],[Date]],"[$-en-US]ddd")</f>
        <v>Fri</v>
      </c>
    </row>
    <row r="132" spans="1:11" x14ac:dyDescent="0.25">
      <c r="A132">
        <v>17</v>
      </c>
      <c r="B132" t="s">
        <v>9</v>
      </c>
      <c r="C132">
        <v>28.9</v>
      </c>
      <c r="D132" t="s">
        <v>16</v>
      </c>
      <c r="E132" t="s">
        <v>18</v>
      </c>
      <c r="F132" t="s">
        <v>13</v>
      </c>
      <c r="G132">
        <v>5</v>
      </c>
      <c r="H132">
        <v>3</v>
      </c>
      <c r="I132" s="13">
        <v>45373</v>
      </c>
      <c r="J132" s="13" t="str">
        <f>TEXT(Table1[[#This Row],[Date]],"[$-en-US]mmm yyyy")</f>
        <v>Mar 2024</v>
      </c>
      <c r="K132" s="13" t="str">
        <f>TEXT(Table1[[#This Row],[Date]],"[$-en-US]ddd")</f>
        <v>Fri</v>
      </c>
    </row>
    <row r="133" spans="1:11" x14ac:dyDescent="0.25">
      <c r="A133">
        <v>10</v>
      </c>
      <c r="B133" t="s">
        <v>9</v>
      </c>
      <c r="C133">
        <v>38.700000000000003</v>
      </c>
      <c r="D133" t="s">
        <v>10</v>
      </c>
      <c r="E133" t="s">
        <v>11</v>
      </c>
      <c r="F133" t="s">
        <v>13</v>
      </c>
      <c r="G133">
        <v>6</v>
      </c>
      <c r="H133">
        <v>3</v>
      </c>
      <c r="I133" s="13">
        <v>45374</v>
      </c>
      <c r="J133" s="13" t="str">
        <f>TEXT(Table1[[#This Row],[Date]],"[$-en-US]mmm yyyy")</f>
        <v>Mar 2024</v>
      </c>
      <c r="K133" s="13" t="str">
        <f>TEXT(Table1[[#This Row],[Date]],"[$-en-US]ddd")</f>
        <v>Sat</v>
      </c>
    </row>
    <row r="134" spans="1:11" x14ac:dyDescent="0.25">
      <c r="A134">
        <v>10</v>
      </c>
      <c r="B134" t="s">
        <v>9</v>
      </c>
      <c r="C134">
        <v>33.799999999999997</v>
      </c>
      <c r="D134" t="s">
        <v>17</v>
      </c>
      <c r="E134" t="s">
        <v>11</v>
      </c>
      <c r="F134" t="s">
        <v>13</v>
      </c>
      <c r="G134">
        <v>6</v>
      </c>
      <c r="H134">
        <v>3</v>
      </c>
      <c r="I134" s="13">
        <v>45374</v>
      </c>
      <c r="J134" s="13" t="str">
        <f>TEXT(Table1[[#This Row],[Date]],"[$-en-US]mmm yyyy")</f>
        <v>Mar 2024</v>
      </c>
      <c r="K134" s="13" t="str">
        <f>TEXT(Table1[[#This Row],[Date]],"[$-en-US]ddd")</f>
        <v>Sat</v>
      </c>
    </row>
    <row r="135" spans="1:11" x14ac:dyDescent="0.25">
      <c r="A135">
        <v>13</v>
      </c>
      <c r="B135" t="s">
        <v>9</v>
      </c>
      <c r="C135">
        <v>38.700000000000003</v>
      </c>
      <c r="D135" t="s">
        <v>27</v>
      </c>
      <c r="E135" t="s">
        <v>15</v>
      </c>
      <c r="F135" t="s">
        <v>13</v>
      </c>
      <c r="G135">
        <v>6</v>
      </c>
      <c r="H135">
        <v>3</v>
      </c>
      <c r="I135" s="13">
        <v>45374</v>
      </c>
      <c r="J135" s="13" t="str">
        <f>TEXT(Table1[[#This Row],[Date]],"[$-en-US]mmm yyyy")</f>
        <v>Mar 2024</v>
      </c>
      <c r="K135" s="13" t="str">
        <f>TEXT(Table1[[#This Row],[Date]],"[$-en-US]ddd")</f>
        <v>Sat</v>
      </c>
    </row>
    <row r="136" spans="1:11" x14ac:dyDescent="0.25">
      <c r="A136">
        <v>13</v>
      </c>
      <c r="B136" t="s">
        <v>9</v>
      </c>
      <c r="C136">
        <v>38.700000000000003</v>
      </c>
      <c r="D136" t="s">
        <v>19</v>
      </c>
      <c r="E136" t="s">
        <v>15</v>
      </c>
      <c r="F136" t="s">
        <v>13</v>
      </c>
      <c r="G136">
        <v>6</v>
      </c>
      <c r="H136">
        <v>3</v>
      </c>
      <c r="I136" s="13">
        <v>45374</v>
      </c>
      <c r="J136" s="13" t="str">
        <f>TEXT(Table1[[#This Row],[Date]],"[$-en-US]mmm yyyy")</f>
        <v>Mar 2024</v>
      </c>
      <c r="K136" s="13" t="str">
        <f>TEXT(Table1[[#This Row],[Date]],"[$-en-US]ddd")</f>
        <v>Sat</v>
      </c>
    </row>
    <row r="137" spans="1:11" x14ac:dyDescent="0.25">
      <c r="A137">
        <v>14</v>
      </c>
      <c r="B137" t="s">
        <v>9</v>
      </c>
      <c r="C137">
        <v>33.799999999999997</v>
      </c>
      <c r="D137" t="s">
        <v>17</v>
      </c>
      <c r="E137" t="s">
        <v>15</v>
      </c>
      <c r="F137" t="s">
        <v>13</v>
      </c>
      <c r="G137">
        <v>6</v>
      </c>
      <c r="H137">
        <v>3</v>
      </c>
      <c r="I137" s="13">
        <v>45374</v>
      </c>
      <c r="J137" s="13" t="str">
        <f>TEXT(Table1[[#This Row],[Date]],"[$-en-US]mmm yyyy")</f>
        <v>Mar 2024</v>
      </c>
      <c r="K137" s="13" t="str">
        <f>TEXT(Table1[[#This Row],[Date]],"[$-en-US]ddd")</f>
        <v>Sat</v>
      </c>
    </row>
    <row r="138" spans="1:11" x14ac:dyDescent="0.25">
      <c r="A138">
        <v>15</v>
      </c>
      <c r="B138" t="s">
        <v>9</v>
      </c>
      <c r="C138">
        <v>38.700000000000003</v>
      </c>
      <c r="D138" t="s">
        <v>10</v>
      </c>
      <c r="E138" t="s">
        <v>15</v>
      </c>
      <c r="F138" t="s">
        <v>13</v>
      </c>
      <c r="G138">
        <v>6</v>
      </c>
      <c r="H138">
        <v>3</v>
      </c>
      <c r="I138" s="13">
        <v>45374</v>
      </c>
      <c r="J138" s="13" t="str">
        <f>TEXT(Table1[[#This Row],[Date]],"[$-en-US]mmm yyyy")</f>
        <v>Mar 2024</v>
      </c>
      <c r="K138" s="13" t="str">
        <f>TEXT(Table1[[#This Row],[Date]],"[$-en-US]ddd")</f>
        <v>Sat</v>
      </c>
    </row>
    <row r="139" spans="1:11" x14ac:dyDescent="0.25">
      <c r="A139">
        <v>15</v>
      </c>
      <c r="B139" t="s">
        <v>9</v>
      </c>
      <c r="C139">
        <v>33.799999999999997</v>
      </c>
      <c r="D139" t="s">
        <v>17</v>
      </c>
      <c r="E139" t="s">
        <v>15</v>
      </c>
      <c r="F139" t="s">
        <v>13</v>
      </c>
      <c r="G139">
        <v>6</v>
      </c>
      <c r="H139">
        <v>3</v>
      </c>
      <c r="I139" s="13">
        <v>45374</v>
      </c>
      <c r="J139" s="13" t="str">
        <f>TEXT(Table1[[#This Row],[Date]],"[$-en-US]mmm yyyy")</f>
        <v>Mar 2024</v>
      </c>
      <c r="K139" s="13" t="str">
        <f>TEXT(Table1[[#This Row],[Date]],"[$-en-US]ddd")</f>
        <v>Sat</v>
      </c>
    </row>
    <row r="140" spans="1:11" x14ac:dyDescent="0.25">
      <c r="A140">
        <v>16</v>
      </c>
      <c r="B140" t="s">
        <v>9</v>
      </c>
      <c r="C140">
        <v>28.9</v>
      </c>
      <c r="D140" t="s">
        <v>22</v>
      </c>
      <c r="E140" t="s">
        <v>15</v>
      </c>
      <c r="F140" t="s">
        <v>13</v>
      </c>
      <c r="G140">
        <v>6</v>
      </c>
      <c r="H140">
        <v>3</v>
      </c>
      <c r="I140" s="13">
        <v>45374</v>
      </c>
      <c r="J140" s="13" t="str">
        <f>TEXT(Table1[[#This Row],[Date]],"[$-en-US]mmm yyyy")</f>
        <v>Mar 2024</v>
      </c>
      <c r="K140" s="13" t="str">
        <f>TEXT(Table1[[#This Row],[Date]],"[$-en-US]ddd")</f>
        <v>Sat</v>
      </c>
    </row>
    <row r="141" spans="1:11" x14ac:dyDescent="0.25">
      <c r="A141">
        <v>18</v>
      </c>
      <c r="B141" t="s">
        <v>9</v>
      </c>
      <c r="C141">
        <v>38.700000000000003</v>
      </c>
      <c r="D141" t="s">
        <v>10</v>
      </c>
      <c r="E141" t="s">
        <v>18</v>
      </c>
      <c r="F141" t="s">
        <v>13</v>
      </c>
      <c r="G141">
        <v>7</v>
      </c>
      <c r="H141">
        <v>3</v>
      </c>
      <c r="I141" s="13">
        <v>45375</v>
      </c>
      <c r="J141" s="13" t="str">
        <f>TEXT(Table1[[#This Row],[Date]],"[$-en-US]mmm yyyy")</f>
        <v>Mar 2024</v>
      </c>
      <c r="K141" s="13" t="str">
        <f>TEXT(Table1[[#This Row],[Date]],"[$-en-US]ddd")</f>
        <v>Sun</v>
      </c>
    </row>
    <row r="142" spans="1:11" x14ac:dyDescent="0.25">
      <c r="A142">
        <v>10</v>
      </c>
      <c r="B142" t="s">
        <v>9</v>
      </c>
      <c r="C142">
        <v>38.700000000000003</v>
      </c>
      <c r="D142" t="s">
        <v>10</v>
      </c>
      <c r="E142" t="s">
        <v>11</v>
      </c>
      <c r="F142" t="s">
        <v>13</v>
      </c>
      <c r="G142">
        <v>1</v>
      </c>
      <c r="H142">
        <v>3</v>
      </c>
      <c r="I142" s="13">
        <v>45376</v>
      </c>
      <c r="J142" s="13" t="str">
        <f>TEXT(Table1[[#This Row],[Date]],"[$-en-US]mmm yyyy")</f>
        <v>Mar 2024</v>
      </c>
      <c r="K142" s="13" t="str">
        <f>TEXT(Table1[[#This Row],[Date]],"[$-en-US]ddd")</f>
        <v>Mon</v>
      </c>
    </row>
    <row r="143" spans="1:11" x14ac:dyDescent="0.25">
      <c r="A143">
        <v>14</v>
      </c>
      <c r="B143" t="s">
        <v>9</v>
      </c>
      <c r="C143">
        <v>38.700000000000003</v>
      </c>
      <c r="D143" t="s">
        <v>10</v>
      </c>
      <c r="E143" t="s">
        <v>15</v>
      </c>
      <c r="F143" t="s">
        <v>13</v>
      </c>
      <c r="G143">
        <v>1</v>
      </c>
      <c r="H143">
        <v>3</v>
      </c>
      <c r="I143" s="13">
        <v>45376</v>
      </c>
      <c r="J143" s="13" t="str">
        <f>TEXT(Table1[[#This Row],[Date]],"[$-en-US]mmm yyyy")</f>
        <v>Mar 2024</v>
      </c>
      <c r="K143" s="13" t="str">
        <f>TEXT(Table1[[#This Row],[Date]],"[$-en-US]ddd")</f>
        <v>Mon</v>
      </c>
    </row>
    <row r="144" spans="1:11" x14ac:dyDescent="0.25">
      <c r="A144">
        <v>14</v>
      </c>
      <c r="B144" t="s">
        <v>9</v>
      </c>
      <c r="C144">
        <v>38.700000000000003</v>
      </c>
      <c r="D144" t="s">
        <v>10</v>
      </c>
      <c r="E144" t="s">
        <v>15</v>
      </c>
      <c r="F144" t="s">
        <v>13</v>
      </c>
      <c r="G144">
        <v>1</v>
      </c>
      <c r="H144">
        <v>3</v>
      </c>
      <c r="I144" s="13">
        <v>45376</v>
      </c>
      <c r="J144" s="13" t="str">
        <f>TEXT(Table1[[#This Row],[Date]],"[$-en-US]mmm yyyy")</f>
        <v>Mar 2024</v>
      </c>
      <c r="K144" s="13" t="str">
        <f>TEXT(Table1[[#This Row],[Date]],"[$-en-US]ddd")</f>
        <v>Mon</v>
      </c>
    </row>
    <row r="145" spans="1:11" x14ac:dyDescent="0.25">
      <c r="A145">
        <v>18</v>
      </c>
      <c r="B145" t="s">
        <v>9</v>
      </c>
      <c r="C145">
        <v>33.799999999999997</v>
      </c>
      <c r="D145" t="s">
        <v>17</v>
      </c>
      <c r="E145" t="s">
        <v>18</v>
      </c>
      <c r="F145" t="s">
        <v>13</v>
      </c>
      <c r="G145">
        <v>1</v>
      </c>
      <c r="H145">
        <v>3</v>
      </c>
      <c r="I145" s="13">
        <v>45376</v>
      </c>
      <c r="J145" s="13" t="str">
        <f>TEXT(Table1[[#This Row],[Date]],"[$-en-US]mmm yyyy")</f>
        <v>Mar 2024</v>
      </c>
      <c r="K145" s="13" t="str">
        <f>TEXT(Table1[[#This Row],[Date]],"[$-en-US]ddd")</f>
        <v>Mon</v>
      </c>
    </row>
    <row r="146" spans="1:11" x14ac:dyDescent="0.25">
      <c r="A146">
        <v>19</v>
      </c>
      <c r="B146" t="s">
        <v>9</v>
      </c>
      <c r="C146">
        <v>38.700000000000003</v>
      </c>
      <c r="D146" t="s">
        <v>27</v>
      </c>
      <c r="E146" t="s">
        <v>18</v>
      </c>
      <c r="F146" t="s">
        <v>13</v>
      </c>
      <c r="G146">
        <v>1</v>
      </c>
      <c r="H146">
        <v>3</v>
      </c>
      <c r="I146" s="13">
        <v>45376</v>
      </c>
      <c r="J146" s="13" t="str">
        <f>TEXT(Table1[[#This Row],[Date]],"[$-en-US]mmm yyyy")</f>
        <v>Mar 2024</v>
      </c>
      <c r="K146" s="13" t="str">
        <f>TEXT(Table1[[#This Row],[Date]],"[$-en-US]ddd")</f>
        <v>Mon</v>
      </c>
    </row>
    <row r="147" spans="1:11" x14ac:dyDescent="0.25">
      <c r="A147">
        <v>10</v>
      </c>
      <c r="B147" t="s">
        <v>9</v>
      </c>
      <c r="C147">
        <v>38.700000000000003</v>
      </c>
      <c r="D147" t="s">
        <v>19</v>
      </c>
      <c r="E147" t="s">
        <v>11</v>
      </c>
      <c r="F147" t="s">
        <v>13</v>
      </c>
      <c r="G147">
        <v>2</v>
      </c>
      <c r="H147">
        <v>3</v>
      </c>
      <c r="I147" s="13">
        <v>45377</v>
      </c>
      <c r="J147" s="13" t="str">
        <f>TEXT(Table1[[#This Row],[Date]],"[$-en-US]mmm yyyy")</f>
        <v>Mar 2024</v>
      </c>
      <c r="K147" s="13" t="str">
        <f>TEXT(Table1[[#This Row],[Date]],"[$-en-US]ddd")</f>
        <v>Tue</v>
      </c>
    </row>
    <row r="148" spans="1:11" x14ac:dyDescent="0.25">
      <c r="A148">
        <v>10</v>
      </c>
      <c r="B148" t="s">
        <v>9</v>
      </c>
      <c r="C148">
        <v>38.700000000000003</v>
      </c>
      <c r="D148" t="s">
        <v>10</v>
      </c>
      <c r="E148" t="s">
        <v>11</v>
      </c>
      <c r="F148" t="s">
        <v>13</v>
      </c>
      <c r="G148">
        <v>2</v>
      </c>
      <c r="H148">
        <v>3</v>
      </c>
      <c r="I148" s="13">
        <v>45377</v>
      </c>
      <c r="J148" s="13" t="str">
        <f>TEXT(Table1[[#This Row],[Date]],"[$-en-US]mmm yyyy")</f>
        <v>Mar 2024</v>
      </c>
      <c r="K148" s="13" t="str">
        <f>TEXT(Table1[[#This Row],[Date]],"[$-en-US]ddd")</f>
        <v>Tue</v>
      </c>
    </row>
    <row r="149" spans="1:11" x14ac:dyDescent="0.25">
      <c r="A149">
        <v>10</v>
      </c>
      <c r="B149" t="s">
        <v>9</v>
      </c>
      <c r="C149">
        <v>38.700000000000003</v>
      </c>
      <c r="D149" t="s">
        <v>10</v>
      </c>
      <c r="E149" t="s">
        <v>11</v>
      </c>
      <c r="F149" t="s">
        <v>13</v>
      </c>
      <c r="G149">
        <v>2</v>
      </c>
      <c r="H149">
        <v>3</v>
      </c>
      <c r="I149" s="13">
        <v>45377</v>
      </c>
      <c r="J149" s="13" t="str">
        <f>TEXT(Table1[[#This Row],[Date]],"[$-en-US]mmm yyyy")</f>
        <v>Mar 2024</v>
      </c>
      <c r="K149" s="13" t="str">
        <f>TEXT(Table1[[#This Row],[Date]],"[$-en-US]ddd")</f>
        <v>Tue</v>
      </c>
    </row>
    <row r="150" spans="1:11" x14ac:dyDescent="0.25">
      <c r="A150">
        <v>11</v>
      </c>
      <c r="B150" t="s">
        <v>9</v>
      </c>
      <c r="C150">
        <v>28.9</v>
      </c>
      <c r="D150" t="s">
        <v>22</v>
      </c>
      <c r="E150" t="s">
        <v>11</v>
      </c>
      <c r="F150" t="s">
        <v>13</v>
      </c>
      <c r="G150">
        <v>2</v>
      </c>
      <c r="H150">
        <v>3</v>
      </c>
      <c r="I150" s="13">
        <v>45377</v>
      </c>
      <c r="J150" s="13" t="str">
        <f>TEXT(Table1[[#This Row],[Date]],"[$-en-US]mmm yyyy")</f>
        <v>Mar 2024</v>
      </c>
      <c r="K150" s="13" t="str">
        <f>TEXT(Table1[[#This Row],[Date]],"[$-en-US]ddd")</f>
        <v>Tue</v>
      </c>
    </row>
    <row r="151" spans="1:11" x14ac:dyDescent="0.25">
      <c r="A151">
        <v>13</v>
      </c>
      <c r="B151" t="s">
        <v>9</v>
      </c>
      <c r="C151">
        <v>28.9</v>
      </c>
      <c r="D151" t="s">
        <v>16</v>
      </c>
      <c r="E151" t="s">
        <v>15</v>
      </c>
      <c r="F151" t="s">
        <v>13</v>
      </c>
      <c r="G151">
        <v>2</v>
      </c>
      <c r="H151">
        <v>3</v>
      </c>
      <c r="I151" s="13">
        <v>45377</v>
      </c>
      <c r="J151" s="13" t="str">
        <f>TEXT(Table1[[#This Row],[Date]],"[$-en-US]mmm yyyy")</f>
        <v>Mar 2024</v>
      </c>
      <c r="K151" s="13" t="str">
        <f>TEXT(Table1[[#This Row],[Date]],"[$-en-US]ddd")</f>
        <v>Tue</v>
      </c>
    </row>
    <row r="152" spans="1:11" x14ac:dyDescent="0.25">
      <c r="A152">
        <v>13</v>
      </c>
      <c r="B152" t="s">
        <v>9</v>
      </c>
      <c r="C152">
        <v>28.9</v>
      </c>
      <c r="D152" t="s">
        <v>22</v>
      </c>
      <c r="E152" t="s">
        <v>15</v>
      </c>
      <c r="F152" t="s">
        <v>13</v>
      </c>
      <c r="G152">
        <v>2</v>
      </c>
      <c r="H152">
        <v>3</v>
      </c>
      <c r="I152" s="13">
        <v>45377</v>
      </c>
      <c r="J152" s="13" t="str">
        <f>TEXT(Table1[[#This Row],[Date]],"[$-en-US]mmm yyyy")</f>
        <v>Mar 2024</v>
      </c>
      <c r="K152" s="13" t="str">
        <f>TEXT(Table1[[#This Row],[Date]],"[$-en-US]ddd")</f>
        <v>Tue</v>
      </c>
    </row>
    <row r="153" spans="1:11" x14ac:dyDescent="0.25">
      <c r="A153">
        <v>13</v>
      </c>
      <c r="B153" t="s">
        <v>9</v>
      </c>
      <c r="C153">
        <v>28.9</v>
      </c>
      <c r="D153" t="s">
        <v>22</v>
      </c>
      <c r="E153" t="s">
        <v>15</v>
      </c>
      <c r="F153" t="s">
        <v>13</v>
      </c>
      <c r="G153">
        <v>2</v>
      </c>
      <c r="H153">
        <v>3</v>
      </c>
      <c r="I153" s="13">
        <v>45377</v>
      </c>
      <c r="J153" s="13" t="str">
        <f>TEXT(Table1[[#This Row],[Date]],"[$-en-US]mmm yyyy")</f>
        <v>Mar 2024</v>
      </c>
      <c r="K153" s="13" t="str">
        <f>TEXT(Table1[[#This Row],[Date]],"[$-en-US]ddd")</f>
        <v>Tue</v>
      </c>
    </row>
    <row r="154" spans="1:11" x14ac:dyDescent="0.25">
      <c r="A154">
        <v>13</v>
      </c>
      <c r="B154" t="s">
        <v>9</v>
      </c>
      <c r="C154">
        <v>28.9</v>
      </c>
      <c r="D154" t="s">
        <v>16</v>
      </c>
      <c r="E154" t="s">
        <v>15</v>
      </c>
      <c r="F154" t="s">
        <v>13</v>
      </c>
      <c r="G154">
        <v>2</v>
      </c>
      <c r="H154">
        <v>3</v>
      </c>
      <c r="I154" s="13">
        <v>45377</v>
      </c>
      <c r="J154" s="13" t="str">
        <f>TEXT(Table1[[#This Row],[Date]],"[$-en-US]mmm yyyy")</f>
        <v>Mar 2024</v>
      </c>
      <c r="K154" s="13" t="str">
        <f>TEXT(Table1[[#This Row],[Date]],"[$-en-US]ddd")</f>
        <v>Tue</v>
      </c>
    </row>
    <row r="155" spans="1:11" x14ac:dyDescent="0.25">
      <c r="A155">
        <v>15</v>
      </c>
      <c r="B155" t="s">
        <v>9</v>
      </c>
      <c r="C155">
        <v>38.700000000000003</v>
      </c>
      <c r="D155" t="s">
        <v>10</v>
      </c>
      <c r="E155" t="s">
        <v>15</v>
      </c>
      <c r="F155" t="s">
        <v>13</v>
      </c>
      <c r="G155">
        <v>2</v>
      </c>
      <c r="H155">
        <v>3</v>
      </c>
      <c r="I155" s="13">
        <v>45377</v>
      </c>
      <c r="J155" s="13" t="str">
        <f>TEXT(Table1[[#This Row],[Date]],"[$-en-US]mmm yyyy")</f>
        <v>Mar 2024</v>
      </c>
      <c r="K155" s="13" t="str">
        <f>TEXT(Table1[[#This Row],[Date]],"[$-en-US]ddd")</f>
        <v>Tue</v>
      </c>
    </row>
    <row r="156" spans="1:11" x14ac:dyDescent="0.25">
      <c r="A156">
        <v>18</v>
      </c>
      <c r="B156" t="s">
        <v>9</v>
      </c>
      <c r="C156">
        <v>38.700000000000003</v>
      </c>
      <c r="D156" t="s">
        <v>10</v>
      </c>
      <c r="E156" t="s">
        <v>18</v>
      </c>
      <c r="F156" t="s">
        <v>13</v>
      </c>
      <c r="G156">
        <v>2</v>
      </c>
      <c r="H156">
        <v>3</v>
      </c>
      <c r="I156" s="13">
        <v>45377</v>
      </c>
      <c r="J156" s="13" t="str">
        <f>TEXT(Table1[[#This Row],[Date]],"[$-en-US]mmm yyyy")</f>
        <v>Mar 2024</v>
      </c>
      <c r="K156" s="13" t="str">
        <f>TEXT(Table1[[#This Row],[Date]],"[$-en-US]ddd")</f>
        <v>Tue</v>
      </c>
    </row>
    <row r="157" spans="1:11" x14ac:dyDescent="0.25">
      <c r="A157">
        <v>18</v>
      </c>
      <c r="B157" t="s">
        <v>9</v>
      </c>
      <c r="C157">
        <v>38.700000000000003</v>
      </c>
      <c r="D157" t="s">
        <v>14</v>
      </c>
      <c r="E157" t="s">
        <v>18</v>
      </c>
      <c r="F157" t="s">
        <v>13</v>
      </c>
      <c r="G157">
        <v>2</v>
      </c>
      <c r="H157">
        <v>3</v>
      </c>
      <c r="I157" s="13">
        <v>45377</v>
      </c>
      <c r="J157" s="13" t="str">
        <f>TEXT(Table1[[#This Row],[Date]],"[$-en-US]mmm yyyy")</f>
        <v>Mar 2024</v>
      </c>
      <c r="K157" s="13" t="str">
        <f>TEXT(Table1[[#This Row],[Date]],"[$-en-US]ddd")</f>
        <v>Tue</v>
      </c>
    </row>
    <row r="158" spans="1:11" x14ac:dyDescent="0.25">
      <c r="A158">
        <v>11</v>
      </c>
      <c r="B158" t="s">
        <v>9</v>
      </c>
      <c r="C158">
        <v>28.9</v>
      </c>
      <c r="D158" t="s">
        <v>22</v>
      </c>
      <c r="E158" t="s">
        <v>11</v>
      </c>
      <c r="F158" t="s">
        <v>13</v>
      </c>
      <c r="G158">
        <v>3</v>
      </c>
      <c r="H158">
        <v>3</v>
      </c>
      <c r="I158" s="13">
        <v>45378</v>
      </c>
      <c r="J158" s="13" t="str">
        <f>TEXT(Table1[[#This Row],[Date]],"[$-en-US]mmm yyyy")</f>
        <v>Mar 2024</v>
      </c>
      <c r="K158" s="13" t="str">
        <f>TEXT(Table1[[#This Row],[Date]],"[$-en-US]ddd")</f>
        <v>Wed</v>
      </c>
    </row>
    <row r="159" spans="1:11" x14ac:dyDescent="0.25">
      <c r="A159">
        <v>11</v>
      </c>
      <c r="B159" t="s">
        <v>9</v>
      </c>
      <c r="C159">
        <v>33.799999999999997</v>
      </c>
      <c r="D159" t="s">
        <v>17</v>
      </c>
      <c r="E159" t="s">
        <v>11</v>
      </c>
      <c r="F159" t="s">
        <v>13</v>
      </c>
      <c r="G159">
        <v>3</v>
      </c>
      <c r="H159">
        <v>3</v>
      </c>
      <c r="I159" s="13">
        <v>45378</v>
      </c>
      <c r="J159" s="13" t="str">
        <f>TEXT(Table1[[#This Row],[Date]],"[$-en-US]mmm yyyy")</f>
        <v>Mar 2024</v>
      </c>
      <c r="K159" s="13" t="str">
        <f>TEXT(Table1[[#This Row],[Date]],"[$-en-US]ddd")</f>
        <v>Wed</v>
      </c>
    </row>
    <row r="160" spans="1:11" x14ac:dyDescent="0.25">
      <c r="A160">
        <v>12</v>
      </c>
      <c r="B160" t="s">
        <v>9</v>
      </c>
      <c r="C160">
        <v>33.799999999999997</v>
      </c>
      <c r="D160" t="s">
        <v>17</v>
      </c>
      <c r="E160" t="s">
        <v>15</v>
      </c>
      <c r="F160" t="s">
        <v>13</v>
      </c>
      <c r="G160">
        <v>3</v>
      </c>
      <c r="H160">
        <v>3</v>
      </c>
      <c r="I160" s="13">
        <v>45378</v>
      </c>
      <c r="J160" s="13" t="str">
        <f>TEXT(Table1[[#This Row],[Date]],"[$-en-US]mmm yyyy")</f>
        <v>Mar 2024</v>
      </c>
      <c r="K160" s="13" t="str">
        <f>TEXT(Table1[[#This Row],[Date]],"[$-en-US]ddd")</f>
        <v>Wed</v>
      </c>
    </row>
    <row r="161" spans="1:11" x14ac:dyDescent="0.25">
      <c r="A161">
        <v>13</v>
      </c>
      <c r="B161" t="s">
        <v>9</v>
      </c>
      <c r="C161">
        <v>38.700000000000003</v>
      </c>
      <c r="D161" t="s">
        <v>14</v>
      </c>
      <c r="E161" t="s">
        <v>15</v>
      </c>
      <c r="F161" t="s">
        <v>13</v>
      </c>
      <c r="G161">
        <v>3</v>
      </c>
      <c r="H161">
        <v>3</v>
      </c>
      <c r="I161" s="13">
        <v>45378</v>
      </c>
      <c r="J161" s="13" t="str">
        <f>TEXT(Table1[[#This Row],[Date]],"[$-en-US]mmm yyyy")</f>
        <v>Mar 2024</v>
      </c>
      <c r="K161" s="13" t="str">
        <f>TEXT(Table1[[#This Row],[Date]],"[$-en-US]ddd")</f>
        <v>Wed</v>
      </c>
    </row>
    <row r="162" spans="1:11" x14ac:dyDescent="0.25">
      <c r="A162">
        <v>14</v>
      </c>
      <c r="B162" t="s">
        <v>9</v>
      </c>
      <c r="C162">
        <v>38.700000000000003</v>
      </c>
      <c r="D162" t="s">
        <v>27</v>
      </c>
      <c r="E162" t="s">
        <v>15</v>
      </c>
      <c r="F162" t="s">
        <v>13</v>
      </c>
      <c r="G162">
        <v>3</v>
      </c>
      <c r="H162">
        <v>3</v>
      </c>
      <c r="I162" s="13">
        <v>45378</v>
      </c>
      <c r="J162" s="13" t="str">
        <f>TEXT(Table1[[#This Row],[Date]],"[$-en-US]mmm yyyy")</f>
        <v>Mar 2024</v>
      </c>
      <c r="K162" s="13" t="str">
        <f>TEXT(Table1[[#This Row],[Date]],"[$-en-US]ddd")</f>
        <v>Wed</v>
      </c>
    </row>
    <row r="163" spans="1:11" x14ac:dyDescent="0.25">
      <c r="A163">
        <v>14</v>
      </c>
      <c r="B163" t="s">
        <v>9</v>
      </c>
      <c r="C163">
        <v>28.9</v>
      </c>
      <c r="D163" t="s">
        <v>16</v>
      </c>
      <c r="E163" t="s">
        <v>15</v>
      </c>
      <c r="F163" t="s">
        <v>13</v>
      </c>
      <c r="G163">
        <v>3</v>
      </c>
      <c r="H163">
        <v>3</v>
      </c>
      <c r="I163" s="13">
        <v>45378</v>
      </c>
      <c r="J163" s="13" t="str">
        <f>TEXT(Table1[[#This Row],[Date]],"[$-en-US]mmm yyyy")</f>
        <v>Mar 2024</v>
      </c>
      <c r="K163" s="13" t="str">
        <f>TEXT(Table1[[#This Row],[Date]],"[$-en-US]ddd")</f>
        <v>Wed</v>
      </c>
    </row>
    <row r="164" spans="1:11" x14ac:dyDescent="0.25">
      <c r="A164">
        <v>18</v>
      </c>
      <c r="B164" t="s">
        <v>9</v>
      </c>
      <c r="C164">
        <v>28.9</v>
      </c>
      <c r="D164" t="s">
        <v>22</v>
      </c>
      <c r="E164" t="s">
        <v>18</v>
      </c>
      <c r="F164" t="s">
        <v>13</v>
      </c>
      <c r="G164">
        <v>3</v>
      </c>
      <c r="H164">
        <v>3</v>
      </c>
      <c r="I164" s="13">
        <v>45378</v>
      </c>
      <c r="J164" s="13" t="str">
        <f>TEXT(Table1[[#This Row],[Date]],"[$-en-US]mmm yyyy")</f>
        <v>Mar 2024</v>
      </c>
      <c r="K164" s="13" t="str">
        <f>TEXT(Table1[[#This Row],[Date]],"[$-en-US]ddd")</f>
        <v>Wed</v>
      </c>
    </row>
    <row r="165" spans="1:11" x14ac:dyDescent="0.25">
      <c r="A165">
        <v>14</v>
      </c>
      <c r="B165" t="s">
        <v>9</v>
      </c>
      <c r="C165">
        <v>28.9</v>
      </c>
      <c r="D165" t="s">
        <v>22</v>
      </c>
      <c r="E165" t="s">
        <v>15</v>
      </c>
      <c r="F165" t="s">
        <v>13</v>
      </c>
      <c r="G165">
        <v>4</v>
      </c>
      <c r="H165">
        <v>3</v>
      </c>
      <c r="I165" s="13">
        <v>45379</v>
      </c>
      <c r="J165" s="13" t="str">
        <f>TEXT(Table1[[#This Row],[Date]],"[$-en-US]mmm yyyy")</f>
        <v>Mar 2024</v>
      </c>
      <c r="K165" s="13" t="str">
        <f>TEXT(Table1[[#This Row],[Date]],"[$-en-US]ddd")</f>
        <v>Thu</v>
      </c>
    </row>
    <row r="166" spans="1:11" x14ac:dyDescent="0.25">
      <c r="A166">
        <v>17</v>
      </c>
      <c r="B166" t="s">
        <v>9</v>
      </c>
      <c r="C166">
        <v>28.9</v>
      </c>
      <c r="D166" t="s">
        <v>22</v>
      </c>
      <c r="E166" t="s">
        <v>18</v>
      </c>
      <c r="F166" t="s">
        <v>13</v>
      </c>
      <c r="G166">
        <v>4</v>
      </c>
      <c r="H166">
        <v>3</v>
      </c>
      <c r="I166" s="13">
        <v>45379</v>
      </c>
      <c r="J166" s="13" t="str">
        <f>TEXT(Table1[[#This Row],[Date]],"[$-en-US]mmm yyyy")</f>
        <v>Mar 2024</v>
      </c>
      <c r="K166" s="13" t="str">
        <f>TEXT(Table1[[#This Row],[Date]],"[$-en-US]ddd")</f>
        <v>Thu</v>
      </c>
    </row>
    <row r="167" spans="1:11" x14ac:dyDescent="0.25">
      <c r="A167">
        <v>17</v>
      </c>
      <c r="B167" t="s">
        <v>9</v>
      </c>
      <c r="C167">
        <v>28.9</v>
      </c>
      <c r="D167" t="s">
        <v>16</v>
      </c>
      <c r="E167" t="s">
        <v>18</v>
      </c>
      <c r="F167" t="s">
        <v>13</v>
      </c>
      <c r="G167">
        <v>4</v>
      </c>
      <c r="H167">
        <v>3</v>
      </c>
      <c r="I167" s="13">
        <v>45379</v>
      </c>
      <c r="J167" s="13" t="str">
        <f>TEXT(Table1[[#This Row],[Date]],"[$-en-US]mmm yyyy")</f>
        <v>Mar 2024</v>
      </c>
      <c r="K167" s="13" t="str">
        <f>TEXT(Table1[[#This Row],[Date]],"[$-en-US]ddd")</f>
        <v>Thu</v>
      </c>
    </row>
    <row r="168" spans="1:11" x14ac:dyDescent="0.25">
      <c r="A168">
        <v>17</v>
      </c>
      <c r="B168" t="s">
        <v>9</v>
      </c>
      <c r="C168">
        <v>38.700000000000003</v>
      </c>
      <c r="D168" t="s">
        <v>10</v>
      </c>
      <c r="E168" t="s">
        <v>18</v>
      </c>
      <c r="F168" t="s">
        <v>13</v>
      </c>
      <c r="G168">
        <v>4</v>
      </c>
      <c r="H168">
        <v>3</v>
      </c>
      <c r="I168" s="13">
        <v>45379</v>
      </c>
      <c r="J168" s="13" t="str">
        <f>TEXT(Table1[[#This Row],[Date]],"[$-en-US]mmm yyyy")</f>
        <v>Mar 2024</v>
      </c>
      <c r="K168" s="13" t="str">
        <f>TEXT(Table1[[#This Row],[Date]],"[$-en-US]ddd")</f>
        <v>Thu</v>
      </c>
    </row>
    <row r="169" spans="1:11" x14ac:dyDescent="0.25">
      <c r="A169">
        <v>10</v>
      </c>
      <c r="B169" t="s">
        <v>9</v>
      </c>
      <c r="C169">
        <v>38.700000000000003</v>
      </c>
      <c r="D169" t="s">
        <v>10</v>
      </c>
      <c r="E169" t="s">
        <v>11</v>
      </c>
      <c r="F169" t="s">
        <v>13</v>
      </c>
      <c r="G169">
        <v>5</v>
      </c>
      <c r="H169">
        <v>3</v>
      </c>
      <c r="I169" s="13">
        <v>45380</v>
      </c>
      <c r="J169" s="13" t="str">
        <f>TEXT(Table1[[#This Row],[Date]],"[$-en-US]mmm yyyy")</f>
        <v>Mar 2024</v>
      </c>
      <c r="K169" s="13" t="str">
        <f>TEXT(Table1[[#This Row],[Date]],"[$-en-US]ddd")</f>
        <v>Fri</v>
      </c>
    </row>
    <row r="170" spans="1:11" x14ac:dyDescent="0.25">
      <c r="A170">
        <v>12</v>
      </c>
      <c r="B170" t="s">
        <v>9</v>
      </c>
      <c r="C170">
        <v>38.700000000000003</v>
      </c>
      <c r="D170" t="s">
        <v>27</v>
      </c>
      <c r="E170" t="s">
        <v>15</v>
      </c>
      <c r="F170" t="s">
        <v>13</v>
      </c>
      <c r="G170">
        <v>5</v>
      </c>
      <c r="H170">
        <v>3</v>
      </c>
      <c r="I170" s="13">
        <v>45380</v>
      </c>
      <c r="J170" s="13" t="str">
        <f>TEXT(Table1[[#This Row],[Date]],"[$-en-US]mmm yyyy")</f>
        <v>Mar 2024</v>
      </c>
      <c r="K170" s="13" t="str">
        <f>TEXT(Table1[[#This Row],[Date]],"[$-en-US]ddd")</f>
        <v>Fri</v>
      </c>
    </row>
    <row r="171" spans="1:11" x14ac:dyDescent="0.25">
      <c r="A171">
        <v>12</v>
      </c>
      <c r="B171" t="s">
        <v>9</v>
      </c>
      <c r="C171">
        <v>38.700000000000003</v>
      </c>
      <c r="D171" t="s">
        <v>27</v>
      </c>
      <c r="E171" t="s">
        <v>15</v>
      </c>
      <c r="F171" t="s">
        <v>13</v>
      </c>
      <c r="G171">
        <v>5</v>
      </c>
      <c r="H171">
        <v>3</v>
      </c>
      <c r="I171" s="13">
        <v>45380</v>
      </c>
      <c r="J171" s="13" t="str">
        <f>TEXT(Table1[[#This Row],[Date]],"[$-en-US]mmm yyyy")</f>
        <v>Mar 2024</v>
      </c>
      <c r="K171" s="13" t="str">
        <f>TEXT(Table1[[#This Row],[Date]],"[$-en-US]ddd")</f>
        <v>Fri</v>
      </c>
    </row>
    <row r="172" spans="1:11" x14ac:dyDescent="0.25">
      <c r="A172">
        <v>11</v>
      </c>
      <c r="B172" t="s">
        <v>9</v>
      </c>
      <c r="C172">
        <v>38.700000000000003</v>
      </c>
      <c r="D172" t="s">
        <v>10</v>
      </c>
      <c r="E172" t="s">
        <v>11</v>
      </c>
      <c r="F172" t="s">
        <v>13</v>
      </c>
      <c r="G172">
        <v>6</v>
      </c>
      <c r="H172">
        <v>3</v>
      </c>
      <c r="I172" s="13">
        <v>45381</v>
      </c>
      <c r="J172" s="13" t="str">
        <f>TEXT(Table1[[#This Row],[Date]],"[$-en-US]mmm yyyy")</f>
        <v>Mar 2024</v>
      </c>
      <c r="K172" s="13" t="str">
        <f>TEXT(Table1[[#This Row],[Date]],"[$-en-US]ddd")</f>
        <v>Sat</v>
      </c>
    </row>
    <row r="173" spans="1:11" x14ac:dyDescent="0.25">
      <c r="A173">
        <v>16</v>
      </c>
      <c r="B173" t="s">
        <v>9</v>
      </c>
      <c r="C173">
        <v>38.700000000000003</v>
      </c>
      <c r="D173" t="s">
        <v>10</v>
      </c>
      <c r="E173" t="s">
        <v>15</v>
      </c>
      <c r="F173" t="s">
        <v>13</v>
      </c>
      <c r="G173">
        <v>6</v>
      </c>
      <c r="H173">
        <v>3</v>
      </c>
      <c r="I173" s="13">
        <v>45381</v>
      </c>
      <c r="J173" s="13" t="str">
        <f>TEXT(Table1[[#This Row],[Date]],"[$-en-US]mmm yyyy")</f>
        <v>Mar 2024</v>
      </c>
      <c r="K173" s="13" t="str">
        <f>TEXT(Table1[[#This Row],[Date]],"[$-en-US]ddd")</f>
        <v>Sat</v>
      </c>
    </row>
    <row r="174" spans="1:11" x14ac:dyDescent="0.25">
      <c r="A174">
        <v>16</v>
      </c>
      <c r="B174" t="s">
        <v>9</v>
      </c>
      <c r="C174">
        <v>38.700000000000003</v>
      </c>
      <c r="D174" t="s">
        <v>10</v>
      </c>
      <c r="E174" t="s">
        <v>15</v>
      </c>
      <c r="F174" t="s">
        <v>13</v>
      </c>
      <c r="G174">
        <v>6</v>
      </c>
      <c r="H174">
        <v>3</v>
      </c>
      <c r="I174" s="13">
        <v>45381</v>
      </c>
      <c r="J174" s="13" t="str">
        <f>TEXT(Table1[[#This Row],[Date]],"[$-en-US]mmm yyyy")</f>
        <v>Mar 2024</v>
      </c>
      <c r="K174" s="13" t="str">
        <f>TEXT(Table1[[#This Row],[Date]],"[$-en-US]ddd")</f>
        <v>Sat</v>
      </c>
    </row>
    <row r="175" spans="1:11" x14ac:dyDescent="0.25">
      <c r="A175">
        <v>16</v>
      </c>
      <c r="B175" t="s">
        <v>9</v>
      </c>
      <c r="C175">
        <v>33.799999999999997</v>
      </c>
      <c r="D175" t="s">
        <v>17</v>
      </c>
      <c r="E175" t="s">
        <v>15</v>
      </c>
      <c r="F175" t="s">
        <v>13</v>
      </c>
      <c r="G175">
        <v>6</v>
      </c>
      <c r="H175">
        <v>3</v>
      </c>
      <c r="I175" s="13">
        <v>45381</v>
      </c>
      <c r="J175" s="13" t="str">
        <f>TEXT(Table1[[#This Row],[Date]],"[$-en-US]mmm yyyy")</f>
        <v>Mar 2024</v>
      </c>
      <c r="K175" s="13" t="str">
        <f>TEXT(Table1[[#This Row],[Date]],"[$-en-US]ddd")</f>
        <v>Sat</v>
      </c>
    </row>
    <row r="176" spans="1:11" x14ac:dyDescent="0.25">
      <c r="A176">
        <v>10</v>
      </c>
      <c r="B176" t="s">
        <v>9</v>
      </c>
      <c r="C176">
        <v>38.700000000000003</v>
      </c>
      <c r="D176" t="s">
        <v>27</v>
      </c>
      <c r="E176" t="s">
        <v>11</v>
      </c>
      <c r="F176" t="s">
        <v>13</v>
      </c>
      <c r="G176">
        <v>7</v>
      </c>
      <c r="H176">
        <v>3</v>
      </c>
      <c r="I176" s="13">
        <v>45382</v>
      </c>
      <c r="J176" s="13" t="str">
        <f>TEXT(Table1[[#This Row],[Date]],"[$-en-US]mmm yyyy")</f>
        <v>Mar 2024</v>
      </c>
      <c r="K176" s="13" t="str">
        <f>TEXT(Table1[[#This Row],[Date]],"[$-en-US]ddd")</f>
        <v>Sun</v>
      </c>
    </row>
    <row r="177" spans="1:11" x14ac:dyDescent="0.25">
      <c r="A177">
        <v>10</v>
      </c>
      <c r="B177" t="s">
        <v>9</v>
      </c>
      <c r="C177">
        <v>28.9</v>
      </c>
      <c r="D177" t="s">
        <v>16</v>
      </c>
      <c r="E177" t="s">
        <v>11</v>
      </c>
      <c r="F177" t="s">
        <v>29</v>
      </c>
      <c r="G177">
        <v>1</v>
      </c>
      <c r="H177">
        <v>4</v>
      </c>
      <c r="I177" s="13">
        <v>45383</v>
      </c>
      <c r="J177" s="13" t="str">
        <f>TEXT(Table1[[#This Row],[Date]],"[$-en-US]mmm yyyy")</f>
        <v>Apr 2024</v>
      </c>
      <c r="K177" s="13" t="str">
        <f>TEXT(Table1[[#This Row],[Date]],"[$-en-US]ddd")</f>
        <v>Mon</v>
      </c>
    </row>
    <row r="178" spans="1:11" x14ac:dyDescent="0.25">
      <c r="A178">
        <v>10</v>
      </c>
      <c r="B178" t="s">
        <v>9</v>
      </c>
      <c r="C178">
        <v>33.799999999999997</v>
      </c>
      <c r="D178" t="s">
        <v>17</v>
      </c>
      <c r="E178" t="s">
        <v>11</v>
      </c>
      <c r="F178" t="s">
        <v>29</v>
      </c>
      <c r="G178">
        <v>1</v>
      </c>
      <c r="H178">
        <v>4</v>
      </c>
      <c r="I178" s="13">
        <v>45383</v>
      </c>
      <c r="J178" s="13" t="str">
        <f>TEXT(Table1[[#This Row],[Date]],"[$-en-US]mmm yyyy")</f>
        <v>Apr 2024</v>
      </c>
      <c r="K178" s="13" t="str">
        <f>TEXT(Table1[[#This Row],[Date]],"[$-en-US]ddd")</f>
        <v>Mon</v>
      </c>
    </row>
    <row r="179" spans="1:11" x14ac:dyDescent="0.25">
      <c r="A179">
        <v>10</v>
      </c>
      <c r="B179" t="s">
        <v>9</v>
      </c>
      <c r="C179">
        <v>33.799999999999997</v>
      </c>
      <c r="D179" t="s">
        <v>17</v>
      </c>
      <c r="E179" t="s">
        <v>11</v>
      </c>
      <c r="F179" t="s">
        <v>29</v>
      </c>
      <c r="G179">
        <v>1</v>
      </c>
      <c r="H179">
        <v>4</v>
      </c>
      <c r="I179" s="13">
        <v>45383</v>
      </c>
      <c r="J179" s="13" t="str">
        <f>TEXT(Table1[[#This Row],[Date]],"[$-en-US]mmm yyyy")</f>
        <v>Apr 2024</v>
      </c>
      <c r="K179" s="13" t="str">
        <f>TEXT(Table1[[#This Row],[Date]],"[$-en-US]ddd")</f>
        <v>Mon</v>
      </c>
    </row>
    <row r="180" spans="1:11" x14ac:dyDescent="0.25">
      <c r="A180">
        <v>11</v>
      </c>
      <c r="B180" t="s">
        <v>9</v>
      </c>
      <c r="C180">
        <v>33.799999999999997</v>
      </c>
      <c r="D180" t="s">
        <v>17</v>
      </c>
      <c r="E180" t="s">
        <v>11</v>
      </c>
      <c r="F180" t="s">
        <v>29</v>
      </c>
      <c r="G180">
        <v>1</v>
      </c>
      <c r="H180">
        <v>4</v>
      </c>
      <c r="I180" s="13">
        <v>45383</v>
      </c>
      <c r="J180" s="13" t="str">
        <f>TEXT(Table1[[#This Row],[Date]],"[$-en-US]mmm yyyy")</f>
        <v>Apr 2024</v>
      </c>
      <c r="K180" s="13" t="str">
        <f>TEXT(Table1[[#This Row],[Date]],"[$-en-US]ddd")</f>
        <v>Mon</v>
      </c>
    </row>
    <row r="181" spans="1:11" x14ac:dyDescent="0.25">
      <c r="A181">
        <v>18</v>
      </c>
      <c r="B181" t="s">
        <v>9</v>
      </c>
      <c r="C181">
        <v>33.799999999999997</v>
      </c>
      <c r="D181" t="s">
        <v>17</v>
      </c>
      <c r="E181" t="s">
        <v>18</v>
      </c>
      <c r="F181" t="s">
        <v>29</v>
      </c>
      <c r="G181">
        <v>1</v>
      </c>
      <c r="H181">
        <v>4</v>
      </c>
      <c r="I181" s="13">
        <v>45383</v>
      </c>
      <c r="J181" s="13" t="str">
        <f>TEXT(Table1[[#This Row],[Date]],"[$-en-US]mmm yyyy")</f>
        <v>Apr 2024</v>
      </c>
      <c r="K181" s="13" t="str">
        <f>TEXT(Table1[[#This Row],[Date]],"[$-en-US]ddd")</f>
        <v>Mon</v>
      </c>
    </row>
    <row r="182" spans="1:11" x14ac:dyDescent="0.25">
      <c r="A182">
        <v>18</v>
      </c>
      <c r="B182" t="s">
        <v>9</v>
      </c>
      <c r="C182">
        <v>38.700000000000003</v>
      </c>
      <c r="D182" t="s">
        <v>14</v>
      </c>
      <c r="E182" t="s">
        <v>18</v>
      </c>
      <c r="F182" t="s">
        <v>29</v>
      </c>
      <c r="G182">
        <v>1</v>
      </c>
      <c r="H182">
        <v>4</v>
      </c>
      <c r="I182" s="13">
        <v>45383</v>
      </c>
      <c r="J182" s="13" t="str">
        <f>TEXT(Table1[[#This Row],[Date]],"[$-en-US]mmm yyyy")</f>
        <v>Apr 2024</v>
      </c>
      <c r="K182" s="13" t="str">
        <f>TEXT(Table1[[#This Row],[Date]],"[$-en-US]ddd")</f>
        <v>Mon</v>
      </c>
    </row>
    <row r="183" spans="1:11" x14ac:dyDescent="0.25">
      <c r="A183">
        <v>10</v>
      </c>
      <c r="B183" t="s">
        <v>9</v>
      </c>
      <c r="C183">
        <v>38.700000000000003</v>
      </c>
      <c r="D183" t="s">
        <v>10</v>
      </c>
      <c r="E183" t="s">
        <v>11</v>
      </c>
      <c r="F183" t="s">
        <v>29</v>
      </c>
      <c r="G183">
        <v>2</v>
      </c>
      <c r="H183">
        <v>4</v>
      </c>
      <c r="I183" s="13">
        <v>45384</v>
      </c>
      <c r="J183" s="13" t="str">
        <f>TEXT(Table1[[#This Row],[Date]],"[$-en-US]mmm yyyy")</f>
        <v>Apr 2024</v>
      </c>
      <c r="K183" s="13" t="str">
        <f>TEXT(Table1[[#This Row],[Date]],"[$-en-US]ddd")</f>
        <v>Tue</v>
      </c>
    </row>
    <row r="184" spans="1:11" x14ac:dyDescent="0.25">
      <c r="A184">
        <v>16</v>
      </c>
      <c r="B184" t="s">
        <v>9</v>
      </c>
      <c r="C184">
        <v>28.9</v>
      </c>
      <c r="D184" t="s">
        <v>16</v>
      </c>
      <c r="E184" t="s">
        <v>15</v>
      </c>
      <c r="F184" t="s">
        <v>29</v>
      </c>
      <c r="G184">
        <v>2</v>
      </c>
      <c r="H184">
        <v>4</v>
      </c>
      <c r="I184" s="13">
        <v>45384</v>
      </c>
      <c r="J184" s="13" t="str">
        <f>TEXT(Table1[[#This Row],[Date]],"[$-en-US]mmm yyyy")</f>
        <v>Apr 2024</v>
      </c>
      <c r="K184" s="13" t="str">
        <f>TEXT(Table1[[#This Row],[Date]],"[$-en-US]ddd")</f>
        <v>Tue</v>
      </c>
    </row>
    <row r="185" spans="1:11" x14ac:dyDescent="0.25">
      <c r="A185">
        <v>16</v>
      </c>
      <c r="B185" t="s">
        <v>9</v>
      </c>
      <c r="C185">
        <v>28.9</v>
      </c>
      <c r="D185" t="s">
        <v>22</v>
      </c>
      <c r="E185" t="s">
        <v>15</v>
      </c>
      <c r="F185" t="s">
        <v>29</v>
      </c>
      <c r="G185">
        <v>2</v>
      </c>
      <c r="H185">
        <v>4</v>
      </c>
      <c r="I185" s="13">
        <v>45384</v>
      </c>
      <c r="J185" s="13" t="str">
        <f>TEXT(Table1[[#This Row],[Date]],"[$-en-US]mmm yyyy")</f>
        <v>Apr 2024</v>
      </c>
      <c r="K185" s="13" t="str">
        <f>TEXT(Table1[[#This Row],[Date]],"[$-en-US]ddd")</f>
        <v>Tue</v>
      </c>
    </row>
    <row r="186" spans="1:11" x14ac:dyDescent="0.25">
      <c r="A186">
        <v>10</v>
      </c>
      <c r="B186" t="s">
        <v>9</v>
      </c>
      <c r="C186">
        <v>28.9</v>
      </c>
      <c r="D186" t="s">
        <v>22</v>
      </c>
      <c r="E186" t="s">
        <v>11</v>
      </c>
      <c r="F186" t="s">
        <v>29</v>
      </c>
      <c r="G186">
        <v>3</v>
      </c>
      <c r="H186">
        <v>4</v>
      </c>
      <c r="I186" s="13">
        <v>45385</v>
      </c>
      <c r="J186" s="13" t="str">
        <f>TEXT(Table1[[#This Row],[Date]],"[$-en-US]mmm yyyy")</f>
        <v>Apr 2024</v>
      </c>
      <c r="K186" s="13" t="str">
        <f>TEXT(Table1[[#This Row],[Date]],"[$-en-US]ddd")</f>
        <v>Wed</v>
      </c>
    </row>
    <row r="187" spans="1:11" x14ac:dyDescent="0.25">
      <c r="A187">
        <v>10</v>
      </c>
      <c r="B187" t="s">
        <v>9</v>
      </c>
      <c r="C187">
        <v>28.9</v>
      </c>
      <c r="D187" t="s">
        <v>16</v>
      </c>
      <c r="E187" t="s">
        <v>11</v>
      </c>
      <c r="F187" t="s">
        <v>29</v>
      </c>
      <c r="G187">
        <v>3</v>
      </c>
      <c r="H187">
        <v>4</v>
      </c>
      <c r="I187" s="13">
        <v>45385</v>
      </c>
      <c r="J187" s="13" t="str">
        <f>TEXT(Table1[[#This Row],[Date]],"[$-en-US]mmm yyyy")</f>
        <v>Apr 2024</v>
      </c>
      <c r="K187" s="13" t="str">
        <f>TEXT(Table1[[#This Row],[Date]],"[$-en-US]ddd")</f>
        <v>Wed</v>
      </c>
    </row>
    <row r="188" spans="1:11" x14ac:dyDescent="0.25">
      <c r="A188">
        <v>13</v>
      </c>
      <c r="B188" t="s">
        <v>9</v>
      </c>
      <c r="C188">
        <v>38.700000000000003</v>
      </c>
      <c r="D188" t="s">
        <v>27</v>
      </c>
      <c r="E188" t="s">
        <v>15</v>
      </c>
      <c r="F188" t="s">
        <v>29</v>
      </c>
      <c r="G188">
        <v>3</v>
      </c>
      <c r="H188">
        <v>4</v>
      </c>
      <c r="I188" s="13">
        <v>45385</v>
      </c>
      <c r="J188" s="13" t="str">
        <f>TEXT(Table1[[#This Row],[Date]],"[$-en-US]mmm yyyy")</f>
        <v>Apr 2024</v>
      </c>
      <c r="K188" s="13" t="str">
        <f>TEXT(Table1[[#This Row],[Date]],"[$-en-US]ddd")</f>
        <v>Wed</v>
      </c>
    </row>
    <row r="189" spans="1:11" x14ac:dyDescent="0.25">
      <c r="A189">
        <v>10</v>
      </c>
      <c r="B189" t="s">
        <v>9</v>
      </c>
      <c r="C189">
        <v>38.700000000000003</v>
      </c>
      <c r="D189" t="s">
        <v>10</v>
      </c>
      <c r="E189" t="s">
        <v>11</v>
      </c>
      <c r="F189" t="s">
        <v>29</v>
      </c>
      <c r="G189">
        <v>4</v>
      </c>
      <c r="H189">
        <v>4</v>
      </c>
      <c r="I189" s="13">
        <v>45386</v>
      </c>
      <c r="J189" s="13" t="str">
        <f>TEXT(Table1[[#This Row],[Date]],"[$-en-US]mmm yyyy")</f>
        <v>Apr 2024</v>
      </c>
      <c r="K189" s="13" t="str">
        <f>TEXT(Table1[[#This Row],[Date]],"[$-en-US]ddd")</f>
        <v>Thu</v>
      </c>
    </row>
    <row r="190" spans="1:11" x14ac:dyDescent="0.25">
      <c r="A190">
        <v>11</v>
      </c>
      <c r="B190" t="s">
        <v>9</v>
      </c>
      <c r="C190">
        <v>38.700000000000003</v>
      </c>
      <c r="D190" t="s">
        <v>10</v>
      </c>
      <c r="E190" t="s">
        <v>11</v>
      </c>
      <c r="F190" t="s">
        <v>29</v>
      </c>
      <c r="G190">
        <v>4</v>
      </c>
      <c r="H190">
        <v>4</v>
      </c>
      <c r="I190" s="13">
        <v>45386</v>
      </c>
      <c r="J190" s="13" t="str">
        <f>TEXT(Table1[[#This Row],[Date]],"[$-en-US]mmm yyyy")</f>
        <v>Apr 2024</v>
      </c>
      <c r="K190" s="13" t="str">
        <f>TEXT(Table1[[#This Row],[Date]],"[$-en-US]ddd")</f>
        <v>Thu</v>
      </c>
    </row>
    <row r="191" spans="1:11" x14ac:dyDescent="0.25">
      <c r="A191">
        <v>11</v>
      </c>
      <c r="B191" t="s">
        <v>9</v>
      </c>
      <c r="C191">
        <v>38.700000000000003</v>
      </c>
      <c r="D191" t="s">
        <v>27</v>
      </c>
      <c r="E191" t="s">
        <v>11</v>
      </c>
      <c r="F191" t="s">
        <v>29</v>
      </c>
      <c r="G191">
        <v>4</v>
      </c>
      <c r="H191">
        <v>4</v>
      </c>
      <c r="I191" s="13">
        <v>45386</v>
      </c>
      <c r="J191" s="13" t="str">
        <f>TEXT(Table1[[#This Row],[Date]],"[$-en-US]mmm yyyy")</f>
        <v>Apr 2024</v>
      </c>
      <c r="K191" s="13" t="str">
        <f>TEXT(Table1[[#This Row],[Date]],"[$-en-US]ddd")</f>
        <v>Thu</v>
      </c>
    </row>
    <row r="192" spans="1:11" x14ac:dyDescent="0.25">
      <c r="A192">
        <v>12</v>
      </c>
      <c r="B192" t="s">
        <v>9</v>
      </c>
      <c r="C192">
        <v>28.9</v>
      </c>
      <c r="D192" t="s">
        <v>22</v>
      </c>
      <c r="E192" t="s">
        <v>15</v>
      </c>
      <c r="F192" t="s">
        <v>29</v>
      </c>
      <c r="G192">
        <v>4</v>
      </c>
      <c r="H192">
        <v>4</v>
      </c>
      <c r="I192" s="13">
        <v>45386</v>
      </c>
      <c r="J192" s="13" t="str">
        <f>TEXT(Table1[[#This Row],[Date]],"[$-en-US]mmm yyyy")</f>
        <v>Apr 2024</v>
      </c>
      <c r="K192" s="13" t="str">
        <f>TEXT(Table1[[#This Row],[Date]],"[$-en-US]ddd")</f>
        <v>Thu</v>
      </c>
    </row>
    <row r="193" spans="1:11" x14ac:dyDescent="0.25">
      <c r="A193">
        <v>10</v>
      </c>
      <c r="B193" t="s">
        <v>9</v>
      </c>
      <c r="C193">
        <v>28.9</v>
      </c>
      <c r="D193" t="s">
        <v>16</v>
      </c>
      <c r="E193" t="s">
        <v>11</v>
      </c>
      <c r="F193" t="s">
        <v>29</v>
      </c>
      <c r="G193">
        <v>5</v>
      </c>
      <c r="H193">
        <v>4</v>
      </c>
      <c r="I193" s="13">
        <v>45387</v>
      </c>
      <c r="J193" s="13" t="str">
        <f>TEXT(Table1[[#This Row],[Date]],"[$-en-US]mmm yyyy")</f>
        <v>Apr 2024</v>
      </c>
      <c r="K193" s="13" t="str">
        <f>TEXT(Table1[[#This Row],[Date]],"[$-en-US]ddd")</f>
        <v>Fri</v>
      </c>
    </row>
    <row r="194" spans="1:11" x14ac:dyDescent="0.25">
      <c r="A194">
        <v>10</v>
      </c>
      <c r="B194" t="s">
        <v>9</v>
      </c>
      <c r="C194">
        <v>28.9</v>
      </c>
      <c r="D194" t="s">
        <v>16</v>
      </c>
      <c r="E194" t="s">
        <v>11</v>
      </c>
      <c r="F194" t="s">
        <v>29</v>
      </c>
      <c r="G194">
        <v>5</v>
      </c>
      <c r="H194">
        <v>4</v>
      </c>
      <c r="I194" s="13">
        <v>45387</v>
      </c>
      <c r="J194" s="13" t="str">
        <f>TEXT(Table1[[#This Row],[Date]],"[$-en-US]mmm yyyy")</f>
        <v>Apr 2024</v>
      </c>
      <c r="K194" s="13" t="str">
        <f>TEXT(Table1[[#This Row],[Date]],"[$-en-US]ddd")</f>
        <v>Fri</v>
      </c>
    </row>
    <row r="195" spans="1:11" x14ac:dyDescent="0.25">
      <c r="A195">
        <v>11</v>
      </c>
      <c r="B195" t="s">
        <v>9</v>
      </c>
      <c r="C195">
        <v>28.9</v>
      </c>
      <c r="D195" t="s">
        <v>22</v>
      </c>
      <c r="E195" t="s">
        <v>11</v>
      </c>
      <c r="F195" t="s">
        <v>29</v>
      </c>
      <c r="G195">
        <v>5</v>
      </c>
      <c r="H195">
        <v>4</v>
      </c>
      <c r="I195" s="13">
        <v>45387</v>
      </c>
      <c r="J195" s="13" t="str">
        <f>TEXT(Table1[[#This Row],[Date]],"[$-en-US]mmm yyyy")</f>
        <v>Apr 2024</v>
      </c>
      <c r="K195" s="13" t="str">
        <f>TEXT(Table1[[#This Row],[Date]],"[$-en-US]ddd")</f>
        <v>Fri</v>
      </c>
    </row>
    <row r="196" spans="1:11" x14ac:dyDescent="0.25">
      <c r="A196">
        <v>12</v>
      </c>
      <c r="B196" t="s">
        <v>9</v>
      </c>
      <c r="C196">
        <v>33.799999999999997</v>
      </c>
      <c r="D196" t="s">
        <v>17</v>
      </c>
      <c r="E196" t="s">
        <v>15</v>
      </c>
      <c r="F196" t="s">
        <v>29</v>
      </c>
      <c r="G196">
        <v>5</v>
      </c>
      <c r="H196">
        <v>4</v>
      </c>
      <c r="I196" s="13">
        <v>45387</v>
      </c>
      <c r="J196" s="13" t="str">
        <f>TEXT(Table1[[#This Row],[Date]],"[$-en-US]mmm yyyy")</f>
        <v>Apr 2024</v>
      </c>
      <c r="K196" s="13" t="str">
        <f>TEXT(Table1[[#This Row],[Date]],"[$-en-US]ddd")</f>
        <v>Fri</v>
      </c>
    </row>
    <row r="197" spans="1:11" x14ac:dyDescent="0.25">
      <c r="A197">
        <v>14</v>
      </c>
      <c r="B197" t="s">
        <v>9</v>
      </c>
      <c r="C197">
        <v>38.700000000000003</v>
      </c>
      <c r="D197" t="s">
        <v>10</v>
      </c>
      <c r="E197" t="s">
        <v>15</v>
      </c>
      <c r="F197" t="s">
        <v>29</v>
      </c>
      <c r="G197">
        <v>5</v>
      </c>
      <c r="H197">
        <v>4</v>
      </c>
      <c r="I197" s="13">
        <v>45387</v>
      </c>
      <c r="J197" s="13" t="str">
        <f>TEXT(Table1[[#This Row],[Date]],"[$-en-US]mmm yyyy")</f>
        <v>Apr 2024</v>
      </c>
      <c r="K197" s="13" t="str">
        <f>TEXT(Table1[[#This Row],[Date]],"[$-en-US]ddd")</f>
        <v>Fri</v>
      </c>
    </row>
    <row r="198" spans="1:11" x14ac:dyDescent="0.25">
      <c r="A198">
        <v>14</v>
      </c>
      <c r="B198" t="s">
        <v>9</v>
      </c>
      <c r="C198">
        <v>28.9</v>
      </c>
      <c r="D198" t="s">
        <v>22</v>
      </c>
      <c r="E198" t="s">
        <v>15</v>
      </c>
      <c r="F198" t="s">
        <v>29</v>
      </c>
      <c r="G198">
        <v>5</v>
      </c>
      <c r="H198">
        <v>4</v>
      </c>
      <c r="I198" s="13">
        <v>45387</v>
      </c>
      <c r="J198" s="13" t="str">
        <f>TEXT(Table1[[#This Row],[Date]],"[$-en-US]mmm yyyy")</f>
        <v>Apr 2024</v>
      </c>
      <c r="K198" s="13" t="str">
        <f>TEXT(Table1[[#This Row],[Date]],"[$-en-US]ddd")</f>
        <v>Fri</v>
      </c>
    </row>
    <row r="199" spans="1:11" x14ac:dyDescent="0.25">
      <c r="A199">
        <v>16</v>
      </c>
      <c r="B199" t="s">
        <v>9</v>
      </c>
      <c r="C199">
        <v>24</v>
      </c>
      <c r="D199" t="s">
        <v>24</v>
      </c>
      <c r="E199" t="s">
        <v>15</v>
      </c>
      <c r="F199" t="s">
        <v>29</v>
      </c>
      <c r="G199">
        <v>5</v>
      </c>
      <c r="H199">
        <v>4</v>
      </c>
      <c r="I199" s="13">
        <v>45387</v>
      </c>
      <c r="J199" s="13" t="str">
        <f>TEXT(Table1[[#This Row],[Date]],"[$-en-US]mmm yyyy")</f>
        <v>Apr 2024</v>
      </c>
      <c r="K199" s="13" t="str">
        <f>TEXT(Table1[[#This Row],[Date]],"[$-en-US]ddd")</f>
        <v>Fri</v>
      </c>
    </row>
    <row r="200" spans="1:11" x14ac:dyDescent="0.25">
      <c r="A200">
        <v>12</v>
      </c>
      <c r="B200" t="s">
        <v>9</v>
      </c>
      <c r="C200">
        <v>33.799999999999997</v>
      </c>
      <c r="D200" t="s">
        <v>17</v>
      </c>
      <c r="E200" t="s">
        <v>15</v>
      </c>
      <c r="F200" t="s">
        <v>29</v>
      </c>
      <c r="G200">
        <v>6</v>
      </c>
      <c r="H200">
        <v>4</v>
      </c>
      <c r="I200" s="13">
        <v>45388</v>
      </c>
      <c r="J200" s="13" t="str">
        <f>TEXT(Table1[[#This Row],[Date]],"[$-en-US]mmm yyyy")</f>
        <v>Apr 2024</v>
      </c>
      <c r="K200" s="13" t="str">
        <f>TEXT(Table1[[#This Row],[Date]],"[$-en-US]ddd")</f>
        <v>Sat</v>
      </c>
    </row>
    <row r="201" spans="1:11" x14ac:dyDescent="0.25">
      <c r="A201">
        <v>14</v>
      </c>
      <c r="B201" t="s">
        <v>9</v>
      </c>
      <c r="C201">
        <v>38.700000000000003</v>
      </c>
      <c r="D201" t="s">
        <v>27</v>
      </c>
      <c r="E201" t="s">
        <v>15</v>
      </c>
      <c r="F201" t="s">
        <v>29</v>
      </c>
      <c r="G201">
        <v>6</v>
      </c>
      <c r="H201">
        <v>4</v>
      </c>
      <c r="I201" s="13">
        <v>45388</v>
      </c>
      <c r="J201" s="13" t="str">
        <f>TEXT(Table1[[#This Row],[Date]],"[$-en-US]mmm yyyy")</f>
        <v>Apr 2024</v>
      </c>
      <c r="K201" s="13" t="str">
        <f>TEXT(Table1[[#This Row],[Date]],"[$-en-US]ddd")</f>
        <v>Sat</v>
      </c>
    </row>
    <row r="202" spans="1:11" x14ac:dyDescent="0.25">
      <c r="A202">
        <v>14</v>
      </c>
      <c r="B202" t="s">
        <v>9</v>
      </c>
      <c r="C202">
        <v>28.9</v>
      </c>
      <c r="D202" t="s">
        <v>16</v>
      </c>
      <c r="E202" t="s">
        <v>15</v>
      </c>
      <c r="F202" t="s">
        <v>29</v>
      </c>
      <c r="G202">
        <v>6</v>
      </c>
      <c r="H202">
        <v>4</v>
      </c>
      <c r="I202" s="13">
        <v>45388</v>
      </c>
      <c r="J202" s="13" t="str">
        <f>TEXT(Table1[[#This Row],[Date]],"[$-en-US]mmm yyyy")</f>
        <v>Apr 2024</v>
      </c>
      <c r="K202" s="13" t="str">
        <f>TEXT(Table1[[#This Row],[Date]],"[$-en-US]ddd")</f>
        <v>Sat</v>
      </c>
    </row>
    <row r="203" spans="1:11" x14ac:dyDescent="0.25">
      <c r="A203">
        <v>14</v>
      </c>
      <c r="B203" t="s">
        <v>9</v>
      </c>
      <c r="C203">
        <v>38.700000000000003</v>
      </c>
      <c r="D203" t="s">
        <v>10</v>
      </c>
      <c r="E203" t="s">
        <v>15</v>
      </c>
      <c r="F203" t="s">
        <v>29</v>
      </c>
      <c r="G203">
        <v>6</v>
      </c>
      <c r="H203">
        <v>4</v>
      </c>
      <c r="I203" s="13">
        <v>45388</v>
      </c>
      <c r="J203" s="13" t="str">
        <f>TEXT(Table1[[#This Row],[Date]],"[$-en-US]mmm yyyy")</f>
        <v>Apr 2024</v>
      </c>
      <c r="K203" s="13" t="str">
        <f>TEXT(Table1[[#This Row],[Date]],"[$-en-US]ddd")</f>
        <v>Sat</v>
      </c>
    </row>
    <row r="204" spans="1:11" x14ac:dyDescent="0.25">
      <c r="A204">
        <v>10</v>
      </c>
      <c r="B204" t="s">
        <v>9</v>
      </c>
      <c r="C204">
        <v>38.700000000000003</v>
      </c>
      <c r="D204" t="s">
        <v>10</v>
      </c>
      <c r="E204" t="s">
        <v>11</v>
      </c>
      <c r="F204" t="s">
        <v>29</v>
      </c>
      <c r="G204">
        <v>7</v>
      </c>
      <c r="H204">
        <v>4</v>
      </c>
      <c r="I204" s="13">
        <v>45389</v>
      </c>
      <c r="J204" s="13" t="str">
        <f>TEXT(Table1[[#This Row],[Date]],"[$-en-US]mmm yyyy")</f>
        <v>Apr 2024</v>
      </c>
      <c r="K204" s="13" t="str">
        <f>TEXT(Table1[[#This Row],[Date]],"[$-en-US]ddd")</f>
        <v>Sun</v>
      </c>
    </row>
    <row r="205" spans="1:11" x14ac:dyDescent="0.25">
      <c r="A205">
        <v>12</v>
      </c>
      <c r="B205" t="s">
        <v>9</v>
      </c>
      <c r="C205">
        <v>38.700000000000003</v>
      </c>
      <c r="D205" t="s">
        <v>27</v>
      </c>
      <c r="E205" t="s">
        <v>15</v>
      </c>
      <c r="F205" t="s">
        <v>29</v>
      </c>
      <c r="G205">
        <v>7</v>
      </c>
      <c r="H205">
        <v>4</v>
      </c>
      <c r="I205" s="13">
        <v>45389</v>
      </c>
      <c r="J205" s="13" t="str">
        <f>TEXT(Table1[[#This Row],[Date]],"[$-en-US]mmm yyyy")</f>
        <v>Apr 2024</v>
      </c>
      <c r="K205" s="13" t="str">
        <f>TEXT(Table1[[#This Row],[Date]],"[$-en-US]ddd")</f>
        <v>Sun</v>
      </c>
    </row>
    <row r="206" spans="1:11" x14ac:dyDescent="0.25">
      <c r="A206">
        <v>12</v>
      </c>
      <c r="B206" t="s">
        <v>9</v>
      </c>
      <c r="C206">
        <v>38.700000000000003</v>
      </c>
      <c r="D206" t="s">
        <v>27</v>
      </c>
      <c r="E206" t="s">
        <v>15</v>
      </c>
      <c r="F206" t="s">
        <v>29</v>
      </c>
      <c r="G206">
        <v>7</v>
      </c>
      <c r="H206">
        <v>4</v>
      </c>
      <c r="I206" s="13">
        <v>45389</v>
      </c>
      <c r="J206" s="13" t="str">
        <f>TEXT(Table1[[#This Row],[Date]],"[$-en-US]mmm yyyy")</f>
        <v>Apr 2024</v>
      </c>
      <c r="K206" s="13" t="str">
        <f>TEXT(Table1[[#This Row],[Date]],"[$-en-US]ddd")</f>
        <v>Sun</v>
      </c>
    </row>
    <row r="207" spans="1:11" x14ac:dyDescent="0.25">
      <c r="A207">
        <v>14</v>
      </c>
      <c r="B207" t="s">
        <v>9</v>
      </c>
      <c r="C207">
        <v>28.9</v>
      </c>
      <c r="D207" t="s">
        <v>22</v>
      </c>
      <c r="E207" t="s">
        <v>15</v>
      </c>
      <c r="F207" t="s">
        <v>29</v>
      </c>
      <c r="G207">
        <v>7</v>
      </c>
      <c r="H207">
        <v>4</v>
      </c>
      <c r="I207" s="13">
        <v>45389</v>
      </c>
      <c r="J207" s="13" t="str">
        <f>TEXT(Table1[[#This Row],[Date]],"[$-en-US]mmm yyyy")</f>
        <v>Apr 2024</v>
      </c>
      <c r="K207" s="13" t="str">
        <f>TEXT(Table1[[#This Row],[Date]],"[$-en-US]ddd")</f>
        <v>Sun</v>
      </c>
    </row>
    <row r="208" spans="1:11" x14ac:dyDescent="0.25">
      <c r="A208">
        <v>14</v>
      </c>
      <c r="B208" t="s">
        <v>9</v>
      </c>
      <c r="C208">
        <v>24</v>
      </c>
      <c r="D208" t="s">
        <v>24</v>
      </c>
      <c r="E208" t="s">
        <v>15</v>
      </c>
      <c r="F208" t="s">
        <v>29</v>
      </c>
      <c r="G208">
        <v>7</v>
      </c>
      <c r="H208">
        <v>4</v>
      </c>
      <c r="I208" s="13">
        <v>45389</v>
      </c>
      <c r="J208" s="13" t="str">
        <f>TEXT(Table1[[#This Row],[Date]],"[$-en-US]mmm yyyy")</f>
        <v>Apr 2024</v>
      </c>
      <c r="K208" s="13" t="str">
        <f>TEXT(Table1[[#This Row],[Date]],"[$-en-US]ddd")</f>
        <v>Sun</v>
      </c>
    </row>
    <row r="209" spans="1:11" x14ac:dyDescent="0.25">
      <c r="A209">
        <v>18</v>
      </c>
      <c r="B209" t="s">
        <v>9</v>
      </c>
      <c r="C209">
        <v>38.700000000000003</v>
      </c>
      <c r="D209" t="s">
        <v>14</v>
      </c>
      <c r="E209" t="s">
        <v>18</v>
      </c>
      <c r="F209" t="s">
        <v>29</v>
      </c>
      <c r="G209">
        <v>7</v>
      </c>
      <c r="H209">
        <v>4</v>
      </c>
      <c r="I209" s="13">
        <v>45389</v>
      </c>
      <c r="J209" s="13" t="str">
        <f>TEXT(Table1[[#This Row],[Date]],"[$-en-US]mmm yyyy")</f>
        <v>Apr 2024</v>
      </c>
      <c r="K209" s="13" t="str">
        <f>TEXT(Table1[[#This Row],[Date]],"[$-en-US]ddd")</f>
        <v>Sun</v>
      </c>
    </row>
    <row r="210" spans="1:11" x14ac:dyDescent="0.25">
      <c r="A210">
        <v>18</v>
      </c>
      <c r="B210" t="s">
        <v>9</v>
      </c>
      <c r="C210">
        <v>33.799999999999997</v>
      </c>
      <c r="D210" t="s">
        <v>17</v>
      </c>
      <c r="E210" t="s">
        <v>18</v>
      </c>
      <c r="F210" t="s">
        <v>29</v>
      </c>
      <c r="G210">
        <v>7</v>
      </c>
      <c r="H210">
        <v>4</v>
      </c>
      <c r="I210" s="13">
        <v>45389</v>
      </c>
      <c r="J210" s="13" t="str">
        <f>TEXT(Table1[[#This Row],[Date]],"[$-en-US]mmm yyyy")</f>
        <v>Apr 2024</v>
      </c>
      <c r="K210" s="13" t="str">
        <f>TEXT(Table1[[#This Row],[Date]],"[$-en-US]ddd")</f>
        <v>Sun</v>
      </c>
    </row>
    <row r="211" spans="1:11" x14ac:dyDescent="0.25">
      <c r="A211">
        <v>10</v>
      </c>
      <c r="B211" t="s">
        <v>9</v>
      </c>
      <c r="C211">
        <v>33.799999999999997</v>
      </c>
      <c r="D211" t="s">
        <v>17</v>
      </c>
      <c r="E211" t="s">
        <v>11</v>
      </c>
      <c r="F211" t="s">
        <v>29</v>
      </c>
      <c r="G211">
        <v>1</v>
      </c>
      <c r="H211">
        <v>4</v>
      </c>
      <c r="I211" s="13">
        <v>45390</v>
      </c>
      <c r="J211" s="13" t="str">
        <f>TEXT(Table1[[#This Row],[Date]],"[$-en-US]mmm yyyy")</f>
        <v>Apr 2024</v>
      </c>
      <c r="K211" s="13" t="str">
        <f>TEXT(Table1[[#This Row],[Date]],"[$-en-US]ddd")</f>
        <v>Mon</v>
      </c>
    </row>
    <row r="212" spans="1:11" x14ac:dyDescent="0.25">
      <c r="A212">
        <v>10</v>
      </c>
      <c r="B212" t="s">
        <v>9</v>
      </c>
      <c r="C212">
        <v>38.700000000000003</v>
      </c>
      <c r="D212" t="s">
        <v>27</v>
      </c>
      <c r="E212" t="s">
        <v>11</v>
      </c>
      <c r="F212" t="s">
        <v>29</v>
      </c>
      <c r="G212">
        <v>1</v>
      </c>
      <c r="H212">
        <v>4</v>
      </c>
      <c r="I212" s="13">
        <v>45390</v>
      </c>
      <c r="J212" s="13" t="str">
        <f>TEXT(Table1[[#This Row],[Date]],"[$-en-US]mmm yyyy")</f>
        <v>Apr 2024</v>
      </c>
      <c r="K212" s="13" t="str">
        <f>TEXT(Table1[[#This Row],[Date]],"[$-en-US]ddd")</f>
        <v>Mon</v>
      </c>
    </row>
    <row r="213" spans="1:11" x14ac:dyDescent="0.25">
      <c r="A213">
        <v>11</v>
      </c>
      <c r="B213" t="s">
        <v>9</v>
      </c>
      <c r="C213">
        <v>28.9</v>
      </c>
      <c r="D213" t="s">
        <v>16</v>
      </c>
      <c r="E213" t="s">
        <v>11</v>
      </c>
      <c r="F213" t="s">
        <v>29</v>
      </c>
      <c r="G213">
        <v>1</v>
      </c>
      <c r="H213">
        <v>4</v>
      </c>
      <c r="I213" s="13">
        <v>45390</v>
      </c>
      <c r="J213" s="13" t="str">
        <f>TEXT(Table1[[#This Row],[Date]],"[$-en-US]mmm yyyy")</f>
        <v>Apr 2024</v>
      </c>
      <c r="K213" s="13" t="str">
        <f>TEXT(Table1[[#This Row],[Date]],"[$-en-US]ddd")</f>
        <v>Mon</v>
      </c>
    </row>
    <row r="214" spans="1:11" x14ac:dyDescent="0.25">
      <c r="A214">
        <v>11</v>
      </c>
      <c r="B214" t="s">
        <v>9</v>
      </c>
      <c r="C214">
        <v>38.700000000000003</v>
      </c>
      <c r="D214" t="s">
        <v>27</v>
      </c>
      <c r="E214" t="s">
        <v>11</v>
      </c>
      <c r="F214" t="s">
        <v>29</v>
      </c>
      <c r="G214">
        <v>1</v>
      </c>
      <c r="H214">
        <v>4</v>
      </c>
      <c r="I214" s="13">
        <v>45390</v>
      </c>
      <c r="J214" s="13" t="str">
        <f>TEXT(Table1[[#This Row],[Date]],"[$-en-US]mmm yyyy")</f>
        <v>Apr 2024</v>
      </c>
      <c r="K214" s="13" t="str">
        <f>TEXT(Table1[[#This Row],[Date]],"[$-en-US]ddd")</f>
        <v>Mon</v>
      </c>
    </row>
    <row r="215" spans="1:11" x14ac:dyDescent="0.25">
      <c r="A215">
        <v>16</v>
      </c>
      <c r="B215" t="s">
        <v>9</v>
      </c>
      <c r="C215">
        <v>38.700000000000003</v>
      </c>
      <c r="D215" t="s">
        <v>10</v>
      </c>
      <c r="E215" t="s">
        <v>15</v>
      </c>
      <c r="F215" t="s">
        <v>29</v>
      </c>
      <c r="G215">
        <v>1</v>
      </c>
      <c r="H215">
        <v>4</v>
      </c>
      <c r="I215" s="13">
        <v>45390</v>
      </c>
      <c r="J215" s="13" t="str">
        <f>TEXT(Table1[[#This Row],[Date]],"[$-en-US]mmm yyyy")</f>
        <v>Apr 2024</v>
      </c>
      <c r="K215" s="13" t="str">
        <f>TEXT(Table1[[#This Row],[Date]],"[$-en-US]ddd")</f>
        <v>Mon</v>
      </c>
    </row>
    <row r="216" spans="1:11" x14ac:dyDescent="0.25">
      <c r="A216">
        <v>18</v>
      </c>
      <c r="B216" t="s">
        <v>9</v>
      </c>
      <c r="C216">
        <v>28.9</v>
      </c>
      <c r="D216" t="s">
        <v>16</v>
      </c>
      <c r="E216" t="s">
        <v>18</v>
      </c>
      <c r="F216" t="s">
        <v>29</v>
      </c>
      <c r="G216">
        <v>1</v>
      </c>
      <c r="H216">
        <v>4</v>
      </c>
      <c r="I216" s="13">
        <v>45390</v>
      </c>
      <c r="J216" s="13" t="str">
        <f>TEXT(Table1[[#This Row],[Date]],"[$-en-US]mmm yyyy")</f>
        <v>Apr 2024</v>
      </c>
      <c r="K216" s="13" t="str">
        <f>TEXT(Table1[[#This Row],[Date]],"[$-en-US]ddd")</f>
        <v>Mon</v>
      </c>
    </row>
    <row r="217" spans="1:11" x14ac:dyDescent="0.25">
      <c r="A217">
        <v>19</v>
      </c>
      <c r="B217" t="s">
        <v>9</v>
      </c>
      <c r="C217">
        <v>33.799999999999997</v>
      </c>
      <c r="D217" t="s">
        <v>17</v>
      </c>
      <c r="E217" t="s">
        <v>18</v>
      </c>
      <c r="F217" t="s">
        <v>29</v>
      </c>
      <c r="G217">
        <v>1</v>
      </c>
      <c r="H217">
        <v>4</v>
      </c>
      <c r="I217" s="13">
        <v>45390</v>
      </c>
      <c r="J217" s="13" t="str">
        <f>TEXT(Table1[[#This Row],[Date]],"[$-en-US]mmm yyyy")</f>
        <v>Apr 2024</v>
      </c>
      <c r="K217" s="13" t="str">
        <f>TEXT(Table1[[#This Row],[Date]],"[$-en-US]ddd")</f>
        <v>Mon</v>
      </c>
    </row>
    <row r="218" spans="1:11" x14ac:dyDescent="0.25">
      <c r="A218">
        <v>19</v>
      </c>
      <c r="B218" t="s">
        <v>9</v>
      </c>
      <c r="C218">
        <v>38.700000000000003</v>
      </c>
      <c r="D218" t="s">
        <v>27</v>
      </c>
      <c r="E218" t="s">
        <v>18</v>
      </c>
      <c r="F218" t="s">
        <v>29</v>
      </c>
      <c r="G218">
        <v>1</v>
      </c>
      <c r="H218">
        <v>4</v>
      </c>
      <c r="I218" s="13">
        <v>45390</v>
      </c>
      <c r="J218" s="13" t="str">
        <f>TEXT(Table1[[#This Row],[Date]],"[$-en-US]mmm yyyy")</f>
        <v>Apr 2024</v>
      </c>
      <c r="K218" s="13" t="str">
        <f>TEXT(Table1[[#This Row],[Date]],"[$-en-US]ddd")</f>
        <v>Mon</v>
      </c>
    </row>
    <row r="219" spans="1:11" x14ac:dyDescent="0.25">
      <c r="A219">
        <v>11</v>
      </c>
      <c r="B219" t="s">
        <v>9</v>
      </c>
      <c r="C219">
        <v>38.700000000000003</v>
      </c>
      <c r="D219" t="s">
        <v>10</v>
      </c>
      <c r="E219" t="s">
        <v>11</v>
      </c>
      <c r="F219" t="s">
        <v>29</v>
      </c>
      <c r="G219">
        <v>2</v>
      </c>
      <c r="H219">
        <v>4</v>
      </c>
      <c r="I219" s="13">
        <v>45391</v>
      </c>
      <c r="J219" s="13" t="str">
        <f>TEXT(Table1[[#This Row],[Date]],"[$-en-US]mmm yyyy")</f>
        <v>Apr 2024</v>
      </c>
      <c r="K219" s="13" t="str">
        <f>TEXT(Table1[[#This Row],[Date]],"[$-en-US]ddd")</f>
        <v>Tue</v>
      </c>
    </row>
    <row r="220" spans="1:11" x14ac:dyDescent="0.25">
      <c r="A220">
        <v>15</v>
      </c>
      <c r="B220" t="s">
        <v>9</v>
      </c>
      <c r="C220">
        <v>38.700000000000003</v>
      </c>
      <c r="D220" t="s">
        <v>14</v>
      </c>
      <c r="E220" t="s">
        <v>15</v>
      </c>
      <c r="F220" t="s">
        <v>29</v>
      </c>
      <c r="G220">
        <v>2</v>
      </c>
      <c r="H220">
        <v>4</v>
      </c>
      <c r="I220" s="13">
        <v>45391</v>
      </c>
      <c r="J220" s="13" t="str">
        <f>TEXT(Table1[[#This Row],[Date]],"[$-en-US]mmm yyyy")</f>
        <v>Apr 2024</v>
      </c>
      <c r="K220" s="13" t="str">
        <f>TEXT(Table1[[#This Row],[Date]],"[$-en-US]ddd")</f>
        <v>Tue</v>
      </c>
    </row>
    <row r="221" spans="1:11" x14ac:dyDescent="0.25">
      <c r="A221">
        <v>17</v>
      </c>
      <c r="B221" t="s">
        <v>9</v>
      </c>
      <c r="C221">
        <v>38.700000000000003</v>
      </c>
      <c r="D221" t="s">
        <v>14</v>
      </c>
      <c r="E221" t="s">
        <v>18</v>
      </c>
      <c r="F221" t="s">
        <v>29</v>
      </c>
      <c r="G221">
        <v>2</v>
      </c>
      <c r="H221">
        <v>4</v>
      </c>
      <c r="I221" s="13">
        <v>45391</v>
      </c>
      <c r="J221" s="13" t="str">
        <f>TEXT(Table1[[#This Row],[Date]],"[$-en-US]mmm yyyy")</f>
        <v>Apr 2024</v>
      </c>
      <c r="K221" s="13" t="str">
        <f>TEXT(Table1[[#This Row],[Date]],"[$-en-US]ddd")</f>
        <v>Tue</v>
      </c>
    </row>
    <row r="222" spans="1:11" x14ac:dyDescent="0.25">
      <c r="A222">
        <v>17</v>
      </c>
      <c r="B222" t="s">
        <v>9</v>
      </c>
      <c r="C222">
        <v>24</v>
      </c>
      <c r="D222" t="s">
        <v>24</v>
      </c>
      <c r="E222" t="s">
        <v>18</v>
      </c>
      <c r="F222" t="s">
        <v>29</v>
      </c>
      <c r="G222">
        <v>3</v>
      </c>
      <c r="H222">
        <v>4</v>
      </c>
      <c r="I222" s="13">
        <v>45392</v>
      </c>
      <c r="J222" s="13" t="str">
        <f>TEXT(Table1[[#This Row],[Date]],"[$-en-US]mmm yyyy")</f>
        <v>Apr 2024</v>
      </c>
      <c r="K222" s="13" t="str">
        <f>TEXT(Table1[[#This Row],[Date]],"[$-en-US]ddd")</f>
        <v>Wed</v>
      </c>
    </row>
    <row r="223" spans="1:11" x14ac:dyDescent="0.25">
      <c r="A223">
        <v>18</v>
      </c>
      <c r="B223" t="s">
        <v>9</v>
      </c>
      <c r="C223">
        <v>38.700000000000003</v>
      </c>
      <c r="D223" t="s">
        <v>27</v>
      </c>
      <c r="E223" t="s">
        <v>18</v>
      </c>
      <c r="F223" t="s">
        <v>29</v>
      </c>
      <c r="G223">
        <v>3</v>
      </c>
      <c r="H223">
        <v>4</v>
      </c>
      <c r="I223" s="13">
        <v>45392</v>
      </c>
      <c r="J223" s="13" t="str">
        <f>TEXT(Table1[[#This Row],[Date]],"[$-en-US]mmm yyyy")</f>
        <v>Apr 2024</v>
      </c>
      <c r="K223" s="13" t="str">
        <f>TEXT(Table1[[#This Row],[Date]],"[$-en-US]ddd")</f>
        <v>Wed</v>
      </c>
    </row>
    <row r="224" spans="1:11" x14ac:dyDescent="0.25">
      <c r="A224">
        <v>20</v>
      </c>
      <c r="B224" t="s">
        <v>9</v>
      </c>
      <c r="C224">
        <v>38.700000000000003</v>
      </c>
      <c r="D224" t="s">
        <v>10</v>
      </c>
      <c r="E224" t="s">
        <v>18</v>
      </c>
      <c r="F224" t="s">
        <v>29</v>
      </c>
      <c r="G224">
        <v>3</v>
      </c>
      <c r="H224">
        <v>4</v>
      </c>
      <c r="I224" s="13">
        <v>45392</v>
      </c>
      <c r="J224" s="13" t="str">
        <f>TEXT(Table1[[#This Row],[Date]],"[$-en-US]mmm yyyy")</f>
        <v>Apr 2024</v>
      </c>
      <c r="K224" s="13" t="str">
        <f>TEXT(Table1[[#This Row],[Date]],"[$-en-US]ddd")</f>
        <v>Wed</v>
      </c>
    </row>
    <row r="225" spans="1:11" x14ac:dyDescent="0.25">
      <c r="A225">
        <v>10</v>
      </c>
      <c r="B225" t="s">
        <v>9</v>
      </c>
      <c r="C225">
        <v>28.9</v>
      </c>
      <c r="D225" t="s">
        <v>16</v>
      </c>
      <c r="E225" t="s">
        <v>11</v>
      </c>
      <c r="F225" t="s">
        <v>29</v>
      </c>
      <c r="G225">
        <v>4</v>
      </c>
      <c r="H225">
        <v>4</v>
      </c>
      <c r="I225" s="13">
        <v>45393</v>
      </c>
      <c r="J225" s="13" t="str">
        <f>TEXT(Table1[[#This Row],[Date]],"[$-en-US]mmm yyyy")</f>
        <v>Apr 2024</v>
      </c>
      <c r="K225" s="13" t="str">
        <f>TEXT(Table1[[#This Row],[Date]],"[$-en-US]ddd")</f>
        <v>Thu</v>
      </c>
    </row>
    <row r="226" spans="1:11" x14ac:dyDescent="0.25">
      <c r="A226">
        <v>10</v>
      </c>
      <c r="B226" t="s">
        <v>9</v>
      </c>
      <c r="C226">
        <v>28.9</v>
      </c>
      <c r="D226" t="s">
        <v>16</v>
      </c>
      <c r="E226" t="s">
        <v>11</v>
      </c>
      <c r="F226" t="s">
        <v>29</v>
      </c>
      <c r="G226">
        <v>4</v>
      </c>
      <c r="H226">
        <v>4</v>
      </c>
      <c r="I226" s="13">
        <v>45393</v>
      </c>
      <c r="J226" s="13" t="str">
        <f>TEXT(Table1[[#This Row],[Date]],"[$-en-US]mmm yyyy")</f>
        <v>Apr 2024</v>
      </c>
      <c r="K226" s="13" t="str">
        <f>TEXT(Table1[[#This Row],[Date]],"[$-en-US]ddd")</f>
        <v>Thu</v>
      </c>
    </row>
    <row r="227" spans="1:11" x14ac:dyDescent="0.25">
      <c r="A227">
        <v>16</v>
      </c>
      <c r="B227" t="s">
        <v>9</v>
      </c>
      <c r="C227">
        <v>38.700000000000003</v>
      </c>
      <c r="D227" t="s">
        <v>10</v>
      </c>
      <c r="E227" t="s">
        <v>15</v>
      </c>
      <c r="F227" t="s">
        <v>29</v>
      </c>
      <c r="G227">
        <v>4</v>
      </c>
      <c r="H227">
        <v>4</v>
      </c>
      <c r="I227" s="13">
        <v>45393</v>
      </c>
      <c r="J227" s="13" t="str">
        <f>TEXT(Table1[[#This Row],[Date]],"[$-en-US]mmm yyyy")</f>
        <v>Apr 2024</v>
      </c>
      <c r="K227" s="13" t="str">
        <f>TEXT(Table1[[#This Row],[Date]],"[$-en-US]ddd")</f>
        <v>Thu</v>
      </c>
    </row>
    <row r="228" spans="1:11" x14ac:dyDescent="0.25">
      <c r="A228">
        <v>19</v>
      </c>
      <c r="B228" t="s">
        <v>9</v>
      </c>
      <c r="C228">
        <v>38.700000000000003</v>
      </c>
      <c r="D228" t="s">
        <v>27</v>
      </c>
      <c r="E228" t="s">
        <v>18</v>
      </c>
      <c r="F228" t="s">
        <v>29</v>
      </c>
      <c r="G228">
        <v>4</v>
      </c>
      <c r="H228">
        <v>4</v>
      </c>
      <c r="I228" s="13">
        <v>45393</v>
      </c>
      <c r="J228" s="13" t="str">
        <f>TEXT(Table1[[#This Row],[Date]],"[$-en-US]mmm yyyy")</f>
        <v>Apr 2024</v>
      </c>
      <c r="K228" s="13" t="str">
        <f>TEXT(Table1[[#This Row],[Date]],"[$-en-US]ddd")</f>
        <v>Thu</v>
      </c>
    </row>
    <row r="229" spans="1:11" x14ac:dyDescent="0.25">
      <c r="A229">
        <v>19</v>
      </c>
      <c r="B229" t="s">
        <v>9</v>
      </c>
      <c r="C229">
        <v>33.799999999999997</v>
      </c>
      <c r="D229" t="s">
        <v>17</v>
      </c>
      <c r="E229" t="s">
        <v>18</v>
      </c>
      <c r="F229" t="s">
        <v>29</v>
      </c>
      <c r="G229">
        <v>4</v>
      </c>
      <c r="H229">
        <v>4</v>
      </c>
      <c r="I229" s="13">
        <v>45393</v>
      </c>
      <c r="J229" s="13" t="str">
        <f>TEXT(Table1[[#This Row],[Date]],"[$-en-US]mmm yyyy")</f>
        <v>Apr 2024</v>
      </c>
      <c r="K229" s="13" t="str">
        <f>TEXT(Table1[[#This Row],[Date]],"[$-en-US]ddd")</f>
        <v>Thu</v>
      </c>
    </row>
    <row r="230" spans="1:11" x14ac:dyDescent="0.25">
      <c r="A230">
        <v>19</v>
      </c>
      <c r="B230" t="s">
        <v>9</v>
      </c>
      <c r="C230">
        <v>38.700000000000003</v>
      </c>
      <c r="D230" t="s">
        <v>14</v>
      </c>
      <c r="E230" t="s">
        <v>18</v>
      </c>
      <c r="F230" t="s">
        <v>29</v>
      </c>
      <c r="G230">
        <v>5</v>
      </c>
      <c r="H230">
        <v>4</v>
      </c>
      <c r="I230" s="13">
        <v>45394</v>
      </c>
      <c r="J230" s="13" t="str">
        <f>TEXT(Table1[[#This Row],[Date]],"[$-en-US]mmm yyyy")</f>
        <v>Apr 2024</v>
      </c>
      <c r="K230" s="13" t="str">
        <f>TEXT(Table1[[#This Row],[Date]],"[$-en-US]ddd")</f>
        <v>Fri</v>
      </c>
    </row>
    <row r="231" spans="1:11" x14ac:dyDescent="0.25">
      <c r="A231">
        <v>19</v>
      </c>
      <c r="B231" t="s">
        <v>9</v>
      </c>
      <c r="C231">
        <v>28.9</v>
      </c>
      <c r="D231" t="s">
        <v>22</v>
      </c>
      <c r="E231" t="s">
        <v>18</v>
      </c>
      <c r="F231" t="s">
        <v>29</v>
      </c>
      <c r="G231">
        <v>5</v>
      </c>
      <c r="H231">
        <v>4</v>
      </c>
      <c r="I231" s="13">
        <v>45394</v>
      </c>
      <c r="J231" s="13" t="str">
        <f>TEXT(Table1[[#This Row],[Date]],"[$-en-US]mmm yyyy")</f>
        <v>Apr 2024</v>
      </c>
      <c r="K231" s="13" t="str">
        <f>TEXT(Table1[[#This Row],[Date]],"[$-en-US]ddd")</f>
        <v>Fri</v>
      </c>
    </row>
    <row r="232" spans="1:11" x14ac:dyDescent="0.25">
      <c r="A232">
        <v>12</v>
      </c>
      <c r="B232" t="s">
        <v>9</v>
      </c>
      <c r="C232">
        <v>38.700000000000003</v>
      </c>
      <c r="D232" t="s">
        <v>10</v>
      </c>
      <c r="E232" t="s">
        <v>15</v>
      </c>
      <c r="F232" t="s">
        <v>29</v>
      </c>
      <c r="G232">
        <v>6</v>
      </c>
      <c r="H232">
        <v>4</v>
      </c>
      <c r="I232" s="13">
        <v>45395</v>
      </c>
      <c r="J232" s="13" t="str">
        <f>TEXT(Table1[[#This Row],[Date]],"[$-en-US]mmm yyyy")</f>
        <v>Apr 2024</v>
      </c>
      <c r="K232" s="13" t="str">
        <f>TEXT(Table1[[#This Row],[Date]],"[$-en-US]ddd")</f>
        <v>Sat</v>
      </c>
    </row>
    <row r="233" spans="1:11" x14ac:dyDescent="0.25">
      <c r="A233">
        <v>12</v>
      </c>
      <c r="B233" t="s">
        <v>9</v>
      </c>
      <c r="C233">
        <v>28.9</v>
      </c>
      <c r="D233" t="s">
        <v>16</v>
      </c>
      <c r="E233" t="s">
        <v>15</v>
      </c>
      <c r="F233" t="s">
        <v>29</v>
      </c>
      <c r="G233">
        <v>6</v>
      </c>
      <c r="H233">
        <v>4</v>
      </c>
      <c r="I233" s="13">
        <v>45395</v>
      </c>
      <c r="J233" s="13" t="str">
        <f>TEXT(Table1[[#This Row],[Date]],"[$-en-US]mmm yyyy")</f>
        <v>Apr 2024</v>
      </c>
      <c r="K233" s="13" t="str">
        <f>TEXT(Table1[[#This Row],[Date]],"[$-en-US]ddd")</f>
        <v>Sat</v>
      </c>
    </row>
    <row r="234" spans="1:11" x14ac:dyDescent="0.25">
      <c r="A234">
        <v>16</v>
      </c>
      <c r="B234" t="s">
        <v>9</v>
      </c>
      <c r="C234">
        <v>38.700000000000003</v>
      </c>
      <c r="D234" t="s">
        <v>27</v>
      </c>
      <c r="E234" t="s">
        <v>15</v>
      </c>
      <c r="F234" t="s">
        <v>29</v>
      </c>
      <c r="G234">
        <v>6</v>
      </c>
      <c r="H234">
        <v>4</v>
      </c>
      <c r="I234" s="13">
        <v>45395</v>
      </c>
      <c r="J234" s="13" t="str">
        <f>TEXT(Table1[[#This Row],[Date]],"[$-en-US]mmm yyyy")</f>
        <v>Apr 2024</v>
      </c>
      <c r="K234" s="13" t="str">
        <f>TEXT(Table1[[#This Row],[Date]],"[$-en-US]ddd")</f>
        <v>Sat</v>
      </c>
    </row>
    <row r="235" spans="1:11" x14ac:dyDescent="0.25">
      <c r="A235">
        <v>16</v>
      </c>
      <c r="B235" t="s">
        <v>9</v>
      </c>
      <c r="C235">
        <v>38.700000000000003</v>
      </c>
      <c r="D235" t="s">
        <v>10</v>
      </c>
      <c r="E235" t="s">
        <v>15</v>
      </c>
      <c r="F235" t="s">
        <v>29</v>
      </c>
      <c r="G235">
        <v>6</v>
      </c>
      <c r="H235">
        <v>4</v>
      </c>
      <c r="I235" s="13">
        <v>45395</v>
      </c>
      <c r="J235" s="13" t="str">
        <f>TEXT(Table1[[#This Row],[Date]],"[$-en-US]mmm yyyy")</f>
        <v>Apr 2024</v>
      </c>
      <c r="K235" s="13" t="str">
        <f>TEXT(Table1[[#This Row],[Date]],"[$-en-US]ddd")</f>
        <v>Sat</v>
      </c>
    </row>
    <row r="236" spans="1:11" x14ac:dyDescent="0.25">
      <c r="A236">
        <v>17</v>
      </c>
      <c r="B236" t="s">
        <v>9</v>
      </c>
      <c r="C236">
        <v>38.700000000000003</v>
      </c>
      <c r="D236" t="s">
        <v>27</v>
      </c>
      <c r="E236" t="s">
        <v>18</v>
      </c>
      <c r="F236" t="s">
        <v>29</v>
      </c>
      <c r="G236">
        <v>6</v>
      </c>
      <c r="H236">
        <v>4</v>
      </c>
      <c r="I236" s="13">
        <v>45395</v>
      </c>
      <c r="J236" s="13" t="str">
        <f>TEXT(Table1[[#This Row],[Date]],"[$-en-US]mmm yyyy")</f>
        <v>Apr 2024</v>
      </c>
      <c r="K236" s="13" t="str">
        <f>TEXT(Table1[[#This Row],[Date]],"[$-en-US]ddd")</f>
        <v>Sat</v>
      </c>
    </row>
    <row r="237" spans="1:11" x14ac:dyDescent="0.25">
      <c r="A237">
        <v>17</v>
      </c>
      <c r="B237" t="s">
        <v>9</v>
      </c>
      <c r="C237">
        <v>38.700000000000003</v>
      </c>
      <c r="D237" t="s">
        <v>27</v>
      </c>
      <c r="E237" t="s">
        <v>18</v>
      </c>
      <c r="F237" t="s">
        <v>29</v>
      </c>
      <c r="G237">
        <v>6</v>
      </c>
      <c r="H237">
        <v>4</v>
      </c>
      <c r="I237" s="13">
        <v>45395</v>
      </c>
      <c r="J237" s="13" t="str">
        <f>TEXT(Table1[[#This Row],[Date]],"[$-en-US]mmm yyyy")</f>
        <v>Apr 2024</v>
      </c>
      <c r="K237" s="13" t="str">
        <f>TEXT(Table1[[#This Row],[Date]],"[$-en-US]ddd")</f>
        <v>Sat</v>
      </c>
    </row>
    <row r="238" spans="1:11" x14ac:dyDescent="0.25">
      <c r="A238">
        <v>12</v>
      </c>
      <c r="B238" t="s">
        <v>9</v>
      </c>
      <c r="C238">
        <v>38.700000000000003</v>
      </c>
      <c r="D238" t="s">
        <v>27</v>
      </c>
      <c r="E238" t="s">
        <v>15</v>
      </c>
      <c r="F238" t="s">
        <v>29</v>
      </c>
      <c r="G238">
        <v>7</v>
      </c>
      <c r="H238">
        <v>4</v>
      </c>
      <c r="I238" s="13">
        <v>45396</v>
      </c>
      <c r="J238" s="13" t="str">
        <f>TEXT(Table1[[#This Row],[Date]],"[$-en-US]mmm yyyy")</f>
        <v>Apr 2024</v>
      </c>
      <c r="K238" s="13" t="str">
        <f>TEXT(Table1[[#This Row],[Date]],"[$-en-US]ddd")</f>
        <v>Sun</v>
      </c>
    </row>
    <row r="239" spans="1:11" x14ac:dyDescent="0.25">
      <c r="A239">
        <v>13</v>
      </c>
      <c r="B239" t="s">
        <v>9</v>
      </c>
      <c r="C239">
        <v>28.9</v>
      </c>
      <c r="D239" t="s">
        <v>22</v>
      </c>
      <c r="E239" t="s">
        <v>15</v>
      </c>
      <c r="F239" t="s">
        <v>29</v>
      </c>
      <c r="G239">
        <v>7</v>
      </c>
      <c r="H239">
        <v>4</v>
      </c>
      <c r="I239" s="13">
        <v>45396</v>
      </c>
      <c r="J239" s="13" t="str">
        <f>TEXT(Table1[[#This Row],[Date]],"[$-en-US]mmm yyyy")</f>
        <v>Apr 2024</v>
      </c>
      <c r="K239" s="13" t="str">
        <f>TEXT(Table1[[#This Row],[Date]],"[$-en-US]ddd")</f>
        <v>Sun</v>
      </c>
    </row>
    <row r="240" spans="1:11" x14ac:dyDescent="0.25">
      <c r="A240">
        <v>14</v>
      </c>
      <c r="B240" t="s">
        <v>9</v>
      </c>
      <c r="C240">
        <v>28.9</v>
      </c>
      <c r="D240" t="s">
        <v>16</v>
      </c>
      <c r="E240" t="s">
        <v>15</v>
      </c>
      <c r="F240" t="s">
        <v>29</v>
      </c>
      <c r="G240">
        <v>7</v>
      </c>
      <c r="H240">
        <v>4</v>
      </c>
      <c r="I240" s="13">
        <v>45396</v>
      </c>
      <c r="J240" s="13" t="str">
        <f>TEXT(Table1[[#This Row],[Date]],"[$-en-US]mmm yyyy")</f>
        <v>Apr 2024</v>
      </c>
      <c r="K240" s="13" t="str">
        <f>TEXT(Table1[[#This Row],[Date]],"[$-en-US]ddd")</f>
        <v>Sun</v>
      </c>
    </row>
    <row r="241" spans="1:11" x14ac:dyDescent="0.25">
      <c r="A241">
        <v>14</v>
      </c>
      <c r="B241" t="s">
        <v>9</v>
      </c>
      <c r="C241">
        <v>28.9</v>
      </c>
      <c r="D241" t="s">
        <v>16</v>
      </c>
      <c r="E241" t="s">
        <v>15</v>
      </c>
      <c r="F241" t="s">
        <v>29</v>
      </c>
      <c r="G241">
        <v>7</v>
      </c>
      <c r="H241">
        <v>4</v>
      </c>
      <c r="I241" s="13">
        <v>45396</v>
      </c>
      <c r="J241" s="13" t="str">
        <f>TEXT(Table1[[#This Row],[Date]],"[$-en-US]mmm yyyy")</f>
        <v>Apr 2024</v>
      </c>
      <c r="K241" s="13" t="str">
        <f>TEXT(Table1[[#This Row],[Date]],"[$-en-US]ddd")</f>
        <v>Sun</v>
      </c>
    </row>
    <row r="242" spans="1:11" x14ac:dyDescent="0.25">
      <c r="A242">
        <v>14</v>
      </c>
      <c r="B242" t="s">
        <v>9</v>
      </c>
      <c r="C242">
        <v>28.9</v>
      </c>
      <c r="D242" t="s">
        <v>16</v>
      </c>
      <c r="E242" t="s">
        <v>15</v>
      </c>
      <c r="F242" t="s">
        <v>29</v>
      </c>
      <c r="G242">
        <v>7</v>
      </c>
      <c r="H242">
        <v>4</v>
      </c>
      <c r="I242" s="13">
        <v>45396</v>
      </c>
      <c r="J242" s="13" t="str">
        <f>TEXT(Table1[[#This Row],[Date]],"[$-en-US]mmm yyyy")</f>
        <v>Apr 2024</v>
      </c>
      <c r="K242" s="13" t="str">
        <f>TEXT(Table1[[#This Row],[Date]],"[$-en-US]ddd")</f>
        <v>Sun</v>
      </c>
    </row>
    <row r="243" spans="1:11" x14ac:dyDescent="0.25">
      <c r="A243">
        <v>15</v>
      </c>
      <c r="B243" t="s">
        <v>9</v>
      </c>
      <c r="C243">
        <v>38.700000000000003</v>
      </c>
      <c r="D243" t="s">
        <v>27</v>
      </c>
      <c r="E243" t="s">
        <v>15</v>
      </c>
      <c r="F243" t="s">
        <v>29</v>
      </c>
      <c r="G243">
        <v>7</v>
      </c>
      <c r="H243">
        <v>4</v>
      </c>
      <c r="I243" s="13">
        <v>45396</v>
      </c>
      <c r="J243" s="13" t="str">
        <f>TEXT(Table1[[#This Row],[Date]],"[$-en-US]mmm yyyy")</f>
        <v>Apr 2024</v>
      </c>
      <c r="K243" s="13" t="str">
        <f>TEXT(Table1[[#This Row],[Date]],"[$-en-US]ddd")</f>
        <v>Sun</v>
      </c>
    </row>
    <row r="244" spans="1:11" x14ac:dyDescent="0.25">
      <c r="A244">
        <v>16</v>
      </c>
      <c r="B244" t="s">
        <v>9</v>
      </c>
      <c r="C244">
        <v>28.9</v>
      </c>
      <c r="D244" t="s">
        <v>22</v>
      </c>
      <c r="E244" t="s">
        <v>15</v>
      </c>
      <c r="F244" t="s">
        <v>29</v>
      </c>
      <c r="G244">
        <v>7</v>
      </c>
      <c r="H244">
        <v>4</v>
      </c>
      <c r="I244" s="13">
        <v>45396</v>
      </c>
      <c r="J244" s="13" t="str">
        <f>TEXT(Table1[[#This Row],[Date]],"[$-en-US]mmm yyyy")</f>
        <v>Apr 2024</v>
      </c>
      <c r="K244" s="13" t="str">
        <f>TEXT(Table1[[#This Row],[Date]],"[$-en-US]ddd")</f>
        <v>Sun</v>
      </c>
    </row>
    <row r="245" spans="1:11" x14ac:dyDescent="0.25">
      <c r="A245">
        <v>17</v>
      </c>
      <c r="B245" t="s">
        <v>9</v>
      </c>
      <c r="C245">
        <v>38.700000000000003</v>
      </c>
      <c r="D245" t="s">
        <v>10</v>
      </c>
      <c r="E245" t="s">
        <v>18</v>
      </c>
      <c r="F245" t="s">
        <v>29</v>
      </c>
      <c r="G245">
        <v>7</v>
      </c>
      <c r="H245">
        <v>4</v>
      </c>
      <c r="I245" s="13">
        <v>45396</v>
      </c>
      <c r="J245" s="13" t="str">
        <f>TEXT(Table1[[#This Row],[Date]],"[$-en-US]mmm yyyy")</f>
        <v>Apr 2024</v>
      </c>
      <c r="K245" s="13" t="str">
        <f>TEXT(Table1[[#This Row],[Date]],"[$-en-US]ddd")</f>
        <v>Sun</v>
      </c>
    </row>
    <row r="246" spans="1:11" x14ac:dyDescent="0.25">
      <c r="A246">
        <v>18</v>
      </c>
      <c r="B246" t="s">
        <v>9</v>
      </c>
      <c r="C246">
        <v>38.700000000000003</v>
      </c>
      <c r="D246" t="s">
        <v>27</v>
      </c>
      <c r="E246" t="s">
        <v>18</v>
      </c>
      <c r="F246" t="s">
        <v>29</v>
      </c>
      <c r="G246">
        <v>7</v>
      </c>
      <c r="H246">
        <v>4</v>
      </c>
      <c r="I246" s="13">
        <v>45396</v>
      </c>
      <c r="J246" s="13" t="str">
        <f>TEXT(Table1[[#This Row],[Date]],"[$-en-US]mmm yyyy")</f>
        <v>Apr 2024</v>
      </c>
      <c r="K246" s="13" t="str">
        <f>TEXT(Table1[[#This Row],[Date]],"[$-en-US]ddd")</f>
        <v>Sun</v>
      </c>
    </row>
    <row r="247" spans="1:11" x14ac:dyDescent="0.25">
      <c r="A247">
        <v>11</v>
      </c>
      <c r="B247" t="s">
        <v>9</v>
      </c>
      <c r="C247">
        <v>28.9</v>
      </c>
      <c r="D247" t="s">
        <v>16</v>
      </c>
      <c r="E247" t="s">
        <v>11</v>
      </c>
      <c r="F247" t="s">
        <v>29</v>
      </c>
      <c r="G247">
        <v>1</v>
      </c>
      <c r="H247">
        <v>4</v>
      </c>
      <c r="I247" s="13">
        <v>45397</v>
      </c>
      <c r="J247" s="13" t="str">
        <f>TEXT(Table1[[#This Row],[Date]],"[$-en-US]mmm yyyy")</f>
        <v>Apr 2024</v>
      </c>
      <c r="K247" s="13" t="str">
        <f>TEXT(Table1[[#This Row],[Date]],"[$-en-US]ddd")</f>
        <v>Mon</v>
      </c>
    </row>
    <row r="248" spans="1:11" x14ac:dyDescent="0.25">
      <c r="A248">
        <v>17</v>
      </c>
      <c r="B248" t="s">
        <v>9</v>
      </c>
      <c r="C248">
        <v>28.9</v>
      </c>
      <c r="D248" t="s">
        <v>16</v>
      </c>
      <c r="E248" t="s">
        <v>18</v>
      </c>
      <c r="F248" t="s">
        <v>29</v>
      </c>
      <c r="G248">
        <v>1</v>
      </c>
      <c r="H248">
        <v>4</v>
      </c>
      <c r="I248" s="13">
        <v>45397</v>
      </c>
      <c r="J248" s="13" t="str">
        <f>TEXT(Table1[[#This Row],[Date]],"[$-en-US]mmm yyyy")</f>
        <v>Apr 2024</v>
      </c>
      <c r="K248" s="13" t="str">
        <f>TEXT(Table1[[#This Row],[Date]],"[$-en-US]ddd")</f>
        <v>Mon</v>
      </c>
    </row>
    <row r="249" spans="1:11" x14ac:dyDescent="0.25">
      <c r="A249">
        <v>17</v>
      </c>
      <c r="B249" t="s">
        <v>9</v>
      </c>
      <c r="C249">
        <v>33.799999999999997</v>
      </c>
      <c r="D249" t="s">
        <v>17</v>
      </c>
      <c r="E249" t="s">
        <v>18</v>
      </c>
      <c r="F249" t="s">
        <v>29</v>
      </c>
      <c r="G249">
        <v>1</v>
      </c>
      <c r="H249">
        <v>4</v>
      </c>
      <c r="I249" s="13">
        <v>45397</v>
      </c>
      <c r="J249" s="13" t="str">
        <f>TEXT(Table1[[#This Row],[Date]],"[$-en-US]mmm yyyy")</f>
        <v>Apr 2024</v>
      </c>
      <c r="K249" s="13" t="str">
        <f>TEXT(Table1[[#This Row],[Date]],"[$-en-US]ddd")</f>
        <v>Mon</v>
      </c>
    </row>
    <row r="250" spans="1:11" x14ac:dyDescent="0.25">
      <c r="A250">
        <v>19</v>
      </c>
      <c r="B250" t="s">
        <v>9</v>
      </c>
      <c r="C250">
        <v>33.799999999999997</v>
      </c>
      <c r="D250" t="s">
        <v>17</v>
      </c>
      <c r="E250" t="s">
        <v>18</v>
      </c>
      <c r="F250" t="s">
        <v>29</v>
      </c>
      <c r="G250">
        <v>1</v>
      </c>
      <c r="H250">
        <v>4</v>
      </c>
      <c r="I250" s="13">
        <v>45397</v>
      </c>
      <c r="J250" s="13" t="str">
        <f>TEXT(Table1[[#This Row],[Date]],"[$-en-US]mmm yyyy")</f>
        <v>Apr 2024</v>
      </c>
      <c r="K250" s="13" t="str">
        <f>TEXT(Table1[[#This Row],[Date]],"[$-en-US]ddd")</f>
        <v>Mon</v>
      </c>
    </row>
    <row r="251" spans="1:11" x14ac:dyDescent="0.25">
      <c r="A251">
        <v>10</v>
      </c>
      <c r="B251" t="s">
        <v>9</v>
      </c>
      <c r="C251">
        <v>33.799999999999997</v>
      </c>
      <c r="D251" t="s">
        <v>17</v>
      </c>
      <c r="E251" t="s">
        <v>11</v>
      </c>
      <c r="F251" t="s">
        <v>29</v>
      </c>
      <c r="G251">
        <v>2</v>
      </c>
      <c r="H251">
        <v>4</v>
      </c>
      <c r="I251" s="13">
        <v>45398</v>
      </c>
      <c r="J251" s="13" t="str">
        <f>TEXT(Table1[[#This Row],[Date]],"[$-en-US]mmm yyyy")</f>
        <v>Apr 2024</v>
      </c>
      <c r="K251" s="13" t="str">
        <f>TEXT(Table1[[#This Row],[Date]],"[$-en-US]ddd")</f>
        <v>Tue</v>
      </c>
    </row>
    <row r="252" spans="1:11" x14ac:dyDescent="0.25">
      <c r="A252">
        <v>12</v>
      </c>
      <c r="B252" t="s">
        <v>9</v>
      </c>
      <c r="C252">
        <v>38.700000000000003</v>
      </c>
      <c r="D252" t="s">
        <v>19</v>
      </c>
      <c r="E252" t="s">
        <v>15</v>
      </c>
      <c r="F252" t="s">
        <v>29</v>
      </c>
      <c r="G252">
        <v>2</v>
      </c>
      <c r="H252">
        <v>4</v>
      </c>
      <c r="I252" s="13">
        <v>45398</v>
      </c>
      <c r="J252" s="13" t="str">
        <f>TEXT(Table1[[#This Row],[Date]],"[$-en-US]mmm yyyy")</f>
        <v>Apr 2024</v>
      </c>
      <c r="K252" s="13" t="str">
        <f>TEXT(Table1[[#This Row],[Date]],"[$-en-US]ddd")</f>
        <v>Tue</v>
      </c>
    </row>
    <row r="253" spans="1:11" x14ac:dyDescent="0.25">
      <c r="A253">
        <v>12</v>
      </c>
      <c r="B253" t="s">
        <v>9</v>
      </c>
      <c r="C253">
        <v>28.9</v>
      </c>
      <c r="D253" t="s">
        <v>22</v>
      </c>
      <c r="E253" t="s">
        <v>15</v>
      </c>
      <c r="F253" t="s">
        <v>29</v>
      </c>
      <c r="G253">
        <v>2</v>
      </c>
      <c r="H253">
        <v>4</v>
      </c>
      <c r="I253" s="13">
        <v>45398</v>
      </c>
      <c r="J253" s="13" t="str">
        <f>TEXT(Table1[[#This Row],[Date]],"[$-en-US]mmm yyyy")</f>
        <v>Apr 2024</v>
      </c>
      <c r="K253" s="13" t="str">
        <f>TEXT(Table1[[#This Row],[Date]],"[$-en-US]ddd")</f>
        <v>Tue</v>
      </c>
    </row>
    <row r="254" spans="1:11" x14ac:dyDescent="0.25">
      <c r="A254">
        <v>15</v>
      </c>
      <c r="B254" t="s">
        <v>9</v>
      </c>
      <c r="C254">
        <v>28.9</v>
      </c>
      <c r="D254" t="s">
        <v>16</v>
      </c>
      <c r="E254" t="s">
        <v>15</v>
      </c>
      <c r="F254" t="s">
        <v>29</v>
      </c>
      <c r="G254">
        <v>2</v>
      </c>
      <c r="H254">
        <v>4</v>
      </c>
      <c r="I254" s="13">
        <v>45398</v>
      </c>
      <c r="J254" s="13" t="str">
        <f>TEXT(Table1[[#This Row],[Date]],"[$-en-US]mmm yyyy")</f>
        <v>Apr 2024</v>
      </c>
      <c r="K254" s="13" t="str">
        <f>TEXT(Table1[[#This Row],[Date]],"[$-en-US]ddd")</f>
        <v>Tue</v>
      </c>
    </row>
    <row r="255" spans="1:11" x14ac:dyDescent="0.25">
      <c r="A255">
        <v>17</v>
      </c>
      <c r="B255" t="s">
        <v>9</v>
      </c>
      <c r="C255">
        <v>33.799999999999997</v>
      </c>
      <c r="D255" t="s">
        <v>17</v>
      </c>
      <c r="E255" t="s">
        <v>18</v>
      </c>
      <c r="F255" t="s">
        <v>29</v>
      </c>
      <c r="G255">
        <v>2</v>
      </c>
      <c r="H255">
        <v>4</v>
      </c>
      <c r="I255" s="13">
        <v>45398</v>
      </c>
      <c r="J255" s="13" t="str">
        <f>TEXT(Table1[[#This Row],[Date]],"[$-en-US]mmm yyyy")</f>
        <v>Apr 2024</v>
      </c>
      <c r="K255" s="13" t="str">
        <f>TEXT(Table1[[#This Row],[Date]],"[$-en-US]ddd")</f>
        <v>Tue</v>
      </c>
    </row>
    <row r="256" spans="1:11" x14ac:dyDescent="0.25">
      <c r="A256">
        <v>17</v>
      </c>
      <c r="B256" t="s">
        <v>9</v>
      </c>
      <c r="C256">
        <v>38.700000000000003</v>
      </c>
      <c r="D256" t="s">
        <v>27</v>
      </c>
      <c r="E256" t="s">
        <v>18</v>
      </c>
      <c r="F256" t="s">
        <v>29</v>
      </c>
      <c r="G256">
        <v>2</v>
      </c>
      <c r="H256">
        <v>4</v>
      </c>
      <c r="I256" s="13">
        <v>45398</v>
      </c>
      <c r="J256" s="13" t="str">
        <f>TEXT(Table1[[#This Row],[Date]],"[$-en-US]mmm yyyy")</f>
        <v>Apr 2024</v>
      </c>
      <c r="K256" s="13" t="str">
        <f>TEXT(Table1[[#This Row],[Date]],"[$-en-US]ddd")</f>
        <v>Tue</v>
      </c>
    </row>
    <row r="257" spans="1:11" x14ac:dyDescent="0.25">
      <c r="A257">
        <v>18</v>
      </c>
      <c r="B257" t="s">
        <v>9</v>
      </c>
      <c r="C257">
        <v>38.700000000000003</v>
      </c>
      <c r="D257" t="s">
        <v>19</v>
      </c>
      <c r="E257" t="s">
        <v>18</v>
      </c>
      <c r="F257" t="s">
        <v>29</v>
      </c>
      <c r="G257">
        <v>2</v>
      </c>
      <c r="H257">
        <v>4</v>
      </c>
      <c r="I257" s="13">
        <v>45398</v>
      </c>
      <c r="J257" s="13" t="str">
        <f>TEXT(Table1[[#This Row],[Date]],"[$-en-US]mmm yyyy")</f>
        <v>Apr 2024</v>
      </c>
      <c r="K257" s="13" t="str">
        <f>TEXT(Table1[[#This Row],[Date]],"[$-en-US]ddd")</f>
        <v>Tue</v>
      </c>
    </row>
    <row r="258" spans="1:11" x14ac:dyDescent="0.25">
      <c r="A258">
        <v>13</v>
      </c>
      <c r="B258" t="s">
        <v>9</v>
      </c>
      <c r="C258">
        <v>28.9</v>
      </c>
      <c r="D258" t="s">
        <v>16</v>
      </c>
      <c r="E258" t="s">
        <v>15</v>
      </c>
      <c r="F258" t="s">
        <v>29</v>
      </c>
      <c r="G258">
        <v>3</v>
      </c>
      <c r="H258">
        <v>4</v>
      </c>
      <c r="I258" s="13">
        <v>45399</v>
      </c>
      <c r="J258" s="13" t="str">
        <f>TEXT(Table1[[#This Row],[Date]],"[$-en-US]mmm yyyy")</f>
        <v>Apr 2024</v>
      </c>
      <c r="K258" s="13" t="str">
        <f>TEXT(Table1[[#This Row],[Date]],"[$-en-US]ddd")</f>
        <v>Wed</v>
      </c>
    </row>
    <row r="259" spans="1:11" x14ac:dyDescent="0.25">
      <c r="A259">
        <v>13</v>
      </c>
      <c r="B259" t="s">
        <v>9</v>
      </c>
      <c r="C259">
        <v>24</v>
      </c>
      <c r="D259" t="s">
        <v>24</v>
      </c>
      <c r="E259" t="s">
        <v>15</v>
      </c>
      <c r="F259" t="s">
        <v>29</v>
      </c>
      <c r="G259">
        <v>3</v>
      </c>
      <c r="H259">
        <v>4</v>
      </c>
      <c r="I259" s="13">
        <v>45399</v>
      </c>
      <c r="J259" s="13" t="str">
        <f>TEXT(Table1[[#This Row],[Date]],"[$-en-US]mmm yyyy")</f>
        <v>Apr 2024</v>
      </c>
      <c r="K259" s="13" t="str">
        <f>TEXT(Table1[[#This Row],[Date]],"[$-en-US]ddd")</f>
        <v>Wed</v>
      </c>
    </row>
    <row r="260" spans="1:11" x14ac:dyDescent="0.25">
      <c r="A260">
        <v>17</v>
      </c>
      <c r="B260" t="s">
        <v>9</v>
      </c>
      <c r="C260">
        <v>38.700000000000003</v>
      </c>
      <c r="D260" t="s">
        <v>27</v>
      </c>
      <c r="E260" t="s">
        <v>18</v>
      </c>
      <c r="F260" t="s">
        <v>29</v>
      </c>
      <c r="G260">
        <v>3</v>
      </c>
      <c r="H260">
        <v>4</v>
      </c>
      <c r="I260" s="13">
        <v>45399</v>
      </c>
      <c r="J260" s="13" t="str">
        <f>TEXT(Table1[[#This Row],[Date]],"[$-en-US]mmm yyyy")</f>
        <v>Apr 2024</v>
      </c>
      <c r="K260" s="13" t="str">
        <f>TEXT(Table1[[#This Row],[Date]],"[$-en-US]ddd")</f>
        <v>Wed</v>
      </c>
    </row>
    <row r="261" spans="1:11" x14ac:dyDescent="0.25">
      <c r="A261">
        <v>17</v>
      </c>
      <c r="B261" t="s">
        <v>9</v>
      </c>
      <c r="C261">
        <v>38.700000000000003</v>
      </c>
      <c r="D261" t="s">
        <v>27</v>
      </c>
      <c r="E261" t="s">
        <v>18</v>
      </c>
      <c r="F261" t="s">
        <v>29</v>
      </c>
      <c r="G261">
        <v>3</v>
      </c>
      <c r="H261">
        <v>4</v>
      </c>
      <c r="I261" s="13">
        <v>45399</v>
      </c>
      <c r="J261" s="13" t="str">
        <f>TEXT(Table1[[#This Row],[Date]],"[$-en-US]mmm yyyy")</f>
        <v>Apr 2024</v>
      </c>
      <c r="K261" s="13" t="str">
        <f>TEXT(Table1[[#This Row],[Date]],"[$-en-US]ddd")</f>
        <v>Wed</v>
      </c>
    </row>
    <row r="262" spans="1:11" x14ac:dyDescent="0.25">
      <c r="A262">
        <v>18</v>
      </c>
      <c r="B262" t="s">
        <v>9</v>
      </c>
      <c r="C262">
        <v>28.9</v>
      </c>
      <c r="D262" t="s">
        <v>22</v>
      </c>
      <c r="E262" t="s">
        <v>18</v>
      </c>
      <c r="F262" t="s">
        <v>29</v>
      </c>
      <c r="G262">
        <v>3</v>
      </c>
      <c r="H262">
        <v>4</v>
      </c>
      <c r="I262" s="13">
        <v>45399</v>
      </c>
      <c r="J262" s="13" t="str">
        <f>TEXT(Table1[[#This Row],[Date]],"[$-en-US]mmm yyyy")</f>
        <v>Apr 2024</v>
      </c>
      <c r="K262" s="13" t="str">
        <f>TEXT(Table1[[#This Row],[Date]],"[$-en-US]ddd")</f>
        <v>Wed</v>
      </c>
    </row>
    <row r="263" spans="1:11" x14ac:dyDescent="0.25">
      <c r="A263">
        <v>11</v>
      </c>
      <c r="B263" t="s">
        <v>9</v>
      </c>
      <c r="C263">
        <v>28.9</v>
      </c>
      <c r="D263" t="s">
        <v>16</v>
      </c>
      <c r="E263" t="s">
        <v>11</v>
      </c>
      <c r="F263" t="s">
        <v>29</v>
      </c>
      <c r="G263">
        <v>4</v>
      </c>
      <c r="H263">
        <v>4</v>
      </c>
      <c r="I263" s="13">
        <v>45400</v>
      </c>
      <c r="J263" s="13" t="str">
        <f>TEXT(Table1[[#This Row],[Date]],"[$-en-US]mmm yyyy")</f>
        <v>Apr 2024</v>
      </c>
      <c r="K263" s="13" t="str">
        <f>TEXT(Table1[[#This Row],[Date]],"[$-en-US]ddd")</f>
        <v>Thu</v>
      </c>
    </row>
    <row r="264" spans="1:11" x14ac:dyDescent="0.25">
      <c r="A264">
        <v>11</v>
      </c>
      <c r="B264" t="s">
        <v>9</v>
      </c>
      <c r="C264">
        <v>28.9</v>
      </c>
      <c r="D264" t="s">
        <v>16</v>
      </c>
      <c r="E264" t="s">
        <v>11</v>
      </c>
      <c r="F264" t="s">
        <v>29</v>
      </c>
      <c r="G264">
        <v>4</v>
      </c>
      <c r="H264">
        <v>4</v>
      </c>
      <c r="I264" s="13">
        <v>45400</v>
      </c>
      <c r="J264" s="13" t="str">
        <f>TEXT(Table1[[#This Row],[Date]],"[$-en-US]mmm yyyy")</f>
        <v>Apr 2024</v>
      </c>
      <c r="K264" s="13" t="str">
        <f>TEXT(Table1[[#This Row],[Date]],"[$-en-US]ddd")</f>
        <v>Thu</v>
      </c>
    </row>
    <row r="265" spans="1:11" x14ac:dyDescent="0.25">
      <c r="A265">
        <v>13</v>
      </c>
      <c r="B265" t="s">
        <v>9</v>
      </c>
      <c r="C265">
        <v>33.799999999999997</v>
      </c>
      <c r="D265" t="s">
        <v>17</v>
      </c>
      <c r="E265" t="s">
        <v>15</v>
      </c>
      <c r="F265" t="s">
        <v>29</v>
      </c>
      <c r="G265">
        <v>4</v>
      </c>
      <c r="H265">
        <v>4</v>
      </c>
      <c r="I265" s="13">
        <v>45400</v>
      </c>
      <c r="J265" s="13" t="str">
        <f>TEXT(Table1[[#This Row],[Date]],"[$-en-US]mmm yyyy")</f>
        <v>Apr 2024</v>
      </c>
      <c r="K265" s="13" t="str">
        <f>TEXT(Table1[[#This Row],[Date]],"[$-en-US]ddd")</f>
        <v>Thu</v>
      </c>
    </row>
    <row r="266" spans="1:11" x14ac:dyDescent="0.25">
      <c r="A266">
        <v>13</v>
      </c>
      <c r="B266" t="s">
        <v>9</v>
      </c>
      <c r="C266">
        <v>28.9</v>
      </c>
      <c r="D266" t="s">
        <v>22</v>
      </c>
      <c r="E266" t="s">
        <v>15</v>
      </c>
      <c r="F266" t="s">
        <v>29</v>
      </c>
      <c r="G266">
        <v>4</v>
      </c>
      <c r="H266">
        <v>4</v>
      </c>
      <c r="I266" s="13">
        <v>45400</v>
      </c>
      <c r="J266" s="13" t="str">
        <f>TEXT(Table1[[#This Row],[Date]],"[$-en-US]mmm yyyy")</f>
        <v>Apr 2024</v>
      </c>
      <c r="K266" s="13" t="str">
        <f>TEXT(Table1[[#This Row],[Date]],"[$-en-US]ddd")</f>
        <v>Thu</v>
      </c>
    </row>
    <row r="267" spans="1:11" x14ac:dyDescent="0.25">
      <c r="A267">
        <v>14</v>
      </c>
      <c r="B267" t="s">
        <v>9</v>
      </c>
      <c r="C267">
        <v>38.700000000000003</v>
      </c>
      <c r="D267" t="s">
        <v>27</v>
      </c>
      <c r="E267" t="s">
        <v>15</v>
      </c>
      <c r="F267" t="s">
        <v>29</v>
      </c>
      <c r="G267">
        <v>4</v>
      </c>
      <c r="H267">
        <v>4</v>
      </c>
      <c r="I267" s="13">
        <v>45400</v>
      </c>
      <c r="J267" s="13" t="str">
        <f>TEXT(Table1[[#This Row],[Date]],"[$-en-US]mmm yyyy")</f>
        <v>Apr 2024</v>
      </c>
      <c r="K267" s="13" t="str">
        <f>TEXT(Table1[[#This Row],[Date]],"[$-en-US]ddd")</f>
        <v>Thu</v>
      </c>
    </row>
    <row r="268" spans="1:11" x14ac:dyDescent="0.25">
      <c r="A268">
        <v>14</v>
      </c>
      <c r="B268" t="s">
        <v>9</v>
      </c>
      <c r="C268">
        <v>38.700000000000003</v>
      </c>
      <c r="D268" t="s">
        <v>10</v>
      </c>
      <c r="E268" t="s">
        <v>15</v>
      </c>
      <c r="F268" t="s">
        <v>29</v>
      </c>
      <c r="G268">
        <v>4</v>
      </c>
      <c r="H268">
        <v>4</v>
      </c>
      <c r="I268" s="13">
        <v>45400</v>
      </c>
      <c r="J268" s="13" t="str">
        <f>TEXT(Table1[[#This Row],[Date]],"[$-en-US]mmm yyyy")</f>
        <v>Apr 2024</v>
      </c>
      <c r="K268" s="13" t="str">
        <f>TEXT(Table1[[#This Row],[Date]],"[$-en-US]ddd")</f>
        <v>Thu</v>
      </c>
    </row>
    <row r="269" spans="1:11" x14ac:dyDescent="0.25">
      <c r="A269">
        <v>17</v>
      </c>
      <c r="B269" t="s">
        <v>9</v>
      </c>
      <c r="C269">
        <v>38.700000000000003</v>
      </c>
      <c r="D269" t="s">
        <v>10</v>
      </c>
      <c r="E269" t="s">
        <v>18</v>
      </c>
      <c r="F269" t="s">
        <v>29</v>
      </c>
      <c r="G269">
        <v>4</v>
      </c>
      <c r="H269">
        <v>4</v>
      </c>
      <c r="I269" s="13">
        <v>45400</v>
      </c>
      <c r="J269" s="13" t="str">
        <f>TEXT(Table1[[#This Row],[Date]],"[$-en-US]mmm yyyy")</f>
        <v>Apr 2024</v>
      </c>
      <c r="K269" s="13" t="str">
        <f>TEXT(Table1[[#This Row],[Date]],"[$-en-US]ddd")</f>
        <v>Thu</v>
      </c>
    </row>
    <row r="270" spans="1:11" x14ac:dyDescent="0.25">
      <c r="A270">
        <v>18</v>
      </c>
      <c r="B270" t="s">
        <v>9</v>
      </c>
      <c r="C270">
        <v>38.700000000000003</v>
      </c>
      <c r="D270" t="s">
        <v>27</v>
      </c>
      <c r="E270" t="s">
        <v>18</v>
      </c>
      <c r="F270" t="s">
        <v>29</v>
      </c>
      <c r="G270">
        <v>4</v>
      </c>
      <c r="H270">
        <v>4</v>
      </c>
      <c r="I270" s="13">
        <v>45400</v>
      </c>
      <c r="J270" s="13" t="str">
        <f>TEXT(Table1[[#This Row],[Date]],"[$-en-US]mmm yyyy")</f>
        <v>Apr 2024</v>
      </c>
      <c r="K270" s="13" t="str">
        <f>TEXT(Table1[[#This Row],[Date]],"[$-en-US]ddd")</f>
        <v>Thu</v>
      </c>
    </row>
    <row r="271" spans="1:11" x14ac:dyDescent="0.25">
      <c r="A271">
        <v>19</v>
      </c>
      <c r="B271" t="s">
        <v>9</v>
      </c>
      <c r="C271">
        <v>38.700000000000003</v>
      </c>
      <c r="D271" t="s">
        <v>14</v>
      </c>
      <c r="E271" t="s">
        <v>18</v>
      </c>
      <c r="F271" t="s">
        <v>29</v>
      </c>
      <c r="G271">
        <v>4</v>
      </c>
      <c r="H271">
        <v>4</v>
      </c>
      <c r="I271" s="13">
        <v>45400</v>
      </c>
      <c r="J271" s="13" t="str">
        <f>TEXT(Table1[[#This Row],[Date]],"[$-en-US]mmm yyyy")</f>
        <v>Apr 2024</v>
      </c>
      <c r="K271" s="13" t="str">
        <f>TEXT(Table1[[#This Row],[Date]],"[$-en-US]ddd")</f>
        <v>Thu</v>
      </c>
    </row>
    <row r="272" spans="1:11" x14ac:dyDescent="0.25">
      <c r="A272">
        <v>19</v>
      </c>
      <c r="B272" t="s">
        <v>9</v>
      </c>
      <c r="C272">
        <v>38.700000000000003</v>
      </c>
      <c r="D272" t="s">
        <v>14</v>
      </c>
      <c r="E272" t="s">
        <v>18</v>
      </c>
      <c r="F272" t="s">
        <v>29</v>
      </c>
      <c r="G272">
        <v>4</v>
      </c>
      <c r="H272">
        <v>4</v>
      </c>
      <c r="I272" s="13">
        <v>45400</v>
      </c>
      <c r="J272" s="13" t="str">
        <f>TEXT(Table1[[#This Row],[Date]],"[$-en-US]mmm yyyy")</f>
        <v>Apr 2024</v>
      </c>
      <c r="K272" s="13" t="str">
        <f>TEXT(Table1[[#This Row],[Date]],"[$-en-US]ddd")</f>
        <v>Thu</v>
      </c>
    </row>
    <row r="273" spans="1:11" x14ac:dyDescent="0.25">
      <c r="A273">
        <v>10</v>
      </c>
      <c r="B273" t="s">
        <v>9</v>
      </c>
      <c r="C273">
        <v>38.700000000000003</v>
      </c>
      <c r="D273" t="s">
        <v>10</v>
      </c>
      <c r="E273" t="s">
        <v>11</v>
      </c>
      <c r="F273" t="s">
        <v>29</v>
      </c>
      <c r="G273">
        <v>5</v>
      </c>
      <c r="H273">
        <v>4</v>
      </c>
      <c r="I273" s="13">
        <v>45401</v>
      </c>
      <c r="J273" s="13" t="str">
        <f>TEXT(Table1[[#This Row],[Date]],"[$-en-US]mmm yyyy")</f>
        <v>Apr 2024</v>
      </c>
      <c r="K273" s="13" t="str">
        <f>TEXT(Table1[[#This Row],[Date]],"[$-en-US]ddd")</f>
        <v>Fri</v>
      </c>
    </row>
    <row r="274" spans="1:11" x14ac:dyDescent="0.25">
      <c r="A274">
        <v>13</v>
      </c>
      <c r="B274" t="s">
        <v>9</v>
      </c>
      <c r="C274">
        <v>33.799999999999997</v>
      </c>
      <c r="D274" t="s">
        <v>17</v>
      </c>
      <c r="E274" t="s">
        <v>15</v>
      </c>
      <c r="F274" t="s">
        <v>29</v>
      </c>
      <c r="G274">
        <v>5</v>
      </c>
      <c r="H274">
        <v>4</v>
      </c>
      <c r="I274" s="13">
        <v>45401</v>
      </c>
      <c r="J274" s="13" t="str">
        <f>TEXT(Table1[[#This Row],[Date]],"[$-en-US]mmm yyyy")</f>
        <v>Apr 2024</v>
      </c>
      <c r="K274" s="13" t="str">
        <f>TEXT(Table1[[#This Row],[Date]],"[$-en-US]ddd")</f>
        <v>Fri</v>
      </c>
    </row>
    <row r="275" spans="1:11" x14ac:dyDescent="0.25">
      <c r="A275">
        <v>13</v>
      </c>
      <c r="B275" t="s">
        <v>9</v>
      </c>
      <c r="C275">
        <v>38.700000000000003</v>
      </c>
      <c r="D275" t="s">
        <v>27</v>
      </c>
      <c r="E275" t="s">
        <v>15</v>
      </c>
      <c r="F275" t="s">
        <v>29</v>
      </c>
      <c r="G275">
        <v>5</v>
      </c>
      <c r="H275">
        <v>4</v>
      </c>
      <c r="I275" s="13">
        <v>45401</v>
      </c>
      <c r="J275" s="13" t="str">
        <f>TEXT(Table1[[#This Row],[Date]],"[$-en-US]mmm yyyy")</f>
        <v>Apr 2024</v>
      </c>
      <c r="K275" s="13" t="str">
        <f>TEXT(Table1[[#This Row],[Date]],"[$-en-US]ddd")</f>
        <v>Fri</v>
      </c>
    </row>
    <row r="276" spans="1:11" x14ac:dyDescent="0.25">
      <c r="A276">
        <v>13</v>
      </c>
      <c r="B276" t="s">
        <v>9</v>
      </c>
      <c r="C276">
        <v>38.700000000000003</v>
      </c>
      <c r="D276" t="s">
        <v>14</v>
      </c>
      <c r="E276" t="s">
        <v>15</v>
      </c>
      <c r="F276" t="s">
        <v>29</v>
      </c>
      <c r="G276">
        <v>5</v>
      </c>
      <c r="H276">
        <v>4</v>
      </c>
      <c r="I276" s="13">
        <v>45401</v>
      </c>
      <c r="J276" s="13" t="str">
        <f>TEXT(Table1[[#This Row],[Date]],"[$-en-US]mmm yyyy")</f>
        <v>Apr 2024</v>
      </c>
      <c r="K276" s="13" t="str">
        <f>TEXT(Table1[[#This Row],[Date]],"[$-en-US]ddd")</f>
        <v>Fri</v>
      </c>
    </row>
    <row r="277" spans="1:11" x14ac:dyDescent="0.25">
      <c r="A277">
        <v>13</v>
      </c>
      <c r="B277" t="s">
        <v>9</v>
      </c>
      <c r="C277">
        <v>38.700000000000003</v>
      </c>
      <c r="D277" t="s">
        <v>27</v>
      </c>
      <c r="E277" t="s">
        <v>15</v>
      </c>
      <c r="F277" t="s">
        <v>29</v>
      </c>
      <c r="G277">
        <v>5</v>
      </c>
      <c r="H277">
        <v>4</v>
      </c>
      <c r="I277" s="13">
        <v>45401</v>
      </c>
      <c r="J277" s="13" t="str">
        <f>TEXT(Table1[[#This Row],[Date]],"[$-en-US]mmm yyyy")</f>
        <v>Apr 2024</v>
      </c>
      <c r="K277" s="13" t="str">
        <f>TEXT(Table1[[#This Row],[Date]],"[$-en-US]ddd")</f>
        <v>Fri</v>
      </c>
    </row>
    <row r="278" spans="1:11" x14ac:dyDescent="0.25">
      <c r="A278">
        <v>18</v>
      </c>
      <c r="B278" t="s">
        <v>9</v>
      </c>
      <c r="C278">
        <v>38.700000000000003</v>
      </c>
      <c r="D278" t="s">
        <v>19</v>
      </c>
      <c r="E278" t="s">
        <v>18</v>
      </c>
      <c r="F278" t="s">
        <v>29</v>
      </c>
      <c r="G278">
        <v>5</v>
      </c>
      <c r="H278">
        <v>4</v>
      </c>
      <c r="I278" s="13">
        <v>45401</v>
      </c>
      <c r="J278" s="13" t="str">
        <f>TEXT(Table1[[#This Row],[Date]],"[$-en-US]mmm yyyy")</f>
        <v>Apr 2024</v>
      </c>
      <c r="K278" s="13" t="str">
        <f>TEXT(Table1[[#This Row],[Date]],"[$-en-US]ddd")</f>
        <v>Fri</v>
      </c>
    </row>
    <row r="279" spans="1:11" x14ac:dyDescent="0.25">
      <c r="A279">
        <v>18</v>
      </c>
      <c r="B279" t="s">
        <v>9</v>
      </c>
      <c r="C279">
        <v>33.799999999999997</v>
      </c>
      <c r="D279" t="s">
        <v>17</v>
      </c>
      <c r="E279" t="s">
        <v>18</v>
      </c>
      <c r="F279" t="s">
        <v>29</v>
      </c>
      <c r="G279">
        <v>5</v>
      </c>
      <c r="H279">
        <v>4</v>
      </c>
      <c r="I279" s="13">
        <v>45401</v>
      </c>
      <c r="J279" s="13" t="str">
        <f>TEXT(Table1[[#This Row],[Date]],"[$-en-US]mmm yyyy")</f>
        <v>Apr 2024</v>
      </c>
      <c r="K279" s="13" t="str">
        <f>TEXT(Table1[[#This Row],[Date]],"[$-en-US]ddd")</f>
        <v>Fri</v>
      </c>
    </row>
    <row r="280" spans="1:11" x14ac:dyDescent="0.25">
      <c r="A280">
        <v>12</v>
      </c>
      <c r="B280" t="s">
        <v>9</v>
      </c>
      <c r="C280">
        <v>33.799999999999997</v>
      </c>
      <c r="D280" t="s">
        <v>17</v>
      </c>
      <c r="E280" t="s">
        <v>15</v>
      </c>
      <c r="F280" t="s">
        <v>29</v>
      </c>
      <c r="G280">
        <v>6</v>
      </c>
      <c r="H280">
        <v>4</v>
      </c>
      <c r="I280" s="13">
        <v>45402</v>
      </c>
      <c r="J280" s="13" t="str">
        <f>TEXT(Table1[[#This Row],[Date]],"[$-en-US]mmm yyyy")</f>
        <v>Apr 2024</v>
      </c>
      <c r="K280" s="13" t="str">
        <f>TEXT(Table1[[#This Row],[Date]],"[$-en-US]ddd")</f>
        <v>Sat</v>
      </c>
    </row>
    <row r="281" spans="1:11" x14ac:dyDescent="0.25">
      <c r="A281">
        <v>12</v>
      </c>
      <c r="B281" t="s">
        <v>9</v>
      </c>
      <c r="C281">
        <v>33.799999999999997</v>
      </c>
      <c r="D281" t="s">
        <v>17</v>
      </c>
      <c r="E281" t="s">
        <v>15</v>
      </c>
      <c r="F281" t="s">
        <v>29</v>
      </c>
      <c r="G281">
        <v>6</v>
      </c>
      <c r="H281">
        <v>4</v>
      </c>
      <c r="I281" s="13">
        <v>45402</v>
      </c>
      <c r="J281" s="13" t="str">
        <f>TEXT(Table1[[#This Row],[Date]],"[$-en-US]mmm yyyy")</f>
        <v>Apr 2024</v>
      </c>
      <c r="K281" s="13" t="str">
        <f>TEXT(Table1[[#This Row],[Date]],"[$-en-US]ddd")</f>
        <v>Sat</v>
      </c>
    </row>
    <row r="282" spans="1:11" x14ac:dyDescent="0.25">
      <c r="A282">
        <v>13</v>
      </c>
      <c r="B282" t="s">
        <v>9</v>
      </c>
      <c r="C282">
        <v>28.9</v>
      </c>
      <c r="D282" t="s">
        <v>16</v>
      </c>
      <c r="E282" t="s">
        <v>15</v>
      </c>
      <c r="F282" t="s">
        <v>29</v>
      </c>
      <c r="G282">
        <v>6</v>
      </c>
      <c r="H282">
        <v>4</v>
      </c>
      <c r="I282" s="13">
        <v>45402</v>
      </c>
      <c r="J282" s="13" t="str">
        <f>TEXT(Table1[[#This Row],[Date]],"[$-en-US]mmm yyyy")</f>
        <v>Apr 2024</v>
      </c>
      <c r="K282" s="13" t="str">
        <f>TEXT(Table1[[#This Row],[Date]],"[$-en-US]ddd")</f>
        <v>Sat</v>
      </c>
    </row>
    <row r="283" spans="1:11" x14ac:dyDescent="0.25">
      <c r="A283">
        <v>13</v>
      </c>
      <c r="B283" t="s">
        <v>9</v>
      </c>
      <c r="C283">
        <v>33.799999999999997</v>
      </c>
      <c r="D283" t="s">
        <v>17</v>
      </c>
      <c r="E283" t="s">
        <v>15</v>
      </c>
      <c r="F283" t="s">
        <v>29</v>
      </c>
      <c r="G283">
        <v>6</v>
      </c>
      <c r="H283">
        <v>4</v>
      </c>
      <c r="I283" s="13">
        <v>45402</v>
      </c>
      <c r="J283" s="13" t="str">
        <f>TEXT(Table1[[#This Row],[Date]],"[$-en-US]mmm yyyy")</f>
        <v>Apr 2024</v>
      </c>
      <c r="K283" s="13" t="str">
        <f>TEXT(Table1[[#This Row],[Date]],"[$-en-US]ddd")</f>
        <v>Sat</v>
      </c>
    </row>
    <row r="284" spans="1:11" x14ac:dyDescent="0.25">
      <c r="A284">
        <v>13</v>
      </c>
      <c r="B284" t="s">
        <v>9</v>
      </c>
      <c r="C284">
        <v>38.700000000000003</v>
      </c>
      <c r="D284" t="s">
        <v>14</v>
      </c>
      <c r="E284" t="s">
        <v>15</v>
      </c>
      <c r="F284" t="s">
        <v>29</v>
      </c>
      <c r="G284">
        <v>6</v>
      </c>
      <c r="H284">
        <v>4</v>
      </c>
      <c r="I284" s="13">
        <v>45402</v>
      </c>
      <c r="J284" s="13" t="str">
        <f>TEXT(Table1[[#This Row],[Date]],"[$-en-US]mmm yyyy")</f>
        <v>Apr 2024</v>
      </c>
      <c r="K284" s="13" t="str">
        <f>TEXT(Table1[[#This Row],[Date]],"[$-en-US]ddd")</f>
        <v>Sat</v>
      </c>
    </row>
    <row r="285" spans="1:11" x14ac:dyDescent="0.25">
      <c r="A285">
        <v>14</v>
      </c>
      <c r="B285" t="s">
        <v>9</v>
      </c>
      <c r="C285">
        <v>38.700000000000003</v>
      </c>
      <c r="D285" t="s">
        <v>27</v>
      </c>
      <c r="E285" t="s">
        <v>15</v>
      </c>
      <c r="F285" t="s">
        <v>29</v>
      </c>
      <c r="G285">
        <v>6</v>
      </c>
      <c r="H285">
        <v>4</v>
      </c>
      <c r="I285" s="13">
        <v>45402</v>
      </c>
      <c r="J285" s="13" t="str">
        <f>TEXT(Table1[[#This Row],[Date]],"[$-en-US]mmm yyyy")</f>
        <v>Apr 2024</v>
      </c>
      <c r="K285" s="13" t="str">
        <f>TEXT(Table1[[#This Row],[Date]],"[$-en-US]ddd")</f>
        <v>Sat</v>
      </c>
    </row>
    <row r="286" spans="1:11" x14ac:dyDescent="0.25">
      <c r="A286">
        <v>15</v>
      </c>
      <c r="B286" t="s">
        <v>9</v>
      </c>
      <c r="C286">
        <v>33.799999999999997</v>
      </c>
      <c r="D286" t="s">
        <v>17</v>
      </c>
      <c r="E286" t="s">
        <v>15</v>
      </c>
      <c r="F286" t="s">
        <v>29</v>
      </c>
      <c r="G286">
        <v>6</v>
      </c>
      <c r="H286">
        <v>4</v>
      </c>
      <c r="I286" s="13">
        <v>45402</v>
      </c>
      <c r="J286" s="13" t="str">
        <f>TEXT(Table1[[#This Row],[Date]],"[$-en-US]mmm yyyy")</f>
        <v>Apr 2024</v>
      </c>
      <c r="K286" s="13" t="str">
        <f>TEXT(Table1[[#This Row],[Date]],"[$-en-US]ddd")</f>
        <v>Sat</v>
      </c>
    </row>
    <row r="287" spans="1:11" x14ac:dyDescent="0.25">
      <c r="A287">
        <v>15</v>
      </c>
      <c r="B287" t="s">
        <v>9</v>
      </c>
      <c r="C287">
        <v>32.82</v>
      </c>
      <c r="D287" t="s">
        <v>17</v>
      </c>
      <c r="E287" t="s">
        <v>15</v>
      </c>
      <c r="F287" t="s">
        <v>29</v>
      </c>
      <c r="G287">
        <v>6</v>
      </c>
      <c r="H287">
        <v>4</v>
      </c>
      <c r="I287" s="13">
        <v>45402</v>
      </c>
      <c r="J287" s="13" t="str">
        <f>TEXT(Table1[[#This Row],[Date]],"[$-en-US]mmm yyyy")</f>
        <v>Apr 2024</v>
      </c>
      <c r="K287" s="13" t="str">
        <f>TEXT(Table1[[#This Row],[Date]],"[$-en-US]ddd")</f>
        <v>Sat</v>
      </c>
    </row>
    <row r="288" spans="1:11" x14ac:dyDescent="0.25">
      <c r="A288">
        <v>15</v>
      </c>
      <c r="B288" t="s">
        <v>9</v>
      </c>
      <c r="C288">
        <v>32.82</v>
      </c>
      <c r="D288" t="s">
        <v>17</v>
      </c>
      <c r="E288" t="s">
        <v>15</v>
      </c>
      <c r="F288" t="s">
        <v>29</v>
      </c>
      <c r="G288">
        <v>6</v>
      </c>
      <c r="H288">
        <v>4</v>
      </c>
      <c r="I288" s="13">
        <v>45402</v>
      </c>
      <c r="J288" s="13" t="str">
        <f>TEXT(Table1[[#This Row],[Date]],"[$-en-US]mmm yyyy")</f>
        <v>Apr 2024</v>
      </c>
      <c r="K288" s="13" t="str">
        <f>TEXT(Table1[[#This Row],[Date]],"[$-en-US]ddd")</f>
        <v>Sat</v>
      </c>
    </row>
    <row r="289" spans="1:11" x14ac:dyDescent="0.25">
      <c r="A289">
        <v>18</v>
      </c>
      <c r="B289" t="s">
        <v>9</v>
      </c>
      <c r="C289">
        <v>37.72</v>
      </c>
      <c r="D289" t="s">
        <v>27</v>
      </c>
      <c r="E289" t="s">
        <v>18</v>
      </c>
      <c r="F289" t="s">
        <v>29</v>
      </c>
      <c r="G289">
        <v>6</v>
      </c>
      <c r="H289">
        <v>4</v>
      </c>
      <c r="I289" s="13">
        <v>45402</v>
      </c>
      <c r="J289" s="13" t="str">
        <f>TEXT(Table1[[#This Row],[Date]],"[$-en-US]mmm yyyy")</f>
        <v>Apr 2024</v>
      </c>
      <c r="K289" s="13" t="str">
        <f>TEXT(Table1[[#This Row],[Date]],"[$-en-US]ddd")</f>
        <v>Sat</v>
      </c>
    </row>
    <row r="290" spans="1:11" x14ac:dyDescent="0.25">
      <c r="A290">
        <v>18</v>
      </c>
      <c r="B290" t="s">
        <v>9</v>
      </c>
      <c r="C290">
        <v>37.72</v>
      </c>
      <c r="D290" t="s">
        <v>27</v>
      </c>
      <c r="E290" t="s">
        <v>18</v>
      </c>
      <c r="F290" t="s">
        <v>29</v>
      </c>
      <c r="G290">
        <v>6</v>
      </c>
      <c r="H290">
        <v>4</v>
      </c>
      <c r="I290" s="13">
        <v>45402</v>
      </c>
      <c r="J290" s="13" t="str">
        <f>TEXT(Table1[[#This Row],[Date]],"[$-en-US]mmm yyyy")</f>
        <v>Apr 2024</v>
      </c>
      <c r="K290" s="13" t="str">
        <f>TEXT(Table1[[#This Row],[Date]],"[$-en-US]ddd")</f>
        <v>Sat</v>
      </c>
    </row>
    <row r="291" spans="1:11" x14ac:dyDescent="0.25">
      <c r="A291">
        <v>19</v>
      </c>
      <c r="B291" t="s">
        <v>9</v>
      </c>
      <c r="C291">
        <v>37.72</v>
      </c>
      <c r="D291" t="s">
        <v>10</v>
      </c>
      <c r="E291" t="s">
        <v>18</v>
      </c>
      <c r="F291" t="s">
        <v>29</v>
      </c>
      <c r="G291">
        <v>6</v>
      </c>
      <c r="H291">
        <v>4</v>
      </c>
      <c r="I291" s="13">
        <v>45402</v>
      </c>
      <c r="J291" s="13" t="str">
        <f>TEXT(Table1[[#This Row],[Date]],"[$-en-US]mmm yyyy")</f>
        <v>Apr 2024</v>
      </c>
      <c r="K291" s="13" t="str">
        <f>TEXT(Table1[[#This Row],[Date]],"[$-en-US]ddd")</f>
        <v>Sat</v>
      </c>
    </row>
    <row r="292" spans="1:11" x14ac:dyDescent="0.25">
      <c r="A292">
        <v>11</v>
      </c>
      <c r="B292" t="s">
        <v>9</v>
      </c>
      <c r="C292">
        <v>37.72</v>
      </c>
      <c r="D292" t="s">
        <v>10</v>
      </c>
      <c r="E292" t="s">
        <v>11</v>
      </c>
      <c r="F292" t="s">
        <v>29</v>
      </c>
      <c r="G292">
        <v>7</v>
      </c>
      <c r="H292">
        <v>4</v>
      </c>
      <c r="I292" s="13">
        <v>45403</v>
      </c>
      <c r="J292" s="13" t="str">
        <f>TEXT(Table1[[#This Row],[Date]],"[$-en-US]mmm yyyy")</f>
        <v>Apr 2024</v>
      </c>
      <c r="K292" s="13" t="str">
        <f>TEXT(Table1[[#This Row],[Date]],"[$-en-US]ddd")</f>
        <v>Sun</v>
      </c>
    </row>
    <row r="293" spans="1:11" x14ac:dyDescent="0.25">
      <c r="A293">
        <v>14</v>
      </c>
      <c r="B293" t="s">
        <v>9</v>
      </c>
      <c r="C293">
        <v>27.92</v>
      </c>
      <c r="D293" t="s">
        <v>16</v>
      </c>
      <c r="E293" t="s">
        <v>15</v>
      </c>
      <c r="F293" t="s">
        <v>29</v>
      </c>
      <c r="G293">
        <v>7</v>
      </c>
      <c r="H293">
        <v>4</v>
      </c>
      <c r="I293" s="13">
        <v>45403</v>
      </c>
      <c r="J293" s="13" t="str">
        <f>TEXT(Table1[[#This Row],[Date]],"[$-en-US]mmm yyyy")</f>
        <v>Apr 2024</v>
      </c>
      <c r="K293" s="13" t="str">
        <f>TEXT(Table1[[#This Row],[Date]],"[$-en-US]ddd")</f>
        <v>Sun</v>
      </c>
    </row>
    <row r="294" spans="1:11" x14ac:dyDescent="0.25">
      <c r="A294">
        <v>11</v>
      </c>
      <c r="B294" t="s">
        <v>9</v>
      </c>
      <c r="C294">
        <v>27.92</v>
      </c>
      <c r="D294" t="s">
        <v>16</v>
      </c>
      <c r="E294" t="s">
        <v>11</v>
      </c>
      <c r="F294" t="s">
        <v>29</v>
      </c>
      <c r="G294">
        <v>1</v>
      </c>
      <c r="H294">
        <v>4</v>
      </c>
      <c r="I294" s="13">
        <v>45404</v>
      </c>
      <c r="J294" s="13" t="str">
        <f>TEXT(Table1[[#This Row],[Date]],"[$-en-US]mmm yyyy")</f>
        <v>Apr 2024</v>
      </c>
      <c r="K294" s="13" t="str">
        <f>TEXT(Table1[[#This Row],[Date]],"[$-en-US]ddd")</f>
        <v>Mon</v>
      </c>
    </row>
    <row r="295" spans="1:11" x14ac:dyDescent="0.25">
      <c r="A295">
        <v>11</v>
      </c>
      <c r="B295" t="s">
        <v>9</v>
      </c>
      <c r="C295">
        <v>32.82</v>
      </c>
      <c r="D295" t="s">
        <v>17</v>
      </c>
      <c r="E295" t="s">
        <v>11</v>
      </c>
      <c r="F295" t="s">
        <v>29</v>
      </c>
      <c r="G295">
        <v>1</v>
      </c>
      <c r="H295">
        <v>4</v>
      </c>
      <c r="I295" s="13">
        <v>45404</v>
      </c>
      <c r="J295" s="13" t="str">
        <f>TEXT(Table1[[#This Row],[Date]],"[$-en-US]mmm yyyy")</f>
        <v>Apr 2024</v>
      </c>
      <c r="K295" s="13" t="str">
        <f>TEXT(Table1[[#This Row],[Date]],"[$-en-US]ddd")</f>
        <v>Mon</v>
      </c>
    </row>
    <row r="296" spans="1:11" x14ac:dyDescent="0.25">
      <c r="A296">
        <v>19</v>
      </c>
      <c r="B296" t="s">
        <v>9</v>
      </c>
      <c r="C296">
        <v>37.72</v>
      </c>
      <c r="D296" t="s">
        <v>10</v>
      </c>
      <c r="E296" t="s">
        <v>18</v>
      </c>
      <c r="F296" t="s">
        <v>29</v>
      </c>
      <c r="G296">
        <v>1</v>
      </c>
      <c r="H296">
        <v>4</v>
      </c>
      <c r="I296" s="13">
        <v>45404</v>
      </c>
      <c r="J296" s="13" t="str">
        <f>TEXT(Table1[[#This Row],[Date]],"[$-en-US]mmm yyyy")</f>
        <v>Apr 2024</v>
      </c>
      <c r="K296" s="13" t="str">
        <f>TEXT(Table1[[#This Row],[Date]],"[$-en-US]ddd")</f>
        <v>Mon</v>
      </c>
    </row>
    <row r="297" spans="1:11" x14ac:dyDescent="0.25">
      <c r="A297">
        <v>14</v>
      </c>
      <c r="B297" t="s">
        <v>9</v>
      </c>
      <c r="C297">
        <v>37.72</v>
      </c>
      <c r="D297" t="s">
        <v>27</v>
      </c>
      <c r="E297" t="s">
        <v>15</v>
      </c>
      <c r="F297" t="s">
        <v>29</v>
      </c>
      <c r="G297">
        <v>2</v>
      </c>
      <c r="H297">
        <v>4</v>
      </c>
      <c r="I297" s="13">
        <v>45405</v>
      </c>
      <c r="J297" s="13" t="str">
        <f>TEXT(Table1[[#This Row],[Date]],"[$-en-US]mmm yyyy")</f>
        <v>Apr 2024</v>
      </c>
      <c r="K297" s="13" t="str">
        <f>TEXT(Table1[[#This Row],[Date]],"[$-en-US]ddd")</f>
        <v>Tue</v>
      </c>
    </row>
    <row r="298" spans="1:11" x14ac:dyDescent="0.25">
      <c r="A298">
        <v>14</v>
      </c>
      <c r="B298" t="s">
        <v>9</v>
      </c>
      <c r="C298">
        <v>32.82</v>
      </c>
      <c r="D298" t="s">
        <v>17</v>
      </c>
      <c r="E298" t="s">
        <v>15</v>
      </c>
      <c r="F298" t="s">
        <v>29</v>
      </c>
      <c r="G298">
        <v>2</v>
      </c>
      <c r="H298">
        <v>4</v>
      </c>
      <c r="I298" s="13">
        <v>45405</v>
      </c>
      <c r="J298" s="13" t="str">
        <f>TEXT(Table1[[#This Row],[Date]],"[$-en-US]mmm yyyy")</f>
        <v>Apr 2024</v>
      </c>
      <c r="K298" s="13" t="str">
        <f>TEXT(Table1[[#This Row],[Date]],"[$-en-US]ddd")</f>
        <v>Tue</v>
      </c>
    </row>
    <row r="299" spans="1:11" x14ac:dyDescent="0.25">
      <c r="A299">
        <v>14</v>
      </c>
      <c r="B299" t="s">
        <v>9</v>
      </c>
      <c r="C299">
        <v>37.72</v>
      </c>
      <c r="D299" t="s">
        <v>27</v>
      </c>
      <c r="E299" t="s">
        <v>15</v>
      </c>
      <c r="F299" t="s">
        <v>29</v>
      </c>
      <c r="G299">
        <v>2</v>
      </c>
      <c r="H299">
        <v>4</v>
      </c>
      <c r="I299" s="13">
        <v>45405</v>
      </c>
      <c r="J299" s="13" t="str">
        <f>TEXT(Table1[[#This Row],[Date]],"[$-en-US]mmm yyyy")</f>
        <v>Apr 2024</v>
      </c>
      <c r="K299" s="13" t="str">
        <f>TEXT(Table1[[#This Row],[Date]],"[$-en-US]ddd")</f>
        <v>Tue</v>
      </c>
    </row>
    <row r="300" spans="1:11" x14ac:dyDescent="0.25">
      <c r="A300">
        <v>19</v>
      </c>
      <c r="B300" t="s">
        <v>9</v>
      </c>
      <c r="C300">
        <v>32.82</v>
      </c>
      <c r="D300" t="s">
        <v>17</v>
      </c>
      <c r="E300" t="s">
        <v>18</v>
      </c>
      <c r="F300" t="s">
        <v>29</v>
      </c>
      <c r="G300">
        <v>2</v>
      </c>
      <c r="H300">
        <v>4</v>
      </c>
      <c r="I300" s="13">
        <v>45405</v>
      </c>
      <c r="J300" s="13" t="str">
        <f>TEXT(Table1[[#This Row],[Date]],"[$-en-US]mmm yyyy")</f>
        <v>Apr 2024</v>
      </c>
      <c r="K300" s="13" t="str">
        <f>TEXT(Table1[[#This Row],[Date]],"[$-en-US]ddd")</f>
        <v>Tue</v>
      </c>
    </row>
    <row r="301" spans="1:11" x14ac:dyDescent="0.25">
      <c r="A301">
        <v>19</v>
      </c>
      <c r="B301" t="s">
        <v>9</v>
      </c>
      <c r="C301">
        <v>32.82</v>
      </c>
      <c r="D301" t="s">
        <v>17</v>
      </c>
      <c r="E301" t="s">
        <v>18</v>
      </c>
      <c r="F301" t="s">
        <v>29</v>
      </c>
      <c r="G301">
        <v>2</v>
      </c>
      <c r="H301">
        <v>4</v>
      </c>
      <c r="I301" s="13">
        <v>45405</v>
      </c>
      <c r="J301" s="13" t="str">
        <f>TEXT(Table1[[#This Row],[Date]],"[$-en-US]mmm yyyy")</f>
        <v>Apr 2024</v>
      </c>
      <c r="K301" s="13" t="str">
        <f>TEXT(Table1[[#This Row],[Date]],"[$-en-US]ddd")</f>
        <v>Tue</v>
      </c>
    </row>
    <row r="302" spans="1:11" x14ac:dyDescent="0.25">
      <c r="A302">
        <v>10</v>
      </c>
      <c r="B302" t="s">
        <v>9</v>
      </c>
      <c r="C302">
        <v>37.72</v>
      </c>
      <c r="D302" t="s">
        <v>10</v>
      </c>
      <c r="E302" t="s">
        <v>11</v>
      </c>
      <c r="F302" t="s">
        <v>29</v>
      </c>
      <c r="G302">
        <v>3</v>
      </c>
      <c r="H302">
        <v>4</v>
      </c>
      <c r="I302" s="13">
        <v>45406</v>
      </c>
      <c r="J302" s="13" t="str">
        <f>TEXT(Table1[[#This Row],[Date]],"[$-en-US]mmm yyyy")</f>
        <v>Apr 2024</v>
      </c>
      <c r="K302" s="13" t="str">
        <f>TEXT(Table1[[#This Row],[Date]],"[$-en-US]ddd")</f>
        <v>Wed</v>
      </c>
    </row>
    <row r="303" spans="1:11" x14ac:dyDescent="0.25">
      <c r="A303">
        <v>10</v>
      </c>
      <c r="B303" t="s">
        <v>9</v>
      </c>
      <c r="C303">
        <v>32.82</v>
      </c>
      <c r="D303" t="s">
        <v>17</v>
      </c>
      <c r="E303" t="s">
        <v>11</v>
      </c>
      <c r="F303" t="s">
        <v>29</v>
      </c>
      <c r="G303">
        <v>3</v>
      </c>
      <c r="H303">
        <v>4</v>
      </c>
      <c r="I303" s="13">
        <v>45406</v>
      </c>
      <c r="J303" s="13" t="str">
        <f>TEXT(Table1[[#This Row],[Date]],"[$-en-US]mmm yyyy")</f>
        <v>Apr 2024</v>
      </c>
      <c r="K303" s="13" t="str">
        <f>TEXT(Table1[[#This Row],[Date]],"[$-en-US]ddd")</f>
        <v>Wed</v>
      </c>
    </row>
    <row r="304" spans="1:11" x14ac:dyDescent="0.25">
      <c r="A304">
        <v>11</v>
      </c>
      <c r="B304" t="s">
        <v>9</v>
      </c>
      <c r="C304">
        <v>32.82</v>
      </c>
      <c r="D304" t="s">
        <v>17</v>
      </c>
      <c r="E304" t="s">
        <v>11</v>
      </c>
      <c r="F304" t="s">
        <v>29</v>
      </c>
      <c r="G304">
        <v>3</v>
      </c>
      <c r="H304">
        <v>4</v>
      </c>
      <c r="I304" s="13">
        <v>45406</v>
      </c>
      <c r="J304" s="13" t="str">
        <f>TEXT(Table1[[#This Row],[Date]],"[$-en-US]mmm yyyy")</f>
        <v>Apr 2024</v>
      </c>
      <c r="K304" s="13" t="str">
        <f>TEXT(Table1[[#This Row],[Date]],"[$-en-US]ddd")</f>
        <v>Wed</v>
      </c>
    </row>
    <row r="305" spans="1:11" x14ac:dyDescent="0.25">
      <c r="A305">
        <v>11</v>
      </c>
      <c r="B305" t="s">
        <v>9</v>
      </c>
      <c r="C305">
        <v>32.82</v>
      </c>
      <c r="D305" t="s">
        <v>17</v>
      </c>
      <c r="E305" t="s">
        <v>11</v>
      </c>
      <c r="F305" t="s">
        <v>29</v>
      </c>
      <c r="G305">
        <v>3</v>
      </c>
      <c r="H305">
        <v>4</v>
      </c>
      <c r="I305" s="13">
        <v>45406</v>
      </c>
      <c r="J305" s="13" t="str">
        <f>TEXT(Table1[[#This Row],[Date]],"[$-en-US]mmm yyyy")</f>
        <v>Apr 2024</v>
      </c>
      <c r="K305" s="13" t="str">
        <f>TEXT(Table1[[#This Row],[Date]],"[$-en-US]ddd")</f>
        <v>Wed</v>
      </c>
    </row>
    <row r="306" spans="1:11" x14ac:dyDescent="0.25">
      <c r="A306">
        <v>12</v>
      </c>
      <c r="B306" t="s">
        <v>9</v>
      </c>
      <c r="C306">
        <v>32.82</v>
      </c>
      <c r="D306" t="s">
        <v>17</v>
      </c>
      <c r="E306" t="s">
        <v>15</v>
      </c>
      <c r="F306" t="s">
        <v>29</v>
      </c>
      <c r="G306">
        <v>3</v>
      </c>
      <c r="H306">
        <v>4</v>
      </c>
      <c r="I306" s="13">
        <v>45406</v>
      </c>
      <c r="J306" s="13" t="str">
        <f>TEXT(Table1[[#This Row],[Date]],"[$-en-US]mmm yyyy")</f>
        <v>Apr 2024</v>
      </c>
      <c r="K306" s="13" t="str">
        <f>TEXT(Table1[[#This Row],[Date]],"[$-en-US]ddd")</f>
        <v>Wed</v>
      </c>
    </row>
    <row r="307" spans="1:11" x14ac:dyDescent="0.25">
      <c r="A307">
        <v>16</v>
      </c>
      <c r="B307" t="s">
        <v>9</v>
      </c>
      <c r="C307">
        <v>32.82</v>
      </c>
      <c r="D307" t="s">
        <v>17</v>
      </c>
      <c r="E307" t="s">
        <v>15</v>
      </c>
      <c r="F307" t="s">
        <v>29</v>
      </c>
      <c r="G307">
        <v>3</v>
      </c>
      <c r="H307">
        <v>4</v>
      </c>
      <c r="I307" s="13">
        <v>45406</v>
      </c>
      <c r="J307" s="13" t="str">
        <f>TEXT(Table1[[#This Row],[Date]],"[$-en-US]mmm yyyy")</f>
        <v>Apr 2024</v>
      </c>
      <c r="K307" s="13" t="str">
        <f>TEXT(Table1[[#This Row],[Date]],"[$-en-US]ddd")</f>
        <v>Wed</v>
      </c>
    </row>
    <row r="308" spans="1:11" x14ac:dyDescent="0.25">
      <c r="A308">
        <v>19</v>
      </c>
      <c r="B308" t="s">
        <v>9</v>
      </c>
      <c r="C308">
        <v>32.82</v>
      </c>
      <c r="D308" t="s">
        <v>17</v>
      </c>
      <c r="E308" t="s">
        <v>18</v>
      </c>
      <c r="F308" t="s">
        <v>29</v>
      </c>
      <c r="G308">
        <v>3</v>
      </c>
      <c r="H308">
        <v>4</v>
      </c>
      <c r="I308" s="13">
        <v>45406</v>
      </c>
      <c r="J308" s="13" t="str">
        <f>TEXT(Table1[[#This Row],[Date]],"[$-en-US]mmm yyyy")</f>
        <v>Apr 2024</v>
      </c>
      <c r="K308" s="13" t="str">
        <f>TEXT(Table1[[#This Row],[Date]],"[$-en-US]ddd")</f>
        <v>Wed</v>
      </c>
    </row>
    <row r="309" spans="1:11" x14ac:dyDescent="0.25">
      <c r="A309">
        <v>19</v>
      </c>
      <c r="B309" t="s">
        <v>9</v>
      </c>
      <c r="C309">
        <v>37.72</v>
      </c>
      <c r="D309" t="s">
        <v>27</v>
      </c>
      <c r="E309" t="s">
        <v>18</v>
      </c>
      <c r="F309" t="s">
        <v>29</v>
      </c>
      <c r="G309">
        <v>3</v>
      </c>
      <c r="H309">
        <v>4</v>
      </c>
      <c r="I309" s="13">
        <v>45406</v>
      </c>
      <c r="J309" s="13" t="str">
        <f>TEXT(Table1[[#This Row],[Date]],"[$-en-US]mmm yyyy")</f>
        <v>Apr 2024</v>
      </c>
      <c r="K309" s="13" t="str">
        <f>TEXT(Table1[[#This Row],[Date]],"[$-en-US]ddd")</f>
        <v>Wed</v>
      </c>
    </row>
    <row r="310" spans="1:11" x14ac:dyDescent="0.25">
      <c r="A310">
        <v>10</v>
      </c>
      <c r="B310" t="s">
        <v>9</v>
      </c>
      <c r="C310">
        <v>27.92</v>
      </c>
      <c r="D310" t="s">
        <v>16</v>
      </c>
      <c r="E310" t="s">
        <v>11</v>
      </c>
      <c r="F310" t="s">
        <v>29</v>
      </c>
      <c r="G310">
        <v>4</v>
      </c>
      <c r="H310">
        <v>4</v>
      </c>
      <c r="I310" s="13">
        <v>45407</v>
      </c>
      <c r="J310" s="13" t="str">
        <f>TEXT(Table1[[#This Row],[Date]],"[$-en-US]mmm yyyy")</f>
        <v>Apr 2024</v>
      </c>
      <c r="K310" s="13" t="str">
        <f>TEXT(Table1[[#This Row],[Date]],"[$-en-US]ddd")</f>
        <v>Thu</v>
      </c>
    </row>
    <row r="311" spans="1:11" x14ac:dyDescent="0.25">
      <c r="A311">
        <v>15</v>
      </c>
      <c r="B311" t="s">
        <v>9</v>
      </c>
      <c r="C311">
        <v>37.72</v>
      </c>
      <c r="D311" t="s">
        <v>10</v>
      </c>
      <c r="E311" t="s">
        <v>15</v>
      </c>
      <c r="F311" t="s">
        <v>29</v>
      </c>
      <c r="G311">
        <v>4</v>
      </c>
      <c r="H311">
        <v>4</v>
      </c>
      <c r="I311" s="13">
        <v>45407</v>
      </c>
      <c r="J311" s="13" t="str">
        <f>TEXT(Table1[[#This Row],[Date]],"[$-en-US]mmm yyyy")</f>
        <v>Apr 2024</v>
      </c>
      <c r="K311" s="13" t="str">
        <f>TEXT(Table1[[#This Row],[Date]],"[$-en-US]ddd")</f>
        <v>Thu</v>
      </c>
    </row>
    <row r="312" spans="1:11" x14ac:dyDescent="0.25">
      <c r="A312">
        <v>17</v>
      </c>
      <c r="B312" t="s">
        <v>9</v>
      </c>
      <c r="C312">
        <v>27.92</v>
      </c>
      <c r="D312" t="s">
        <v>16</v>
      </c>
      <c r="E312" t="s">
        <v>18</v>
      </c>
      <c r="F312" t="s">
        <v>29</v>
      </c>
      <c r="G312">
        <v>4</v>
      </c>
      <c r="H312">
        <v>4</v>
      </c>
      <c r="I312" s="13">
        <v>45407</v>
      </c>
      <c r="J312" s="13" t="str">
        <f>TEXT(Table1[[#This Row],[Date]],"[$-en-US]mmm yyyy")</f>
        <v>Apr 2024</v>
      </c>
      <c r="K312" s="13" t="str">
        <f>TEXT(Table1[[#This Row],[Date]],"[$-en-US]ddd")</f>
        <v>Thu</v>
      </c>
    </row>
    <row r="313" spans="1:11" x14ac:dyDescent="0.25">
      <c r="A313">
        <v>17</v>
      </c>
      <c r="B313" t="s">
        <v>9</v>
      </c>
      <c r="C313">
        <v>27.92</v>
      </c>
      <c r="D313" t="s">
        <v>16</v>
      </c>
      <c r="E313" t="s">
        <v>18</v>
      </c>
      <c r="F313" t="s">
        <v>29</v>
      </c>
      <c r="G313">
        <v>4</v>
      </c>
      <c r="H313">
        <v>4</v>
      </c>
      <c r="I313" s="13">
        <v>45407</v>
      </c>
      <c r="J313" s="13" t="str">
        <f>TEXT(Table1[[#This Row],[Date]],"[$-en-US]mmm yyyy")</f>
        <v>Apr 2024</v>
      </c>
      <c r="K313" s="13" t="str">
        <f>TEXT(Table1[[#This Row],[Date]],"[$-en-US]ddd")</f>
        <v>Thu</v>
      </c>
    </row>
    <row r="314" spans="1:11" x14ac:dyDescent="0.25">
      <c r="A314">
        <v>10</v>
      </c>
      <c r="B314" t="s">
        <v>9</v>
      </c>
      <c r="C314">
        <v>37.72</v>
      </c>
      <c r="D314" t="s">
        <v>10</v>
      </c>
      <c r="E314" t="s">
        <v>11</v>
      </c>
      <c r="F314" t="s">
        <v>29</v>
      </c>
      <c r="G314">
        <v>5</v>
      </c>
      <c r="H314">
        <v>4</v>
      </c>
      <c r="I314" s="13">
        <v>45408</v>
      </c>
      <c r="J314" s="13" t="str">
        <f>TEXT(Table1[[#This Row],[Date]],"[$-en-US]mmm yyyy")</f>
        <v>Apr 2024</v>
      </c>
      <c r="K314" s="13" t="str">
        <f>TEXT(Table1[[#This Row],[Date]],"[$-en-US]ddd")</f>
        <v>Fri</v>
      </c>
    </row>
    <row r="315" spans="1:11" x14ac:dyDescent="0.25">
      <c r="A315">
        <v>12</v>
      </c>
      <c r="B315" t="s">
        <v>9</v>
      </c>
      <c r="C315">
        <v>37.72</v>
      </c>
      <c r="D315" t="s">
        <v>10</v>
      </c>
      <c r="E315" t="s">
        <v>15</v>
      </c>
      <c r="F315" t="s">
        <v>29</v>
      </c>
      <c r="G315">
        <v>5</v>
      </c>
      <c r="H315">
        <v>4</v>
      </c>
      <c r="I315" s="13">
        <v>45408</v>
      </c>
      <c r="J315" s="13" t="str">
        <f>TEXT(Table1[[#This Row],[Date]],"[$-en-US]mmm yyyy")</f>
        <v>Apr 2024</v>
      </c>
      <c r="K315" s="13" t="str">
        <f>TEXT(Table1[[#This Row],[Date]],"[$-en-US]ddd")</f>
        <v>Fri</v>
      </c>
    </row>
    <row r="316" spans="1:11" x14ac:dyDescent="0.25">
      <c r="A316">
        <v>13</v>
      </c>
      <c r="B316" t="s">
        <v>9</v>
      </c>
      <c r="C316">
        <v>37.72</v>
      </c>
      <c r="D316" t="s">
        <v>27</v>
      </c>
      <c r="E316" t="s">
        <v>15</v>
      </c>
      <c r="F316" t="s">
        <v>29</v>
      </c>
      <c r="G316">
        <v>5</v>
      </c>
      <c r="H316">
        <v>4</v>
      </c>
      <c r="I316" s="13">
        <v>45408</v>
      </c>
      <c r="J316" s="13" t="str">
        <f>TEXT(Table1[[#This Row],[Date]],"[$-en-US]mmm yyyy")</f>
        <v>Apr 2024</v>
      </c>
      <c r="K316" s="13" t="str">
        <f>TEXT(Table1[[#This Row],[Date]],"[$-en-US]ddd")</f>
        <v>Fri</v>
      </c>
    </row>
    <row r="317" spans="1:11" x14ac:dyDescent="0.25">
      <c r="A317">
        <v>15</v>
      </c>
      <c r="B317" t="s">
        <v>9</v>
      </c>
      <c r="C317">
        <v>27.92</v>
      </c>
      <c r="D317" t="s">
        <v>16</v>
      </c>
      <c r="E317" t="s">
        <v>15</v>
      </c>
      <c r="F317" t="s">
        <v>29</v>
      </c>
      <c r="G317">
        <v>5</v>
      </c>
      <c r="H317">
        <v>4</v>
      </c>
      <c r="I317" s="13">
        <v>45408</v>
      </c>
      <c r="J317" s="13" t="str">
        <f>TEXT(Table1[[#This Row],[Date]],"[$-en-US]mmm yyyy")</f>
        <v>Apr 2024</v>
      </c>
      <c r="K317" s="13" t="str">
        <f>TEXT(Table1[[#This Row],[Date]],"[$-en-US]ddd")</f>
        <v>Fri</v>
      </c>
    </row>
    <row r="318" spans="1:11" x14ac:dyDescent="0.25">
      <c r="A318">
        <v>15</v>
      </c>
      <c r="B318" t="s">
        <v>9</v>
      </c>
      <c r="C318">
        <v>27.92</v>
      </c>
      <c r="D318" t="s">
        <v>16</v>
      </c>
      <c r="E318" t="s">
        <v>15</v>
      </c>
      <c r="F318" t="s">
        <v>29</v>
      </c>
      <c r="G318">
        <v>5</v>
      </c>
      <c r="H318">
        <v>4</v>
      </c>
      <c r="I318" s="13">
        <v>45408</v>
      </c>
      <c r="J318" s="13" t="str">
        <f>TEXT(Table1[[#This Row],[Date]],"[$-en-US]mmm yyyy")</f>
        <v>Apr 2024</v>
      </c>
      <c r="K318" s="13" t="str">
        <f>TEXT(Table1[[#This Row],[Date]],"[$-en-US]ddd")</f>
        <v>Fri</v>
      </c>
    </row>
    <row r="319" spans="1:11" x14ac:dyDescent="0.25">
      <c r="A319">
        <v>16</v>
      </c>
      <c r="B319" t="s">
        <v>9</v>
      </c>
      <c r="C319">
        <v>27.92</v>
      </c>
      <c r="D319" t="s">
        <v>22</v>
      </c>
      <c r="E319" t="s">
        <v>15</v>
      </c>
      <c r="F319" t="s">
        <v>29</v>
      </c>
      <c r="G319">
        <v>5</v>
      </c>
      <c r="H319">
        <v>4</v>
      </c>
      <c r="I319" s="13">
        <v>45408</v>
      </c>
      <c r="J319" s="13" t="str">
        <f>TEXT(Table1[[#This Row],[Date]],"[$-en-US]mmm yyyy")</f>
        <v>Apr 2024</v>
      </c>
      <c r="K319" s="13" t="str">
        <f>TEXT(Table1[[#This Row],[Date]],"[$-en-US]ddd")</f>
        <v>Fri</v>
      </c>
    </row>
    <row r="320" spans="1:11" x14ac:dyDescent="0.25">
      <c r="A320">
        <v>16</v>
      </c>
      <c r="B320" t="s">
        <v>9</v>
      </c>
      <c r="C320">
        <v>27.92</v>
      </c>
      <c r="D320" t="s">
        <v>16</v>
      </c>
      <c r="E320" t="s">
        <v>15</v>
      </c>
      <c r="F320" t="s">
        <v>29</v>
      </c>
      <c r="G320">
        <v>5</v>
      </c>
      <c r="H320">
        <v>4</v>
      </c>
      <c r="I320" s="13">
        <v>45408</v>
      </c>
      <c r="J320" s="13" t="str">
        <f>TEXT(Table1[[#This Row],[Date]],"[$-en-US]mmm yyyy")</f>
        <v>Apr 2024</v>
      </c>
      <c r="K320" s="13" t="str">
        <f>TEXT(Table1[[#This Row],[Date]],"[$-en-US]ddd")</f>
        <v>Fri</v>
      </c>
    </row>
    <row r="321" spans="1:11" x14ac:dyDescent="0.25">
      <c r="A321">
        <v>19</v>
      </c>
      <c r="B321" t="s">
        <v>9</v>
      </c>
      <c r="C321">
        <v>37.72</v>
      </c>
      <c r="D321" t="s">
        <v>14</v>
      </c>
      <c r="E321" t="s">
        <v>18</v>
      </c>
      <c r="F321" t="s">
        <v>29</v>
      </c>
      <c r="G321">
        <v>5</v>
      </c>
      <c r="H321">
        <v>4</v>
      </c>
      <c r="I321" s="13">
        <v>45408</v>
      </c>
      <c r="J321" s="13" t="str">
        <f>TEXT(Table1[[#This Row],[Date]],"[$-en-US]mmm yyyy")</f>
        <v>Apr 2024</v>
      </c>
      <c r="K321" s="13" t="str">
        <f>TEXT(Table1[[#This Row],[Date]],"[$-en-US]ddd")</f>
        <v>Fri</v>
      </c>
    </row>
    <row r="322" spans="1:11" x14ac:dyDescent="0.25">
      <c r="A322">
        <v>19</v>
      </c>
      <c r="B322" t="s">
        <v>9</v>
      </c>
      <c r="C322">
        <v>37.72</v>
      </c>
      <c r="D322" t="s">
        <v>19</v>
      </c>
      <c r="E322" t="s">
        <v>18</v>
      </c>
      <c r="F322" t="s">
        <v>29</v>
      </c>
      <c r="G322">
        <v>5</v>
      </c>
      <c r="H322">
        <v>4</v>
      </c>
      <c r="I322" s="13">
        <v>45408</v>
      </c>
      <c r="J322" s="13" t="str">
        <f>TEXT(Table1[[#This Row],[Date]],"[$-en-US]mmm yyyy")</f>
        <v>Apr 2024</v>
      </c>
      <c r="K322" s="13" t="str">
        <f>TEXT(Table1[[#This Row],[Date]],"[$-en-US]ddd")</f>
        <v>Fri</v>
      </c>
    </row>
    <row r="323" spans="1:11" x14ac:dyDescent="0.25">
      <c r="A323">
        <v>15</v>
      </c>
      <c r="B323" t="s">
        <v>9</v>
      </c>
      <c r="C323">
        <v>37.72</v>
      </c>
      <c r="D323" t="s">
        <v>27</v>
      </c>
      <c r="E323" t="s">
        <v>15</v>
      </c>
      <c r="F323" t="s">
        <v>29</v>
      </c>
      <c r="G323">
        <v>6</v>
      </c>
      <c r="H323">
        <v>4</v>
      </c>
      <c r="I323" s="13">
        <v>45409</v>
      </c>
      <c r="J323" s="13" t="str">
        <f>TEXT(Table1[[#This Row],[Date]],"[$-en-US]mmm yyyy")</f>
        <v>Apr 2024</v>
      </c>
      <c r="K323" s="13" t="str">
        <f>TEXT(Table1[[#This Row],[Date]],"[$-en-US]ddd")</f>
        <v>Sat</v>
      </c>
    </row>
    <row r="324" spans="1:11" x14ac:dyDescent="0.25">
      <c r="A324">
        <v>10</v>
      </c>
      <c r="B324" t="s">
        <v>9</v>
      </c>
      <c r="C324">
        <v>37.72</v>
      </c>
      <c r="D324" t="s">
        <v>10</v>
      </c>
      <c r="E324" t="s">
        <v>11</v>
      </c>
      <c r="F324" t="s">
        <v>29</v>
      </c>
      <c r="G324">
        <v>7</v>
      </c>
      <c r="H324">
        <v>4</v>
      </c>
      <c r="I324" s="13">
        <v>45410</v>
      </c>
      <c r="J324" s="13" t="str">
        <f>TEXT(Table1[[#This Row],[Date]],"[$-en-US]mmm yyyy")</f>
        <v>Apr 2024</v>
      </c>
      <c r="K324" s="13" t="str">
        <f>TEXT(Table1[[#This Row],[Date]],"[$-en-US]ddd")</f>
        <v>Sun</v>
      </c>
    </row>
    <row r="325" spans="1:11" x14ac:dyDescent="0.25">
      <c r="A325">
        <v>12</v>
      </c>
      <c r="B325" t="s">
        <v>9</v>
      </c>
      <c r="C325">
        <v>37.72</v>
      </c>
      <c r="D325" t="s">
        <v>27</v>
      </c>
      <c r="E325" t="s">
        <v>15</v>
      </c>
      <c r="F325" t="s">
        <v>29</v>
      </c>
      <c r="G325">
        <v>7</v>
      </c>
      <c r="H325">
        <v>4</v>
      </c>
      <c r="I325" s="13">
        <v>45410</v>
      </c>
      <c r="J325" s="13" t="str">
        <f>TEXT(Table1[[#This Row],[Date]],"[$-en-US]mmm yyyy")</f>
        <v>Apr 2024</v>
      </c>
      <c r="K325" s="13" t="str">
        <f>TEXT(Table1[[#This Row],[Date]],"[$-en-US]ddd")</f>
        <v>Sun</v>
      </c>
    </row>
    <row r="326" spans="1:11" x14ac:dyDescent="0.25">
      <c r="A326">
        <v>18</v>
      </c>
      <c r="B326" t="s">
        <v>9</v>
      </c>
      <c r="C326">
        <v>27.92</v>
      </c>
      <c r="D326" t="s">
        <v>16</v>
      </c>
      <c r="E326" t="s">
        <v>18</v>
      </c>
      <c r="F326" t="s">
        <v>29</v>
      </c>
      <c r="G326">
        <v>7</v>
      </c>
      <c r="H326">
        <v>4</v>
      </c>
      <c r="I326" s="13">
        <v>45410</v>
      </c>
      <c r="J326" s="13" t="str">
        <f>TEXT(Table1[[#This Row],[Date]],"[$-en-US]mmm yyyy")</f>
        <v>Apr 2024</v>
      </c>
      <c r="K326" s="13" t="str">
        <f>TEXT(Table1[[#This Row],[Date]],"[$-en-US]ddd")</f>
        <v>Sun</v>
      </c>
    </row>
    <row r="327" spans="1:11" x14ac:dyDescent="0.25">
      <c r="A327">
        <v>18</v>
      </c>
      <c r="B327" t="s">
        <v>9</v>
      </c>
      <c r="C327">
        <v>27.92</v>
      </c>
      <c r="D327" t="s">
        <v>16</v>
      </c>
      <c r="E327" t="s">
        <v>18</v>
      </c>
      <c r="F327" t="s">
        <v>29</v>
      </c>
      <c r="G327">
        <v>7</v>
      </c>
      <c r="H327">
        <v>4</v>
      </c>
      <c r="I327" s="13">
        <v>45410</v>
      </c>
      <c r="J327" s="13" t="str">
        <f>TEXT(Table1[[#This Row],[Date]],"[$-en-US]mmm yyyy")</f>
        <v>Apr 2024</v>
      </c>
      <c r="K327" s="13" t="str">
        <f>TEXT(Table1[[#This Row],[Date]],"[$-en-US]ddd")</f>
        <v>Sun</v>
      </c>
    </row>
    <row r="328" spans="1:11" x14ac:dyDescent="0.25">
      <c r="A328">
        <v>18</v>
      </c>
      <c r="B328" t="s">
        <v>9</v>
      </c>
      <c r="C328">
        <v>37.72</v>
      </c>
      <c r="D328" t="s">
        <v>10</v>
      </c>
      <c r="E328" t="s">
        <v>18</v>
      </c>
      <c r="F328" t="s">
        <v>29</v>
      </c>
      <c r="G328">
        <v>7</v>
      </c>
      <c r="H328">
        <v>4</v>
      </c>
      <c r="I328" s="13">
        <v>45410</v>
      </c>
      <c r="J328" s="13" t="str">
        <f>TEXT(Table1[[#This Row],[Date]],"[$-en-US]mmm yyyy")</f>
        <v>Apr 2024</v>
      </c>
      <c r="K328" s="13" t="str">
        <f>TEXT(Table1[[#This Row],[Date]],"[$-en-US]ddd")</f>
        <v>Sun</v>
      </c>
    </row>
    <row r="329" spans="1:11" x14ac:dyDescent="0.25">
      <c r="A329">
        <v>11</v>
      </c>
      <c r="B329" t="s">
        <v>9</v>
      </c>
      <c r="C329">
        <v>27.92</v>
      </c>
      <c r="D329" t="s">
        <v>22</v>
      </c>
      <c r="E329" t="s">
        <v>11</v>
      </c>
      <c r="F329" t="s">
        <v>29</v>
      </c>
      <c r="G329">
        <v>1</v>
      </c>
      <c r="H329">
        <v>4</v>
      </c>
      <c r="I329" s="13">
        <v>45411</v>
      </c>
      <c r="J329" s="13" t="str">
        <f>TEXT(Table1[[#This Row],[Date]],"[$-en-US]mmm yyyy")</f>
        <v>Apr 2024</v>
      </c>
      <c r="K329" s="13" t="str">
        <f>TEXT(Table1[[#This Row],[Date]],"[$-en-US]ddd")</f>
        <v>Mon</v>
      </c>
    </row>
    <row r="330" spans="1:11" x14ac:dyDescent="0.25">
      <c r="A330">
        <v>13</v>
      </c>
      <c r="B330" t="s">
        <v>9</v>
      </c>
      <c r="C330">
        <v>27.92</v>
      </c>
      <c r="D330" t="s">
        <v>16</v>
      </c>
      <c r="E330" t="s">
        <v>15</v>
      </c>
      <c r="F330" t="s">
        <v>29</v>
      </c>
      <c r="G330">
        <v>1</v>
      </c>
      <c r="H330">
        <v>4</v>
      </c>
      <c r="I330" s="13">
        <v>45411</v>
      </c>
      <c r="J330" s="13" t="str">
        <f>TEXT(Table1[[#This Row],[Date]],"[$-en-US]mmm yyyy")</f>
        <v>Apr 2024</v>
      </c>
      <c r="K330" s="13" t="str">
        <f>TEXT(Table1[[#This Row],[Date]],"[$-en-US]ddd")</f>
        <v>Mon</v>
      </c>
    </row>
    <row r="331" spans="1:11" x14ac:dyDescent="0.25">
      <c r="A331">
        <v>13</v>
      </c>
      <c r="B331" t="s">
        <v>9</v>
      </c>
      <c r="C331">
        <v>27.92</v>
      </c>
      <c r="D331" t="s">
        <v>22</v>
      </c>
      <c r="E331" t="s">
        <v>15</v>
      </c>
      <c r="F331" t="s">
        <v>29</v>
      </c>
      <c r="G331">
        <v>1</v>
      </c>
      <c r="H331">
        <v>4</v>
      </c>
      <c r="I331" s="13">
        <v>45411</v>
      </c>
      <c r="J331" s="13" t="str">
        <f>TEXT(Table1[[#This Row],[Date]],"[$-en-US]mmm yyyy")</f>
        <v>Apr 2024</v>
      </c>
      <c r="K331" s="13" t="str">
        <f>TEXT(Table1[[#This Row],[Date]],"[$-en-US]ddd")</f>
        <v>Mon</v>
      </c>
    </row>
    <row r="332" spans="1:11" x14ac:dyDescent="0.25">
      <c r="A332">
        <v>13</v>
      </c>
      <c r="B332" t="s">
        <v>9</v>
      </c>
      <c r="C332">
        <v>27.92</v>
      </c>
      <c r="D332" t="s">
        <v>22</v>
      </c>
      <c r="E332" t="s">
        <v>15</v>
      </c>
      <c r="F332" t="s">
        <v>29</v>
      </c>
      <c r="G332">
        <v>1</v>
      </c>
      <c r="H332">
        <v>4</v>
      </c>
      <c r="I332" s="13">
        <v>45411</v>
      </c>
      <c r="J332" s="13" t="str">
        <f>TEXT(Table1[[#This Row],[Date]],"[$-en-US]mmm yyyy")</f>
        <v>Apr 2024</v>
      </c>
      <c r="K332" s="13" t="str">
        <f>TEXT(Table1[[#This Row],[Date]],"[$-en-US]ddd")</f>
        <v>Mon</v>
      </c>
    </row>
    <row r="333" spans="1:11" x14ac:dyDescent="0.25">
      <c r="A333">
        <v>13</v>
      </c>
      <c r="B333" t="s">
        <v>9</v>
      </c>
      <c r="C333">
        <v>32.82</v>
      </c>
      <c r="D333" t="s">
        <v>17</v>
      </c>
      <c r="E333" t="s">
        <v>15</v>
      </c>
      <c r="F333" t="s">
        <v>29</v>
      </c>
      <c r="G333">
        <v>1</v>
      </c>
      <c r="H333">
        <v>4</v>
      </c>
      <c r="I333" s="13">
        <v>45411</v>
      </c>
      <c r="J333" s="13" t="str">
        <f>TEXT(Table1[[#This Row],[Date]],"[$-en-US]mmm yyyy")</f>
        <v>Apr 2024</v>
      </c>
      <c r="K333" s="13" t="str">
        <f>TEXT(Table1[[#This Row],[Date]],"[$-en-US]ddd")</f>
        <v>Mon</v>
      </c>
    </row>
    <row r="334" spans="1:11" x14ac:dyDescent="0.25">
      <c r="A334">
        <v>18</v>
      </c>
      <c r="B334" t="s">
        <v>9</v>
      </c>
      <c r="C334">
        <v>37.72</v>
      </c>
      <c r="D334" t="s">
        <v>27</v>
      </c>
      <c r="E334" t="s">
        <v>18</v>
      </c>
      <c r="F334" t="s">
        <v>29</v>
      </c>
      <c r="G334">
        <v>1</v>
      </c>
      <c r="H334">
        <v>4</v>
      </c>
      <c r="I334" s="13">
        <v>45411</v>
      </c>
      <c r="J334" s="13" t="str">
        <f>TEXT(Table1[[#This Row],[Date]],"[$-en-US]mmm yyyy")</f>
        <v>Apr 2024</v>
      </c>
      <c r="K334" s="13" t="str">
        <f>TEXT(Table1[[#This Row],[Date]],"[$-en-US]ddd")</f>
        <v>Mon</v>
      </c>
    </row>
    <row r="335" spans="1:11" x14ac:dyDescent="0.25">
      <c r="A335">
        <v>19</v>
      </c>
      <c r="B335" t="s">
        <v>9</v>
      </c>
      <c r="C335">
        <v>37.72</v>
      </c>
      <c r="D335" t="s">
        <v>27</v>
      </c>
      <c r="E335" t="s">
        <v>18</v>
      </c>
      <c r="F335" t="s">
        <v>29</v>
      </c>
      <c r="G335">
        <v>1</v>
      </c>
      <c r="H335">
        <v>4</v>
      </c>
      <c r="I335" s="13">
        <v>45411</v>
      </c>
      <c r="J335" s="13" t="str">
        <f>TEXT(Table1[[#This Row],[Date]],"[$-en-US]mmm yyyy")</f>
        <v>Apr 2024</v>
      </c>
      <c r="K335" s="13" t="str">
        <f>TEXT(Table1[[#This Row],[Date]],"[$-en-US]ddd")</f>
        <v>Mon</v>
      </c>
    </row>
    <row r="336" spans="1:11" x14ac:dyDescent="0.25">
      <c r="A336">
        <v>19</v>
      </c>
      <c r="B336" t="s">
        <v>9</v>
      </c>
      <c r="C336">
        <v>37.72</v>
      </c>
      <c r="D336" t="s">
        <v>27</v>
      </c>
      <c r="E336" t="s">
        <v>18</v>
      </c>
      <c r="F336" t="s">
        <v>29</v>
      </c>
      <c r="G336">
        <v>1</v>
      </c>
      <c r="H336">
        <v>4</v>
      </c>
      <c r="I336" s="13">
        <v>45411</v>
      </c>
      <c r="J336" s="13" t="str">
        <f>TEXT(Table1[[#This Row],[Date]],"[$-en-US]mmm yyyy")</f>
        <v>Apr 2024</v>
      </c>
      <c r="K336" s="13" t="str">
        <f>TEXT(Table1[[#This Row],[Date]],"[$-en-US]ddd")</f>
        <v>Mon</v>
      </c>
    </row>
    <row r="337" spans="1:11" x14ac:dyDescent="0.25">
      <c r="A337">
        <v>10</v>
      </c>
      <c r="B337" t="s">
        <v>9</v>
      </c>
      <c r="C337">
        <v>37.72</v>
      </c>
      <c r="D337" t="s">
        <v>10</v>
      </c>
      <c r="E337" t="s">
        <v>11</v>
      </c>
      <c r="F337" t="s">
        <v>29</v>
      </c>
      <c r="G337">
        <v>2</v>
      </c>
      <c r="H337">
        <v>4</v>
      </c>
      <c r="I337" s="13">
        <v>45412</v>
      </c>
      <c r="J337" s="13" t="str">
        <f>TEXT(Table1[[#This Row],[Date]],"[$-en-US]mmm yyyy")</f>
        <v>Apr 2024</v>
      </c>
      <c r="K337" s="13" t="str">
        <f>TEXT(Table1[[#This Row],[Date]],"[$-en-US]ddd")</f>
        <v>Tue</v>
      </c>
    </row>
    <row r="338" spans="1:11" x14ac:dyDescent="0.25">
      <c r="A338">
        <v>10</v>
      </c>
      <c r="B338" t="s">
        <v>9</v>
      </c>
      <c r="C338">
        <v>32.82</v>
      </c>
      <c r="D338" t="s">
        <v>17</v>
      </c>
      <c r="E338" t="s">
        <v>11</v>
      </c>
      <c r="F338" t="s">
        <v>29</v>
      </c>
      <c r="G338">
        <v>2</v>
      </c>
      <c r="H338">
        <v>4</v>
      </c>
      <c r="I338" s="13">
        <v>45412</v>
      </c>
      <c r="J338" s="13" t="str">
        <f>TEXT(Table1[[#This Row],[Date]],"[$-en-US]mmm yyyy")</f>
        <v>Apr 2024</v>
      </c>
      <c r="K338" s="13" t="str">
        <f>TEXT(Table1[[#This Row],[Date]],"[$-en-US]ddd")</f>
        <v>Tue</v>
      </c>
    </row>
    <row r="339" spans="1:11" x14ac:dyDescent="0.25">
      <c r="A339">
        <v>10</v>
      </c>
      <c r="B339" t="s">
        <v>9</v>
      </c>
      <c r="C339">
        <v>32.82</v>
      </c>
      <c r="D339" t="s">
        <v>17</v>
      </c>
      <c r="E339" t="s">
        <v>11</v>
      </c>
      <c r="F339" t="s">
        <v>29</v>
      </c>
      <c r="G339">
        <v>2</v>
      </c>
      <c r="H339">
        <v>4</v>
      </c>
      <c r="I339" s="13">
        <v>45412</v>
      </c>
      <c r="J339" s="13" t="str">
        <f>TEXT(Table1[[#This Row],[Date]],"[$-en-US]mmm yyyy")</f>
        <v>Apr 2024</v>
      </c>
      <c r="K339" s="13" t="str">
        <f>TEXT(Table1[[#This Row],[Date]],"[$-en-US]ddd")</f>
        <v>Tue</v>
      </c>
    </row>
    <row r="340" spans="1:11" x14ac:dyDescent="0.25">
      <c r="A340">
        <v>13</v>
      </c>
      <c r="B340" t="s">
        <v>9</v>
      </c>
      <c r="C340">
        <v>27.92</v>
      </c>
      <c r="D340" t="s">
        <v>16</v>
      </c>
      <c r="E340" t="s">
        <v>15</v>
      </c>
      <c r="F340" t="s">
        <v>29</v>
      </c>
      <c r="G340">
        <v>2</v>
      </c>
      <c r="H340">
        <v>4</v>
      </c>
      <c r="I340" s="13">
        <v>45412</v>
      </c>
      <c r="J340" s="13" t="str">
        <f>TEXT(Table1[[#This Row],[Date]],"[$-en-US]mmm yyyy")</f>
        <v>Apr 2024</v>
      </c>
      <c r="K340" s="13" t="str">
        <f>TEXT(Table1[[#This Row],[Date]],"[$-en-US]ddd")</f>
        <v>Tue</v>
      </c>
    </row>
    <row r="341" spans="1:11" x14ac:dyDescent="0.25">
      <c r="A341">
        <v>13</v>
      </c>
      <c r="B341" t="s">
        <v>9</v>
      </c>
      <c r="C341">
        <v>32.82</v>
      </c>
      <c r="D341" t="s">
        <v>17</v>
      </c>
      <c r="E341" t="s">
        <v>15</v>
      </c>
      <c r="F341" t="s">
        <v>29</v>
      </c>
      <c r="G341">
        <v>2</v>
      </c>
      <c r="H341">
        <v>4</v>
      </c>
      <c r="I341" s="13">
        <v>45412</v>
      </c>
      <c r="J341" s="13" t="str">
        <f>TEXT(Table1[[#This Row],[Date]],"[$-en-US]mmm yyyy")</f>
        <v>Apr 2024</v>
      </c>
      <c r="K341" s="13" t="str">
        <f>TEXT(Table1[[#This Row],[Date]],"[$-en-US]ddd")</f>
        <v>Tue</v>
      </c>
    </row>
    <row r="342" spans="1:11" x14ac:dyDescent="0.25">
      <c r="A342">
        <v>19</v>
      </c>
      <c r="B342" t="s">
        <v>9</v>
      </c>
      <c r="C342">
        <v>37.72</v>
      </c>
      <c r="D342" t="s">
        <v>27</v>
      </c>
      <c r="E342" t="s">
        <v>18</v>
      </c>
      <c r="F342" t="s">
        <v>29</v>
      </c>
      <c r="G342">
        <v>2</v>
      </c>
      <c r="H342">
        <v>4</v>
      </c>
      <c r="I342" s="13">
        <v>45412</v>
      </c>
      <c r="J342" s="13" t="str">
        <f>TEXT(Table1[[#This Row],[Date]],"[$-en-US]mmm yyyy")</f>
        <v>Apr 2024</v>
      </c>
      <c r="K342" s="13" t="str">
        <f>TEXT(Table1[[#This Row],[Date]],"[$-en-US]ddd")</f>
        <v>Tue</v>
      </c>
    </row>
    <row r="343" spans="1:11" x14ac:dyDescent="0.25">
      <c r="A343">
        <v>19</v>
      </c>
      <c r="B343" t="s">
        <v>9</v>
      </c>
      <c r="C343">
        <v>32.82</v>
      </c>
      <c r="D343" t="s">
        <v>17</v>
      </c>
      <c r="E343" t="s">
        <v>18</v>
      </c>
      <c r="F343" t="s">
        <v>29</v>
      </c>
      <c r="G343">
        <v>2</v>
      </c>
      <c r="H343">
        <v>4</v>
      </c>
      <c r="I343" s="13">
        <v>45412</v>
      </c>
      <c r="J343" s="13" t="str">
        <f>TEXT(Table1[[#This Row],[Date]],"[$-en-US]mmm yyyy")</f>
        <v>Apr 2024</v>
      </c>
      <c r="K343" s="13" t="str">
        <f>TEXT(Table1[[#This Row],[Date]],"[$-en-US]ddd")</f>
        <v>Tue</v>
      </c>
    </row>
    <row r="344" spans="1:11" x14ac:dyDescent="0.25">
      <c r="A344">
        <v>19</v>
      </c>
      <c r="B344" t="s">
        <v>9</v>
      </c>
      <c r="C344">
        <v>37.72</v>
      </c>
      <c r="D344" t="s">
        <v>10</v>
      </c>
      <c r="E344" t="s">
        <v>18</v>
      </c>
      <c r="F344" t="s">
        <v>29</v>
      </c>
      <c r="G344">
        <v>2</v>
      </c>
      <c r="H344">
        <v>4</v>
      </c>
      <c r="I344" s="13">
        <v>45412</v>
      </c>
      <c r="J344" s="13" t="str">
        <f>TEXT(Table1[[#This Row],[Date]],"[$-en-US]mmm yyyy")</f>
        <v>Apr 2024</v>
      </c>
      <c r="K344" s="13" t="str">
        <f>TEXT(Table1[[#This Row],[Date]],"[$-en-US]ddd")</f>
        <v>Tue</v>
      </c>
    </row>
    <row r="345" spans="1:11" x14ac:dyDescent="0.25">
      <c r="A345">
        <v>10</v>
      </c>
      <c r="B345" t="s">
        <v>9</v>
      </c>
      <c r="C345">
        <v>27.92</v>
      </c>
      <c r="D345" t="s">
        <v>16</v>
      </c>
      <c r="E345" t="s">
        <v>11</v>
      </c>
      <c r="F345" t="s">
        <v>30</v>
      </c>
      <c r="G345">
        <v>4</v>
      </c>
      <c r="H345">
        <v>5</v>
      </c>
      <c r="I345" s="13">
        <v>45414</v>
      </c>
      <c r="J345" s="13" t="str">
        <f>TEXT(Table1[[#This Row],[Date]],"[$-en-US]mmm yyyy")</f>
        <v>May 2024</v>
      </c>
      <c r="K345" s="13" t="str">
        <f>TEXT(Table1[[#This Row],[Date]],"[$-en-US]ddd")</f>
        <v>Thu</v>
      </c>
    </row>
    <row r="346" spans="1:11" x14ac:dyDescent="0.25">
      <c r="A346">
        <v>13</v>
      </c>
      <c r="B346" t="s">
        <v>9</v>
      </c>
      <c r="C346">
        <v>32.82</v>
      </c>
      <c r="D346" t="s">
        <v>17</v>
      </c>
      <c r="E346" t="s">
        <v>15</v>
      </c>
      <c r="F346" t="s">
        <v>30</v>
      </c>
      <c r="G346">
        <v>4</v>
      </c>
      <c r="H346">
        <v>5</v>
      </c>
      <c r="I346" s="13">
        <v>45414</v>
      </c>
      <c r="J346" s="13" t="str">
        <f>TEXT(Table1[[#This Row],[Date]],"[$-en-US]mmm yyyy")</f>
        <v>May 2024</v>
      </c>
      <c r="K346" s="13" t="str">
        <f>TEXT(Table1[[#This Row],[Date]],"[$-en-US]ddd")</f>
        <v>Thu</v>
      </c>
    </row>
    <row r="347" spans="1:11" x14ac:dyDescent="0.25">
      <c r="A347">
        <v>18</v>
      </c>
      <c r="B347" t="s">
        <v>9</v>
      </c>
      <c r="C347">
        <v>37.72</v>
      </c>
      <c r="D347" t="s">
        <v>27</v>
      </c>
      <c r="E347" t="s">
        <v>18</v>
      </c>
      <c r="F347" t="s">
        <v>30</v>
      </c>
      <c r="G347">
        <v>4</v>
      </c>
      <c r="H347">
        <v>5</v>
      </c>
      <c r="I347" s="13">
        <v>45414</v>
      </c>
      <c r="J347" s="13" t="str">
        <f>TEXT(Table1[[#This Row],[Date]],"[$-en-US]mmm yyyy")</f>
        <v>May 2024</v>
      </c>
      <c r="K347" s="13" t="str">
        <f>TEXT(Table1[[#This Row],[Date]],"[$-en-US]ddd")</f>
        <v>Thu</v>
      </c>
    </row>
    <row r="348" spans="1:11" x14ac:dyDescent="0.25">
      <c r="A348">
        <v>18</v>
      </c>
      <c r="B348" t="s">
        <v>9</v>
      </c>
      <c r="C348">
        <v>32.82</v>
      </c>
      <c r="D348" t="s">
        <v>17</v>
      </c>
      <c r="E348" t="s">
        <v>18</v>
      </c>
      <c r="F348" t="s">
        <v>30</v>
      </c>
      <c r="G348">
        <v>4</v>
      </c>
      <c r="H348">
        <v>5</v>
      </c>
      <c r="I348" s="13">
        <v>45414</v>
      </c>
      <c r="J348" s="13" t="str">
        <f>TEXT(Table1[[#This Row],[Date]],"[$-en-US]mmm yyyy")</f>
        <v>May 2024</v>
      </c>
      <c r="K348" s="13" t="str">
        <f>TEXT(Table1[[#This Row],[Date]],"[$-en-US]ddd")</f>
        <v>Thu</v>
      </c>
    </row>
    <row r="349" spans="1:11" x14ac:dyDescent="0.25">
      <c r="A349">
        <v>19</v>
      </c>
      <c r="B349" t="s">
        <v>9</v>
      </c>
      <c r="C349">
        <v>37.72</v>
      </c>
      <c r="D349" t="s">
        <v>10</v>
      </c>
      <c r="E349" t="s">
        <v>18</v>
      </c>
      <c r="F349" t="s">
        <v>30</v>
      </c>
      <c r="G349">
        <v>4</v>
      </c>
      <c r="H349">
        <v>5</v>
      </c>
      <c r="I349" s="13">
        <v>45414</v>
      </c>
      <c r="J349" s="13" t="str">
        <f>TEXT(Table1[[#This Row],[Date]],"[$-en-US]mmm yyyy")</f>
        <v>May 2024</v>
      </c>
      <c r="K349" s="13" t="str">
        <f>TEXT(Table1[[#This Row],[Date]],"[$-en-US]ddd")</f>
        <v>Thu</v>
      </c>
    </row>
    <row r="350" spans="1:11" x14ac:dyDescent="0.25">
      <c r="A350">
        <v>19</v>
      </c>
      <c r="B350" t="s">
        <v>9</v>
      </c>
      <c r="C350">
        <v>37.72</v>
      </c>
      <c r="D350" t="s">
        <v>27</v>
      </c>
      <c r="E350" t="s">
        <v>18</v>
      </c>
      <c r="F350" t="s">
        <v>30</v>
      </c>
      <c r="G350">
        <v>4</v>
      </c>
      <c r="H350">
        <v>5</v>
      </c>
      <c r="I350" s="13">
        <v>45414</v>
      </c>
      <c r="J350" s="13" t="str">
        <f>TEXT(Table1[[#This Row],[Date]],"[$-en-US]mmm yyyy")</f>
        <v>May 2024</v>
      </c>
      <c r="K350" s="13" t="str">
        <f>TEXT(Table1[[#This Row],[Date]],"[$-en-US]ddd")</f>
        <v>Thu</v>
      </c>
    </row>
    <row r="351" spans="1:11" x14ac:dyDescent="0.25">
      <c r="A351">
        <v>14</v>
      </c>
      <c r="B351" t="s">
        <v>9</v>
      </c>
      <c r="C351">
        <v>37.72</v>
      </c>
      <c r="D351" t="s">
        <v>10</v>
      </c>
      <c r="E351" t="s">
        <v>15</v>
      </c>
      <c r="F351" t="s">
        <v>30</v>
      </c>
      <c r="G351">
        <v>5</v>
      </c>
      <c r="H351">
        <v>5</v>
      </c>
      <c r="I351" s="13">
        <v>45415</v>
      </c>
      <c r="J351" s="13" t="str">
        <f>TEXT(Table1[[#This Row],[Date]],"[$-en-US]mmm yyyy")</f>
        <v>May 2024</v>
      </c>
      <c r="K351" s="13" t="str">
        <f>TEXT(Table1[[#This Row],[Date]],"[$-en-US]ddd")</f>
        <v>Fri</v>
      </c>
    </row>
    <row r="352" spans="1:11" x14ac:dyDescent="0.25">
      <c r="A352">
        <v>17</v>
      </c>
      <c r="B352" t="s">
        <v>9</v>
      </c>
      <c r="C352">
        <v>37.72</v>
      </c>
      <c r="D352" t="s">
        <v>10</v>
      </c>
      <c r="E352" t="s">
        <v>18</v>
      </c>
      <c r="F352" t="s">
        <v>30</v>
      </c>
      <c r="G352">
        <v>5</v>
      </c>
      <c r="H352">
        <v>5</v>
      </c>
      <c r="I352" s="13">
        <v>45415</v>
      </c>
      <c r="J352" s="13" t="str">
        <f>TEXT(Table1[[#This Row],[Date]],"[$-en-US]mmm yyyy")</f>
        <v>May 2024</v>
      </c>
      <c r="K352" s="13" t="str">
        <f>TEXT(Table1[[#This Row],[Date]],"[$-en-US]ddd")</f>
        <v>Fri</v>
      </c>
    </row>
    <row r="353" spans="1:11" x14ac:dyDescent="0.25">
      <c r="A353">
        <v>10</v>
      </c>
      <c r="B353" t="s">
        <v>9</v>
      </c>
      <c r="C353">
        <v>27.92</v>
      </c>
      <c r="D353" t="s">
        <v>16</v>
      </c>
      <c r="E353" t="s">
        <v>11</v>
      </c>
      <c r="F353" t="s">
        <v>30</v>
      </c>
      <c r="G353">
        <v>1</v>
      </c>
      <c r="H353">
        <v>5</v>
      </c>
      <c r="I353" s="13">
        <v>45418</v>
      </c>
      <c r="J353" s="13" t="str">
        <f>TEXT(Table1[[#This Row],[Date]],"[$-en-US]mmm yyyy")</f>
        <v>May 2024</v>
      </c>
      <c r="K353" s="13" t="str">
        <f>TEXT(Table1[[#This Row],[Date]],"[$-en-US]ddd")</f>
        <v>Mon</v>
      </c>
    </row>
    <row r="354" spans="1:11" x14ac:dyDescent="0.25">
      <c r="A354">
        <v>10</v>
      </c>
      <c r="B354" t="s">
        <v>9</v>
      </c>
      <c r="C354">
        <v>37.72</v>
      </c>
      <c r="D354" t="s">
        <v>27</v>
      </c>
      <c r="E354" t="s">
        <v>11</v>
      </c>
      <c r="F354" t="s">
        <v>30</v>
      </c>
      <c r="G354">
        <v>1</v>
      </c>
      <c r="H354">
        <v>5</v>
      </c>
      <c r="I354" s="13">
        <v>45418</v>
      </c>
      <c r="J354" s="13" t="str">
        <f>TEXT(Table1[[#This Row],[Date]],"[$-en-US]mmm yyyy")</f>
        <v>May 2024</v>
      </c>
      <c r="K354" s="13" t="str">
        <f>TEXT(Table1[[#This Row],[Date]],"[$-en-US]ddd")</f>
        <v>Mon</v>
      </c>
    </row>
    <row r="355" spans="1:11" x14ac:dyDescent="0.25">
      <c r="A355">
        <v>10</v>
      </c>
      <c r="B355" t="s">
        <v>9</v>
      </c>
      <c r="C355">
        <v>32.82</v>
      </c>
      <c r="D355" t="s">
        <v>17</v>
      </c>
      <c r="E355" t="s">
        <v>11</v>
      </c>
      <c r="F355" t="s">
        <v>30</v>
      </c>
      <c r="G355">
        <v>1</v>
      </c>
      <c r="H355">
        <v>5</v>
      </c>
      <c r="I355" s="13">
        <v>45418</v>
      </c>
      <c r="J355" s="13" t="str">
        <f>TEXT(Table1[[#This Row],[Date]],"[$-en-US]mmm yyyy")</f>
        <v>May 2024</v>
      </c>
      <c r="K355" s="13" t="str">
        <f>TEXT(Table1[[#This Row],[Date]],"[$-en-US]ddd")</f>
        <v>Mon</v>
      </c>
    </row>
    <row r="356" spans="1:11" x14ac:dyDescent="0.25">
      <c r="A356">
        <v>10</v>
      </c>
      <c r="B356" t="s">
        <v>9</v>
      </c>
      <c r="C356">
        <v>27.92</v>
      </c>
      <c r="D356" t="s">
        <v>16</v>
      </c>
      <c r="E356" t="s">
        <v>11</v>
      </c>
      <c r="F356" t="s">
        <v>30</v>
      </c>
      <c r="G356">
        <v>1</v>
      </c>
      <c r="H356">
        <v>5</v>
      </c>
      <c r="I356" s="13">
        <v>45418</v>
      </c>
      <c r="J356" s="13" t="str">
        <f>TEXT(Table1[[#This Row],[Date]],"[$-en-US]mmm yyyy")</f>
        <v>May 2024</v>
      </c>
      <c r="K356" s="13" t="str">
        <f>TEXT(Table1[[#This Row],[Date]],"[$-en-US]ddd")</f>
        <v>Mon</v>
      </c>
    </row>
    <row r="357" spans="1:11" x14ac:dyDescent="0.25">
      <c r="A357">
        <v>10</v>
      </c>
      <c r="B357" t="s">
        <v>9</v>
      </c>
      <c r="C357">
        <v>27.92</v>
      </c>
      <c r="D357" t="s">
        <v>22</v>
      </c>
      <c r="E357" t="s">
        <v>11</v>
      </c>
      <c r="F357" t="s">
        <v>30</v>
      </c>
      <c r="G357">
        <v>1</v>
      </c>
      <c r="H357">
        <v>5</v>
      </c>
      <c r="I357" s="13">
        <v>45418</v>
      </c>
      <c r="J357" s="13" t="str">
        <f>TEXT(Table1[[#This Row],[Date]],"[$-en-US]mmm yyyy")</f>
        <v>May 2024</v>
      </c>
      <c r="K357" s="13" t="str">
        <f>TEXT(Table1[[#This Row],[Date]],"[$-en-US]ddd")</f>
        <v>Mon</v>
      </c>
    </row>
    <row r="358" spans="1:11" x14ac:dyDescent="0.25">
      <c r="A358">
        <v>13</v>
      </c>
      <c r="B358" t="s">
        <v>9</v>
      </c>
      <c r="C358">
        <v>27.92</v>
      </c>
      <c r="D358" t="s">
        <v>22</v>
      </c>
      <c r="E358" t="s">
        <v>15</v>
      </c>
      <c r="F358" t="s">
        <v>30</v>
      </c>
      <c r="G358">
        <v>1</v>
      </c>
      <c r="H358">
        <v>5</v>
      </c>
      <c r="I358" s="13">
        <v>45418</v>
      </c>
      <c r="J358" s="13" t="str">
        <f>TEXT(Table1[[#This Row],[Date]],"[$-en-US]mmm yyyy")</f>
        <v>May 2024</v>
      </c>
      <c r="K358" s="13" t="str">
        <f>TEXT(Table1[[#This Row],[Date]],"[$-en-US]ddd")</f>
        <v>Mon</v>
      </c>
    </row>
    <row r="359" spans="1:11" x14ac:dyDescent="0.25">
      <c r="A359">
        <v>13</v>
      </c>
      <c r="B359" t="s">
        <v>9</v>
      </c>
      <c r="C359">
        <v>27.92</v>
      </c>
      <c r="D359" t="s">
        <v>16</v>
      </c>
      <c r="E359" t="s">
        <v>15</v>
      </c>
      <c r="F359" t="s">
        <v>30</v>
      </c>
      <c r="G359">
        <v>1</v>
      </c>
      <c r="H359">
        <v>5</v>
      </c>
      <c r="I359" s="13">
        <v>45418</v>
      </c>
      <c r="J359" s="13" t="str">
        <f>TEXT(Table1[[#This Row],[Date]],"[$-en-US]mmm yyyy")</f>
        <v>May 2024</v>
      </c>
      <c r="K359" s="13" t="str">
        <f>TEXT(Table1[[#This Row],[Date]],"[$-en-US]ddd")</f>
        <v>Mon</v>
      </c>
    </row>
    <row r="360" spans="1:11" x14ac:dyDescent="0.25">
      <c r="A360">
        <v>19</v>
      </c>
      <c r="B360" t="s">
        <v>9</v>
      </c>
      <c r="C360">
        <v>37.72</v>
      </c>
      <c r="D360" t="s">
        <v>27</v>
      </c>
      <c r="E360" t="s">
        <v>18</v>
      </c>
      <c r="F360" t="s">
        <v>30</v>
      </c>
      <c r="G360">
        <v>1</v>
      </c>
      <c r="H360">
        <v>5</v>
      </c>
      <c r="I360" s="13">
        <v>45418</v>
      </c>
      <c r="J360" s="13" t="str">
        <f>TEXT(Table1[[#This Row],[Date]],"[$-en-US]mmm yyyy")</f>
        <v>May 2024</v>
      </c>
      <c r="K360" s="13" t="str">
        <f>TEXT(Table1[[#This Row],[Date]],"[$-en-US]ddd")</f>
        <v>Mon</v>
      </c>
    </row>
    <row r="361" spans="1:11" x14ac:dyDescent="0.25">
      <c r="A361">
        <v>19</v>
      </c>
      <c r="B361" t="s">
        <v>9</v>
      </c>
      <c r="C361">
        <v>37.72</v>
      </c>
      <c r="D361" t="s">
        <v>27</v>
      </c>
      <c r="E361" t="s">
        <v>18</v>
      </c>
      <c r="F361" t="s">
        <v>30</v>
      </c>
      <c r="G361">
        <v>1</v>
      </c>
      <c r="H361">
        <v>5</v>
      </c>
      <c r="I361" s="13">
        <v>45418</v>
      </c>
      <c r="J361" s="13" t="str">
        <f>TEXT(Table1[[#This Row],[Date]],"[$-en-US]mmm yyyy")</f>
        <v>May 2024</v>
      </c>
      <c r="K361" s="13" t="str">
        <f>TEXT(Table1[[#This Row],[Date]],"[$-en-US]ddd")</f>
        <v>Mon</v>
      </c>
    </row>
    <row r="362" spans="1:11" x14ac:dyDescent="0.25">
      <c r="A362">
        <v>10</v>
      </c>
      <c r="B362" t="s">
        <v>9</v>
      </c>
      <c r="C362">
        <v>37.72</v>
      </c>
      <c r="D362" t="s">
        <v>19</v>
      </c>
      <c r="E362" t="s">
        <v>11</v>
      </c>
      <c r="F362" t="s">
        <v>30</v>
      </c>
      <c r="G362">
        <v>2</v>
      </c>
      <c r="H362">
        <v>5</v>
      </c>
      <c r="I362" s="13">
        <v>45419</v>
      </c>
      <c r="J362" s="13" t="str">
        <f>TEXT(Table1[[#This Row],[Date]],"[$-en-US]mmm yyyy")</f>
        <v>May 2024</v>
      </c>
      <c r="K362" s="13" t="str">
        <f>TEXT(Table1[[#This Row],[Date]],"[$-en-US]ddd")</f>
        <v>Tue</v>
      </c>
    </row>
    <row r="363" spans="1:11" x14ac:dyDescent="0.25">
      <c r="A363">
        <v>11</v>
      </c>
      <c r="B363" t="s">
        <v>9</v>
      </c>
      <c r="C363">
        <v>27.92</v>
      </c>
      <c r="D363" t="s">
        <v>22</v>
      </c>
      <c r="E363" t="s">
        <v>11</v>
      </c>
      <c r="F363" t="s">
        <v>30</v>
      </c>
      <c r="G363">
        <v>2</v>
      </c>
      <c r="H363">
        <v>5</v>
      </c>
      <c r="I363" s="13">
        <v>45419</v>
      </c>
      <c r="J363" s="13" t="str">
        <f>TEXT(Table1[[#This Row],[Date]],"[$-en-US]mmm yyyy")</f>
        <v>May 2024</v>
      </c>
      <c r="K363" s="13" t="str">
        <f>TEXT(Table1[[#This Row],[Date]],"[$-en-US]ddd")</f>
        <v>Tue</v>
      </c>
    </row>
    <row r="364" spans="1:11" x14ac:dyDescent="0.25">
      <c r="A364">
        <v>13</v>
      </c>
      <c r="B364" t="s">
        <v>9</v>
      </c>
      <c r="C364">
        <v>27.92</v>
      </c>
      <c r="D364" t="s">
        <v>22</v>
      </c>
      <c r="E364" t="s">
        <v>15</v>
      </c>
      <c r="F364" t="s">
        <v>30</v>
      </c>
      <c r="G364">
        <v>2</v>
      </c>
      <c r="H364">
        <v>5</v>
      </c>
      <c r="I364" s="13">
        <v>45419</v>
      </c>
      <c r="J364" s="13" t="str">
        <f>TEXT(Table1[[#This Row],[Date]],"[$-en-US]mmm yyyy")</f>
        <v>May 2024</v>
      </c>
      <c r="K364" s="13" t="str">
        <f>TEXT(Table1[[#This Row],[Date]],"[$-en-US]ddd")</f>
        <v>Tue</v>
      </c>
    </row>
    <row r="365" spans="1:11" x14ac:dyDescent="0.25">
      <c r="A365">
        <v>16</v>
      </c>
      <c r="B365" t="s">
        <v>9</v>
      </c>
      <c r="C365">
        <v>37.72</v>
      </c>
      <c r="D365" t="s">
        <v>19</v>
      </c>
      <c r="E365" t="s">
        <v>15</v>
      </c>
      <c r="F365" t="s">
        <v>30</v>
      </c>
      <c r="G365">
        <v>2</v>
      </c>
      <c r="H365">
        <v>5</v>
      </c>
      <c r="I365" s="13">
        <v>45419</v>
      </c>
      <c r="J365" s="13" t="str">
        <f>TEXT(Table1[[#This Row],[Date]],"[$-en-US]mmm yyyy")</f>
        <v>May 2024</v>
      </c>
      <c r="K365" s="13" t="str">
        <f>TEXT(Table1[[#This Row],[Date]],"[$-en-US]ddd")</f>
        <v>Tue</v>
      </c>
    </row>
    <row r="366" spans="1:11" x14ac:dyDescent="0.25">
      <c r="A366">
        <v>16</v>
      </c>
      <c r="B366" t="s">
        <v>9</v>
      </c>
      <c r="C366">
        <v>27.92</v>
      </c>
      <c r="D366" t="s">
        <v>16</v>
      </c>
      <c r="E366" t="s">
        <v>15</v>
      </c>
      <c r="F366" t="s">
        <v>30</v>
      </c>
      <c r="G366">
        <v>2</v>
      </c>
      <c r="H366">
        <v>5</v>
      </c>
      <c r="I366" s="13">
        <v>45419</v>
      </c>
      <c r="J366" s="13" t="str">
        <f>TEXT(Table1[[#This Row],[Date]],"[$-en-US]mmm yyyy")</f>
        <v>May 2024</v>
      </c>
      <c r="K366" s="13" t="str">
        <f>TEXT(Table1[[#This Row],[Date]],"[$-en-US]ddd")</f>
        <v>Tue</v>
      </c>
    </row>
    <row r="367" spans="1:11" x14ac:dyDescent="0.25">
      <c r="A367">
        <v>17</v>
      </c>
      <c r="B367" t="s">
        <v>9</v>
      </c>
      <c r="C367">
        <v>37.72</v>
      </c>
      <c r="D367" t="s">
        <v>27</v>
      </c>
      <c r="E367" t="s">
        <v>18</v>
      </c>
      <c r="F367" t="s">
        <v>30</v>
      </c>
      <c r="G367">
        <v>2</v>
      </c>
      <c r="H367">
        <v>5</v>
      </c>
      <c r="I367" s="13">
        <v>45419</v>
      </c>
      <c r="J367" s="13" t="str">
        <f>TEXT(Table1[[#This Row],[Date]],"[$-en-US]mmm yyyy")</f>
        <v>May 2024</v>
      </c>
      <c r="K367" s="13" t="str">
        <f>TEXT(Table1[[#This Row],[Date]],"[$-en-US]ddd")</f>
        <v>Tue</v>
      </c>
    </row>
    <row r="368" spans="1:11" x14ac:dyDescent="0.25">
      <c r="A368">
        <v>17</v>
      </c>
      <c r="B368" t="s">
        <v>9</v>
      </c>
      <c r="C368">
        <v>37.72</v>
      </c>
      <c r="D368" t="s">
        <v>10</v>
      </c>
      <c r="E368" t="s">
        <v>18</v>
      </c>
      <c r="F368" t="s">
        <v>30</v>
      </c>
      <c r="G368">
        <v>2</v>
      </c>
      <c r="H368">
        <v>5</v>
      </c>
      <c r="I368" s="13">
        <v>45419</v>
      </c>
      <c r="J368" s="13" t="str">
        <f>TEXT(Table1[[#This Row],[Date]],"[$-en-US]mmm yyyy")</f>
        <v>May 2024</v>
      </c>
      <c r="K368" s="13" t="str">
        <f>TEXT(Table1[[#This Row],[Date]],"[$-en-US]ddd")</f>
        <v>Tue</v>
      </c>
    </row>
    <row r="369" spans="1:11" x14ac:dyDescent="0.25">
      <c r="A369">
        <v>19</v>
      </c>
      <c r="B369" t="s">
        <v>9</v>
      </c>
      <c r="C369">
        <v>37.72</v>
      </c>
      <c r="D369" t="s">
        <v>27</v>
      </c>
      <c r="E369" t="s">
        <v>18</v>
      </c>
      <c r="F369" t="s">
        <v>30</v>
      </c>
      <c r="G369">
        <v>2</v>
      </c>
      <c r="H369">
        <v>5</v>
      </c>
      <c r="I369" s="13">
        <v>45419</v>
      </c>
      <c r="J369" s="13" t="str">
        <f>TEXT(Table1[[#This Row],[Date]],"[$-en-US]mmm yyyy")</f>
        <v>May 2024</v>
      </c>
      <c r="K369" s="13" t="str">
        <f>TEXT(Table1[[#This Row],[Date]],"[$-en-US]ddd")</f>
        <v>Tue</v>
      </c>
    </row>
    <row r="370" spans="1:11" x14ac:dyDescent="0.25">
      <c r="A370">
        <v>19</v>
      </c>
      <c r="B370" t="s">
        <v>9</v>
      </c>
      <c r="C370">
        <v>37.72</v>
      </c>
      <c r="D370" t="s">
        <v>27</v>
      </c>
      <c r="E370" t="s">
        <v>18</v>
      </c>
      <c r="F370" t="s">
        <v>30</v>
      </c>
      <c r="G370">
        <v>2</v>
      </c>
      <c r="H370">
        <v>5</v>
      </c>
      <c r="I370" s="13">
        <v>45419</v>
      </c>
      <c r="J370" s="13" t="str">
        <f>TEXT(Table1[[#This Row],[Date]],"[$-en-US]mmm yyyy")</f>
        <v>May 2024</v>
      </c>
      <c r="K370" s="13" t="str">
        <f>TEXT(Table1[[#This Row],[Date]],"[$-en-US]ddd")</f>
        <v>Tue</v>
      </c>
    </row>
    <row r="371" spans="1:11" x14ac:dyDescent="0.25">
      <c r="A371">
        <v>10</v>
      </c>
      <c r="B371" t="s">
        <v>9</v>
      </c>
      <c r="C371">
        <v>37.72</v>
      </c>
      <c r="D371" t="s">
        <v>10</v>
      </c>
      <c r="E371" t="s">
        <v>11</v>
      </c>
      <c r="F371" t="s">
        <v>30</v>
      </c>
      <c r="G371">
        <v>3</v>
      </c>
      <c r="H371">
        <v>5</v>
      </c>
      <c r="I371" s="13">
        <v>45420</v>
      </c>
      <c r="J371" s="13" t="str">
        <f>TEXT(Table1[[#This Row],[Date]],"[$-en-US]mmm yyyy")</f>
        <v>May 2024</v>
      </c>
      <c r="K371" s="13" t="str">
        <f>TEXT(Table1[[#This Row],[Date]],"[$-en-US]ddd")</f>
        <v>Wed</v>
      </c>
    </row>
    <row r="372" spans="1:11" x14ac:dyDescent="0.25">
      <c r="A372">
        <v>12</v>
      </c>
      <c r="B372" t="s">
        <v>9</v>
      </c>
      <c r="C372">
        <v>37.72</v>
      </c>
      <c r="D372" t="s">
        <v>27</v>
      </c>
      <c r="E372" t="s">
        <v>15</v>
      </c>
      <c r="F372" t="s">
        <v>30</v>
      </c>
      <c r="G372">
        <v>4</v>
      </c>
      <c r="H372">
        <v>5</v>
      </c>
      <c r="I372" s="13">
        <v>45421</v>
      </c>
      <c r="J372" s="13" t="str">
        <f>TEXT(Table1[[#This Row],[Date]],"[$-en-US]mmm yyyy")</f>
        <v>May 2024</v>
      </c>
      <c r="K372" s="13" t="str">
        <f>TEXT(Table1[[#This Row],[Date]],"[$-en-US]ddd")</f>
        <v>Thu</v>
      </c>
    </row>
    <row r="373" spans="1:11" x14ac:dyDescent="0.25">
      <c r="A373">
        <v>13</v>
      </c>
      <c r="B373" t="s">
        <v>9</v>
      </c>
      <c r="C373">
        <v>27.92</v>
      </c>
      <c r="D373" t="s">
        <v>16</v>
      </c>
      <c r="E373" t="s">
        <v>15</v>
      </c>
      <c r="F373" t="s">
        <v>30</v>
      </c>
      <c r="G373">
        <v>4</v>
      </c>
      <c r="H373">
        <v>5</v>
      </c>
      <c r="I373" s="13">
        <v>45421</v>
      </c>
      <c r="J373" s="13" t="str">
        <f>TEXT(Table1[[#This Row],[Date]],"[$-en-US]mmm yyyy")</f>
        <v>May 2024</v>
      </c>
      <c r="K373" s="13" t="str">
        <f>TEXT(Table1[[#This Row],[Date]],"[$-en-US]ddd")</f>
        <v>Thu</v>
      </c>
    </row>
    <row r="374" spans="1:11" x14ac:dyDescent="0.25">
      <c r="A374">
        <v>13</v>
      </c>
      <c r="B374" t="s">
        <v>9</v>
      </c>
      <c r="C374">
        <v>37.72</v>
      </c>
      <c r="D374" t="s">
        <v>10</v>
      </c>
      <c r="E374" t="s">
        <v>15</v>
      </c>
      <c r="F374" t="s">
        <v>30</v>
      </c>
      <c r="G374">
        <v>4</v>
      </c>
      <c r="H374">
        <v>5</v>
      </c>
      <c r="I374" s="13">
        <v>45421</v>
      </c>
      <c r="J374" s="13" t="str">
        <f>TEXT(Table1[[#This Row],[Date]],"[$-en-US]mmm yyyy")</f>
        <v>May 2024</v>
      </c>
      <c r="K374" s="13" t="str">
        <f>TEXT(Table1[[#This Row],[Date]],"[$-en-US]ddd")</f>
        <v>Thu</v>
      </c>
    </row>
    <row r="375" spans="1:11" x14ac:dyDescent="0.25">
      <c r="A375">
        <v>13</v>
      </c>
      <c r="B375" t="s">
        <v>9</v>
      </c>
      <c r="C375">
        <v>37.72</v>
      </c>
      <c r="D375" t="s">
        <v>10</v>
      </c>
      <c r="E375" t="s">
        <v>15</v>
      </c>
      <c r="F375" t="s">
        <v>30</v>
      </c>
      <c r="G375">
        <v>4</v>
      </c>
      <c r="H375">
        <v>5</v>
      </c>
      <c r="I375" s="13">
        <v>45421</v>
      </c>
      <c r="J375" s="13" t="str">
        <f>TEXT(Table1[[#This Row],[Date]],"[$-en-US]mmm yyyy")</f>
        <v>May 2024</v>
      </c>
      <c r="K375" s="13" t="str">
        <f>TEXT(Table1[[#This Row],[Date]],"[$-en-US]ddd")</f>
        <v>Thu</v>
      </c>
    </row>
    <row r="376" spans="1:11" x14ac:dyDescent="0.25">
      <c r="A376">
        <v>13</v>
      </c>
      <c r="B376" t="s">
        <v>9</v>
      </c>
      <c r="C376">
        <v>37.72</v>
      </c>
      <c r="D376" t="s">
        <v>10</v>
      </c>
      <c r="E376" t="s">
        <v>15</v>
      </c>
      <c r="F376" t="s">
        <v>30</v>
      </c>
      <c r="G376">
        <v>4</v>
      </c>
      <c r="H376">
        <v>5</v>
      </c>
      <c r="I376" s="13">
        <v>45421</v>
      </c>
      <c r="J376" s="13" t="str">
        <f>TEXT(Table1[[#This Row],[Date]],"[$-en-US]mmm yyyy")</f>
        <v>May 2024</v>
      </c>
      <c r="K376" s="13" t="str">
        <f>TEXT(Table1[[#This Row],[Date]],"[$-en-US]ddd")</f>
        <v>Thu</v>
      </c>
    </row>
    <row r="377" spans="1:11" x14ac:dyDescent="0.25">
      <c r="A377">
        <v>16</v>
      </c>
      <c r="B377" t="s">
        <v>9</v>
      </c>
      <c r="C377">
        <v>27.92</v>
      </c>
      <c r="D377" t="s">
        <v>16</v>
      </c>
      <c r="E377" t="s">
        <v>15</v>
      </c>
      <c r="F377" t="s">
        <v>30</v>
      </c>
      <c r="G377">
        <v>4</v>
      </c>
      <c r="H377">
        <v>5</v>
      </c>
      <c r="I377" s="13">
        <v>45421</v>
      </c>
      <c r="J377" s="13" t="str">
        <f>TEXT(Table1[[#This Row],[Date]],"[$-en-US]mmm yyyy")</f>
        <v>May 2024</v>
      </c>
      <c r="K377" s="13" t="str">
        <f>TEXT(Table1[[#This Row],[Date]],"[$-en-US]ddd")</f>
        <v>Thu</v>
      </c>
    </row>
    <row r="378" spans="1:11" x14ac:dyDescent="0.25">
      <c r="A378">
        <v>16</v>
      </c>
      <c r="B378" t="s">
        <v>9</v>
      </c>
      <c r="C378">
        <v>27.92</v>
      </c>
      <c r="D378" t="s">
        <v>16</v>
      </c>
      <c r="E378" t="s">
        <v>15</v>
      </c>
      <c r="F378" t="s">
        <v>30</v>
      </c>
      <c r="G378">
        <v>4</v>
      </c>
      <c r="H378">
        <v>5</v>
      </c>
      <c r="I378" s="13">
        <v>45421</v>
      </c>
      <c r="J378" s="13" t="str">
        <f>TEXT(Table1[[#This Row],[Date]],"[$-en-US]mmm yyyy")</f>
        <v>May 2024</v>
      </c>
      <c r="K378" s="13" t="str">
        <f>TEXT(Table1[[#This Row],[Date]],"[$-en-US]ddd")</f>
        <v>Thu</v>
      </c>
    </row>
    <row r="379" spans="1:11" x14ac:dyDescent="0.25">
      <c r="A379">
        <v>18</v>
      </c>
      <c r="B379" t="s">
        <v>9</v>
      </c>
      <c r="C379">
        <v>27.92</v>
      </c>
      <c r="D379" t="s">
        <v>16</v>
      </c>
      <c r="E379" t="s">
        <v>18</v>
      </c>
      <c r="F379" t="s">
        <v>30</v>
      </c>
      <c r="G379">
        <v>4</v>
      </c>
      <c r="H379">
        <v>5</v>
      </c>
      <c r="I379" s="13">
        <v>45421</v>
      </c>
      <c r="J379" s="13" t="str">
        <f>TEXT(Table1[[#This Row],[Date]],"[$-en-US]mmm yyyy")</f>
        <v>May 2024</v>
      </c>
      <c r="K379" s="13" t="str">
        <f>TEXT(Table1[[#This Row],[Date]],"[$-en-US]ddd")</f>
        <v>Thu</v>
      </c>
    </row>
    <row r="380" spans="1:11" x14ac:dyDescent="0.25">
      <c r="A380">
        <v>18</v>
      </c>
      <c r="B380" t="s">
        <v>9</v>
      </c>
      <c r="C380">
        <v>32.82</v>
      </c>
      <c r="D380" t="s">
        <v>17</v>
      </c>
      <c r="E380" t="s">
        <v>18</v>
      </c>
      <c r="F380" t="s">
        <v>30</v>
      </c>
      <c r="G380">
        <v>4</v>
      </c>
      <c r="H380">
        <v>5</v>
      </c>
      <c r="I380" s="13">
        <v>45421</v>
      </c>
      <c r="J380" s="13" t="str">
        <f>TEXT(Table1[[#This Row],[Date]],"[$-en-US]mmm yyyy")</f>
        <v>May 2024</v>
      </c>
      <c r="K380" s="13" t="str">
        <f>TEXT(Table1[[#This Row],[Date]],"[$-en-US]ddd")</f>
        <v>Thu</v>
      </c>
    </row>
    <row r="381" spans="1:11" x14ac:dyDescent="0.25">
      <c r="A381">
        <v>15</v>
      </c>
      <c r="B381" t="s">
        <v>9</v>
      </c>
      <c r="C381">
        <v>37.72</v>
      </c>
      <c r="D381" t="s">
        <v>10</v>
      </c>
      <c r="E381" t="s">
        <v>15</v>
      </c>
      <c r="F381" t="s">
        <v>30</v>
      </c>
      <c r="G381">
        <v>5</v>
      </c>
      <c r="H381">
        <v>5</v>
      </c>
      <c r="I381" s="13">
        <v>45422</v>
      </c>
      <c r="J381" s="13" t="str">
        <f>TEXT(Table1[[#This Row],[Date]],"[$-en-US]mmm yyyy")</f>
        <v>May 2024</v>
      </c>
      <c r="K381" s="13" t="str">
        <f>TEXT(Table1[[#This Row],[Date]],"[$-en-US]ddd")</f>
        <v>Fri</v>
      </c>
    </row>
    <row r="382" spans="1:11" x14ac:dyDescent="0.25">
      <c r="A382">
        <v>15</v>
      </c>
      <c r="B382" t="s">
        <v>9</v>
      </c>
      <c r="C382">
        <v>37.72</v>
      </c>
      <c r="D382" t="s">
        <v>10</v>
      </c>
      <c r="E382" t="s">
        <v>15</v>
      </c>
      <c r="F382" t="s">
        <v>30</v>
      </c>
      <c r="G382">
        <v>5</v>
      </c>
      <c r="H382">
        <v>5</v>
      </c>
      <c r="I382" s="13">
        <v>45422</v>
      </c>
      <c r="J382" s="13" t="str">
        <f>TEXT(Table1[[#This Row],[Date]],"[$-en-US]mmm yyyy")</f>
        <v>May 2024</v>
      </c>
      <c r="K382" s="13" t="str">
        <f>TEXT(Table1[[#This Row],[Date]],"[$-en-US]ddd")</f>
        <v>Fri</v>
      </c>
    </row>
    <row r="383" spans="1:11" x14ac:dyDescent="0.25">
      <c r="A383">
        <v>11</v>
      </c>
      <c r="B383" t="s">
        <v>9</v>
      </c>
      <c r="C383">
        <v>37.72</v>
      </c>
      <c r="D383" t="s">
        <v>10</v>
      </c>
      <c r="E383" t="s">
        <v>11</v>
      </c>
      <c r="F383" t="s">
        <v>30</v>
      </c>
      <c r="G383">
        <v>6</v>
      </c>
      <c r="H383">
        <v>5</v>
      </c>
      <c r="I383" s="13">
        <v>45423</v>
      </c>
      <c r="J383" s="13" t="str">
        <f>TEXT(Table1[[#This Row],[Date]],"[$-en-US]mmm yyyy")</f>
        <v>May 2024</v>
      </c>
      <c r="K383" s="13" t="str">
        <f>TEXT(Table1[[#This Row],[Date]],"[$-en-US]ddd")</f>
        <v>Sat</v>
      </c>
    </row>
    <row r="384" spans="1:11" x14ac:dyDescent="0.25">
      <c r="A384">
        <v>17</v>
      </c>
      <c r="B384" t="s">
        <v>9</v>
      </c>
      <c r="C384">
        <v>32.82</v>
      </c>
      <c r="D384" t="s">
        <v>17</v>
      </c>
      <c r="E384" t="s">
        <v>18</v>
      </c>
      <c r="F384" t="s">
        <v>30</v>
      </c>
      <c r="G384">
        <v>6</v>
      </c>
      <c r="H384">
        <v>5</v>
      </c>
      <c r="I384" s="13">
        <v>45423</v>
      </c>
      <c r="J384" s="13" t="str">
        <f>TEXT(Table1[[#This Row],[Date]],"[$-en-US]mmm yyyy")</f>
        <v>May 2024</v>
      </c>
      <c r="K384" s="13" t="str">
        <f>TEXT(Table1[[#This Row],[Date]],"[$-en-US]ddd")</f>
        <v>Sat</v>
      </c>
    </row>
    <row r="385" spans="1:11" x14ac:dyDescent="0.25">
      <c r="A385">
        <v>17</v>
      </c>
      <c r="B385" t="s">
        <v>9</v>
      </c>
      <c r="C385">
        <v>37.72</v>
      </c>
      <c r="D385" t="s">
        <v>19</v>
      </c>
      <c r="E385" t="s">
        <v>18</v>
      </c>
      <c r="F385" t="s">
        <v>30</v>
      </c>
      <c r="G385">
        <v>6</v>
      </c>
      <c r="H385">
        <v>5</v>
      </c>
      <c r="I385" s="13">
        <v>45423</v>
      </c>
      <c r="J385" s="13" t="str">
        <f>TEXT(Table1[[#This Row],[Date]],"[$-en-US]mmm yyyy")</f>
        <v>May 2024</v>
      </c>
      <c r="K385" s="13" t="str">
        <f>TEXT(Table1[[#This Row],[Date]],"[$-en-US]ddd")</f>
        <v>Sat</v>
      </c>
    </row>
    <row r="386" spans="1:11" x14ac:dyDescent="0.25">
      <c r="A386">
        <v>17</v>
      </c>
      <c r="B386" t="s">
        <v>9</v>
      </c>
      <c r="C386">
        <v>37.72</v>
      </c>
      <c r="D386" t="s">
        <v>27</v>
      </c>
      <c r="E386" t="s">
        <v>18</v>
      </c>
      <c r="F386" t="s">
        <v>30</v>
      </c>
      <c r="G386">
        <v>6</v>
      </c>
      <c r="H386">
        <v>5</v>
      </c>
      <c r="I386" s="13">
        <v>45423</v>
      </c>
      <c r="J386" s="13" t="str">
        <f>TEXT(Table1[[#This Row],[Date]],"[$-en-US]mmm yyyy")</f>
        <v>May 2024</v>
      </c>
      <c r="K386" s="13" t="str">
        <f>TEXT(Table1[[#This Row],[Date]],"[$-en-US]ddd")</f>
        <v>Sat</v>
      </c>
    </row>
    <row r="387" spans="1:11" x14ac:dyDescent="0.25">
      <c r="A387">
        <v>17</v>
      </c>
      <c r="B387" t="s">
        <v>9</v>
      </c>
      <c r="C387">
        <v>32.82</v>
      </c>
      <c r="D387" t="s">
        <v>17</v>
      </c>
      <c r="E387" t="s">
        <v>18</v>
      </c>
      <c r="F387" t="s">
        <v>30</v>
      </c>
      <c r="G387">
        <v>6</v>
      </c>
      <c r="H387">
        <v>5</v>
      </c>
      <c r="I387" s="13">
        <v>45423</v>
      </c>
      <c r="J387" s="13" t="str">
        <f>TEXT(Table1[[#This Row],[Date]],"[$-en-US]mmm yyyy")</f>
        <v>May 2024</v>
      </c>
      <c r="K387" s="13" t="str">
        <f>TEXT(Table1[[#This Row],[Date]],"[$-en-US]ddd")</f>
        <v>Sat</v>
      </c>
    </row>
    <row r="388" spans="1:11" x14ac:dyDescent="0.25">
      <c r="A388">
        <v>18</v>
      </c>
      <c r="B388" t="s">
        <v>9</v>
      </c>
      <c r="C388">
        <v>37.72</v>
      </c>
      <c r="D388" t="s">
        <v>27</v>
      </c>
      <c r="E388" t="s">
        <v>18</v>
      </c>
      <c r="F388" t="s">
        <v>30</v>
      </c>
      <c r="G388">
        <v>6</v>
      </c>
      <c r="H388">
        <v>5</v>
      </c>
      <c r="I388" s="13">
        <v>45423</v>
      </c>
      <c r="J388" s="13" t="str">
        <f>TEXT(Table1[[#This Row],[Date]],"[$-en-US]mmm yyyy")</f>
        <v>May 2024</v>
      </c>
      <c r="K388" s="13" t="str">
        <f>TEXT(Table1[[#This Row],[Date]],"[$-en-US]ddd")</f>
        <v>Sat</v>
      </c>
    </row>
    <row r="389" spans="1:11" x14ac:dyDescent="0.25">
      <c r="A389">
        <v>19</v>
      </c>
      <c r="B389" t="s">
        <v>9</v>
      </c>
      <c r="C389">
        <v>37.72</v>
      </c>
      <c r="D389" t="s">
        <v>10</v>
      </c>
      <c r="E389" t="s">
        <v>18</v>
      </c>
      <c r="F389" t="s">
        <v>30</v>
      </c>
      <c r="G389">
        <v>6</v>
      </c>
      <c r="H389">
        <v>5</v>
      </c>
      <c r="I389" s="13">
        <v>45423</v>
      </c>
      <c r="J389" s="13" t="str">
        <f>TEXT(Table1[[#This Row],[Date]],"[$-en-US]mmm yyyy")</f>
        <v>May 2024</v>
      </c>
      <c r="K389" s="13" t="str">
        <f>TEXT(Table1[[#This Row],[Date]],"[$-en-US]ddd")</f>
        <v>Sat</v>
      </c>
    </row>
    <row r="390" spans="1:11" x14ac:dyDescent="0.25">
      <c r="A390">
        <v>10</v>
      </c>
      <c r="B390" t="s">
        <v>9</v>
      </c>
      <c r="C390">
        <v>37.72</v>
      </c>
      <c r="D390" t="s">
        <v>10</v>
      </c>
      <c r="E390" t="s">
        <v>11</v>
      </c>
      <c r="F390" t="s">
        <v>30</v>
      </c>
      <c r="G390">
        <v>7</v>
      </c>
      <c r="H390">
        <v>5</v>
      </c>
      <c r="I390" s="13">
        <v>45424</v>
      </c>
      <c r="J390" s="13" t="str">
        <f>TEXT(Table1[[#This Row],[Date]],"[$-en-US]mmm yyyy")</f>
        <v>May 2024</v>
      </c>
      <c r="K390" s="13" t="str">
        <f>TEXT(Table1[[#This Row],[Date]],"[$-en-US]ddd")</f>
        <v>Sun</v>
      </c>
    </row>
    <row r="391" spans="1:11" x14ac:dyDescent="0.25">
      <c r="A391">
        <v>13</v>
      </c>
      <c r="B391" t="s">
        <v>9</v>
      </c>
      <c r="C391">
        <v>37.72</v>
      </c>
      <c r="D391" t="s">
        <v>10</v>
      </c>
      <c r="E391" t="s">
        <v>15</v>
      </c>
      <c r="F391" t="s">
        <v>30</v>
      </c>
      <c r="G391">
        <v>7</v>
      </c>
      <c r="H391">
        <v>5</v>
      </c>
      <c r="I391" s="13">
        <v>45424</v>
      </c>
      <c r="J391" s="13" t="str">
        <f>TEXT(Table1[[#This Row],[Date]],"[$-en-US]mmm yyyy")</f>
        <v>May 2024</v>
      </c>
      <c r="K391" s="13" t="str">
        <f>TEXT(Table1[[#This Row],[Date]],"[$-en-US]ddd")</f>
        <v>Sun</v>
      </c>
    </row>
    <row r="392" spans="1:11" x14ac:dyDescent="0.25">
      <c r="A392">
        <v>13</v>
      </c>
      <c r="B392" t="s">
        <v>9</v>
      </c>
      <c r="C392">
        <v>27.92</v>
      </c>
      <c r="D392" t="s">
        <v>16</v>
      </c>
      <c r="E392" t="s">
        <v>15</v>
      </c>
      <c r="F392" t="s">
        <v>30</v>
      </c>
      <c r="G392">
        <v>7</v>
      </c>
      <c r="H392">
        <v>5</v>
      </c>
      <c r="I392" s="13">
        <v>45424</v>
      </c>
      <c r="J392" s="13" t="str">
        <f>TEXT(Table1[[#This Row],[Date]],"[$-en-US]mmm yyyy")</f>
        <v>May 2024</v>
      </c>
      <c r="K392" s="13" t="str">
        <f>TEXT(Table1[[#This Row],[Date]],"[$-en-US]ddd")</f>
        <v>Sun</v>
      </c>
    </row>
    <row r="393" spans="1:11" x14ac:dyDescent="0.25">
      <c r="A393">
        <v>15</v>
      </c>
      <c r="B393" t="s">
        <v>9</v>
      </c>
      <c r="C393">
        <v>37.72</v>
      </c>
      <c r="D393" t="s">
        <v>10</v>
      </c>
      <c r="E393" t="s">
        <v>15</v>
      </c>
      <c r="F393" t="s">
        <v>30</v>
      </c>
      <c r="G393">
        <v>7</v>
      </c>
      <c r="H393">
        <v>5</v>
      </c>
      <c r="I393" s="13">
        <v>45424</v>
      </c>
      <c r="J393" s="13" t="str">
        <f>TEXT(Table1[[#This Row],[Date]],"[$-en-US]mmm yyyy")</f>
        <v>May 2024</v>
      </c>
      <c r="K393" s="13" t="str">
        <f>TEXT(Table1[[#This Row],[Date]],"[$-en-US]ddd")</f>
        <v>Sun</v>
      </c>
    </row>
    <row r="394" spans="1:11" x14ac:dyDescent="0.25">
      <c r="A394">
        <v>15</v>
      </c>
      <c r="B394" t="s">
        <v>9</v>
      </c>
      <c r="C394">
        <v>32.82</v>
      </c>
      <c r="D394" t="s">
        <v>17</v>
      </c>
      <c r="E394" t="s">
        <v>15</v>
      </c>
      <c r="F394" t="s">
        <v>30</v>
      </c>
      <c r="G394">
        <v>7</v>
      </c>
      <c r="H394">
        <v>5</v>
      </c>
      <c r="I394" s="13">
        <v>45424</v>
      </c>
      <c r="J394" s="13" t="str">
        <f>TEXT(Table1[[#This Row],[Date]],"[$-en-US]mmm yyyy")</f>
        <v>May 2024</v>
      </c>
      <c r="K394" s="13" t="str">
        <f>TEXT(Table1[[#This Row],[Date]],"[$-en-US]ddd")</f>
        <v>Sun</v>
      </c>
    </row>
    <row r="395" spans="1:11" x14ac:dyDescent="0.25">
      <c r="A395">
        <v>15</v>
      </c>
      <c r="B395" t="s">
        <v>9</v>
      </c>
      <c r="C395">
        <v>32.82</v>
      </c>
      <c r="D395" t="s">
        <v>17</v>
      </c>
      <c r="E395" t="s">
        <v>15</v>
      </c>
      <c r="F395" t="s">
        <v>30</v>
      </c>
      <c r="G395">
        <v>7</v>
      </c>
      <c r="H395">
        <v>5</v>
      </c>
      <c r="I395" s="13">
        <v>45424</v>
      </c>
      <c r="J395" s="13" t="str">
        <f>TEXT(Table1[[#This Row],[Date]],"[$-en-US]mmm yyyy")</f>
        <v>May 2024</v>
      </c>
      <c r="K395" s="13" t="str">
        <f>TEXT(Table1[[#This Row],[Date]],"[$-en-US]ddd")</f>
        <v>Sun</v>
      </c>
    </row>
    <row r="396" spans="1:11" x14ac:dyDescent="0.25">
      <c r="A396">
        <v>16</v>
      </c>
      <c r="B396" t="s">
        <v>9</v>
      </c>
      <c r="C396">
        <v>32.82</v>
      </c>
      <c r="D396" t="s">
        <v>17</v>
      </c>
      <c r="E396" t="s">
        <v>15</v>
      </c>
      <c r="F396" t="s">
        <v>30</v>
      </c>
      <c r="G396">
        <v>7</v>
      </c>
      <c r="H396">
        <v>5</v>
      </c>
      <c r="I396" s="13">
        <v>45424</v>
      </c>
      <c r="J396" s="13" t="str">
        <f>TEXT(Table1[[#This Row],[Date]],"[$-en-US]mmm yyyy")</f>
        <v>May 2024</v>
      </c>
      <c r="K396" s="13" t="str">
        <f>TEXT(Table1[[#This Row],[Date]],"[$-en-US]ddd")</f>
        <v>Sun</v>
      </c>
    </row>
    <row r="397" spans="1:11" x14ac:dyDescent="0.25">
      <c r="A397">
        <v>19</v>
      </c>
      <c r="B397" t="s">
        <v>9</v>
      </c>
      <c r="C397">
        <v>32.82</v>
      </c>
      <c r="D397" t="s">
        <v>17</v>
      </c>
      <c r="E397" t="s">
        <v>18</v>
      </c>
      <c r="F397" t="s">
        <v>30</v>
      </c>
      <c r="G397">
        <v>7</v>
      </c>
      <c r="H397">
        <v>5</v>
      </c>
      <c r="I397" s="13">
        <v>45424</v>
      </c>
      <c r="J397" s="13" t="str">
        <f>TEXT(Table1[[#This Row],[Date]],"[$-en-US]mmm yyyy")</f>
        <v>May 2024</v>
      </c>
      <c r="K397" s="13" t="str">
        <f>TEXT(Table1[[#This Row],[Date]],"[$-en-US]ddd")</f>
        <v>Sun</v>
      </c>
    </row>
    <row r="398" spans="1:11" x14ac:dyDescent="0.25">
      <c r="A398">
        <v>11</v>
      </c>
      <c r="B398" t="s">
        <v>9</v>
      </c>
      <c r="C398">
        <v>32.82</v>
      </c>
      <c r="D398" t="s">
        <v>17</v>
      </c>
      <c r="E398" t="s">
        <v>11</v>
      </c>
      <c r="F398" t="s">
        <v>30</v>
      </c>
      <c r="G398">
        <v>1</v>
      </c>
      <c r="H398">
        <v>5</v>
      </c>
      <c r="I398" s="13">
        <v>45425</v>
      </c>
      <c r="J398" s="13" t="str">
        <f>TEXT(Table1[[#This Row],[Date]],"[$-en-US]mmm yyyy")</f>
        <v>May 2024</v>
      </c>
      <c r="K398" s="13" t="str">
        <f>TEXT(Table1[[#This Row],[Date]],"[$-en-US]ddd")</f>
        <v>Mon</v>
      </c>
    </row>
    <row r="399" spans="1:11" x14ac:dyDescent="0.25">
      <c r="A399">
        <v>8</v>
      </c>
      <c r="B399" t="s">
        <v>9</v>
      </c>
      <c r="C399">
        <v>27.92</v>
      </c>
      <c r="D399" t="s">
        <v>16</v>
      </c>
      <c r="E399" t="s">
        <v>11</v>
      </c>
      <c r="F399" t="s">
        <v>30</v>
      </c>
      <c r="G399">
        <v>2</v>
      </c>
      <c r="H399">
        <v>5</v>
      </c>
      <c r="I399" s="13">
        <v>45426</v>
      </c>
      <c r="J399" s="13" t="str">
        <f>TEXT(Table1[[#This Row],[Date]],"[$-en-US]mmm yyyy")</f>
        <v>May 2024</v>
      </c>
      <c r="K399" s="13" t="str">
        <f>TEXT(Table1[[#This Row],[Date]],"[$-en-US]ddd")</f>
        <v>Tue</v>
      </c>
    </row>
    <row r="400" spans="1:11" x14ac:dyDescent="0.25">
      <c r="A400">
        <v>8</v>
      </c>
      <c r="B400" t="s">
        <v>9</v>
      </c>
      <c r="C400">
        <v>27.92</v>
      </c>
      <c r="D400" t="s">
        <v>16</v>
      </c>
      <c r="E400" t="s">
        <v>11</v>
      </c>
      <c r="F400" t="s">
        <v>30</v>
      </c>
      <c r="G400">
        <v>2</v>
      </c>
      <c r="H400">
        <v>5</v>
      </c>
      <c r="I400" s="13">
        <v>45426</v>
      </c>
      <c r="J400" s="13" t="str">
        <f>TEXT(Table1[[#This Row],[Date]],"[$-en-US]mmm yyyy")</f>
        <v>May 2024</v>
      </c>
      <c r="K400" s="13" t="str">
        <f>TEXT(Table1[[#This Row],[Date]],"[$-en-US]ddd")</f>
        <v>Tue</v>
      </c>
    </row>
    <row r="401" spans="1:11" x14ac:dyDescent="0.25">
      <c r="A401">
        <v>8</v>
      </c>
      <c r="B401" t="s">
        <v>9</v>
      </c>
      <c r="C401">
        <v>27.92</v>
      </c>
      <c r="D401" t="s">
        <v>16</v>
      </c>
      <c r="E401" t="s">
        <v>11</v>
      </c>
      <c r="F401" t="s">
        <v>30</v>
      </c>
      <c r="G401">
        <v>2</v>
      </c>
      <c r="H401">
        <v>5</v>
      </c>
      <c r="I401" s="13">
        <v>45426</v>
      </c>
      <c r="J401" s="13" t="str">
        <f>TEXT(Table1[[#This Row],[Date]],"[$-en-US]mmm yyyy")</f>
        <v>May 2024</v>
      </c>
      <c r="K401" s="13" t="str">
        <f>TEXT(Table1[[#This Row],[Date]],"[$-en-US]ddd")</f>
        <v>Tue</v>
      </c>
    </row>
    <row r="402" spans="1:11" x14ac:dyDescent="0.25">
      <c r="A402">
        <v>10</v>
      </c>
      <c r="B402" t="s">
        <v>9</v>
      </c>
      <c r="C402">
        <v>37.72</v>
      </c>
      <c r="D402" t="s">
        <v>27</v>
      </c>
      <c r="E402" t="s">
        <v>11</v>
      </c>
      <c r="F402" t="s">
        <v>30</v>
      </c>
      <c r="G402">
        <v>2</v>
      </c>
      <c r="H402">
        <v>5</v>
      </c>
      <c r="I402" s="13">
        <v>45426</v>
      </c>
      <c r="J402" s="13" t="str">
        <f>TEXT(Table1[[#This Row],[Date]],"[$-en-US]mmm yyyy")</f>
        <v>May 2024</v>
      </c>
      <c r="K402" s="13" t="str">
        <f>TEXT(Table1[[#This Row],[Date]],"[$-en-US]ddd")</f>
        <v>Tue</v>
      </c>
    </row>
    <row r="403" spans="1:11" x14ac:dyDescent="0.25">
      <c r="A403">
        <v>11</v>
      </c>
      <c r="B403" t="s">
        <v>9</v>
      </c>
      <c r="C403">
        <v>37.72</v>
      </c>
      <c r="D403" t="s">
        <v>10</v>
      </c>
      <c r="E403" t="s">
        <v>11</v>
      </c>
      <c r="F403" t="s">
        <v>30</v>
      </c>
      <c r="G403">
        <v>2</v>
      </c>
      <c r="H403">
        <v>5</v>
      </c>
      <c r="I403" s="13">
        <v>45426</v>
      </c>
      <c r="J403" s="13" t="str">
        <f>TEXT(Table1[[#This Row],[Date]],"[$-en-US]mmm yyyy")</f>
        <v>May 2024</v>
      </c>
      <c r="K403" s="13" t="str">
        <f>TEXT(Table1[[#This Row],[Date]],"[$-en-US]ddd")</f>
        <v>Tue</v>
      </c>
    </row>
    <row r="404" spans="1:11" x14ac:dyDescent="0.25">
      <c r="A404">
        <v>11</v>
      </c>
      <c r="B404" t="s">
        <v>9</v>
      </c>
      <c r="C404">
        <v>37.72</v>
      </c>
      <c r="D404" t="s">
        <v>27</v>
      </c>
      <c r="E404" t="s">
        <v>11</v>
      </c>
      <c r="F404" t="s">
        <v>30</v>
      </c>
      <c r="G404">
        <v>2</v>
      </c>
      <c r="H404">
        <v>5</v>
      </c>
      <c r="I404" s="13">
        <v>45426</v>
      </c>
      <c r="J404" s="13" t="str">
        <f>TEXT(Table1[[#This Row],[Date]],"[$-en-US]mmm yyyy")</f>
        <v>May 2024</v>
      </c>
      <c r="K404" s="13" t="str">
        <f>TEXT(Table1[[#This Row],[Date]],"[$-en-US]ddd")</f>
        <v>Tue</v>
      </c>
    </row>
    <row r="405" spans="1:11" x14ac:dyDescent="0.25">
      <c r="A405">
        <v>14</v>
      </c>
      <c r="B405" t="s">
        <v>9</v>
      </c>
      <c r="C405">
        <v>37.72</v>
      </c>
      <c r="D405" t="s">
        <v>27</v>
      </c>
      <c r="E405" t="s">
        <v>15</v>
      </c>
      <c r="F405" t="s">
        <v>30</v>
      </c>
      <c r="G405">
        <v>2</v>
      </c>
      <c r="H405">
        <v>5</v>
      </c>
      <c r="I405" s="13">
        <v>45426</v>
      </c>
      <c r="J405" s="13" t="str">
        <f>TEXT(Table1[[#This Row],[Date]],"[$-en-US]mmm yyyy")</f>
        <v>May 2024</v>
      </c>
      <c r="K405" s="13" t="str">
        <f>TEXT(Table1[[#This Row],[Date]],"[$-en-US]ddd")</f>
        <v>Tue</v>
      </c>
    </row>
    <row r="406" spans="1:11" x14ac:dyDescent="0.25">
      <c r="A406">
        <v>14</v>
      </c>
      <c r="B406" t="s">
        <v>9</v>
      </c>
      <c r="C406">
        <v>32.82</v>
      </c>
      <c r="D406" t="s">
        <v>17</v>
      </c>
      <c r="E406" t="s">
        <v>15</v>
      </c>
      <c r="F406" t="s">
        <v>30</v>
      </c>
      <c r="G406">
        <v>2</v>
      </c>
      <c r="H406">
        <v>5</v>
      </c>
      <c r="I406" s="13">
        <v>45426</v>
      </c>
      <c r="J406" s="13" t="str">
        <f>TEXT(Table1[[#This Row],[Date]],"[$-en-US]mmm yyyy")</f>
        <v>May 2024</v>
      </c>
      <c r="K406" s="13" t="str">
        <f>TEXT(Table1[[#This Row],[Date]],"[$-en-US]ddd")</f>
        <v>Tue</v>
      </c>
    </row>
    <row r="407" spans="1:11" x14ac:dyDescent="0.25">
      <c r="A407">
        <v>15</v>
      </c>
      <c r="B407" t="s">
        <v>9</v>
      </c>
      <c r="C407">
        <v>27.92</v>
      </c>
      <c r="D407" t="s">
        <v>16</v>
      </c>
      <c r="E407" t="s">
        <v>15</v>
      </c>
      <c r="F407" t="s">
        <v>30</v>
      </c>
      <c r="G407">
        <v>2</v>
      </c>
      <c r="H407">
        <v>5</v>
      </c>
      <c r="I407" s="13">
        <v>45426</v>
      </c>
      <c r="J407" s="13" t="str">
        <f>TEXT(Table1[[#This Row],[Date]],"[$-en-US]mmm yyyy")</f>
        <v>May 2024</v>
      </c>
      <c r="K407" s="13" t="str">
        <f>TEXT(Table1[[#This Row],[Date]],"[$-en-US]ddd")</f>
        <v>Tue</v>
      </c>
    </row>
    <row r="408" spans="1:11" x14ac:dyDescent="0.25">
      <c r="A408">
        <v>16</v>
      </c>
      <c r="B408" t="s">
        <v>9</v>
      </c>
      <c r="C408">
        <v>32.82</v>
      </c>
      <c r="D408" t="s">
        <v>17</v>
      </c>
      <c r="E408" t="s">
        <v>15</v>
      </c>
      <c r="F408" t="s">
        <v>30</v>
      </c>
      <c r="G408">
        <v>2</v>
      </c>
      <c r="H408">
        <v>5</v>
      </c>
      <c r="I408" s="13">
        <v>45426</v>
      </c>
      <c r="J408" s="13" t="str">
        <f>TEXT(Table1[[#This Row],[Date]],"[$-en-US]mmm yyyy")</f>
        <v>May 2024</v>
      </c>
      <c r="K408" s="13" t="str">
        <f>TEXT(Table1[[#This Row],[Date]],"[$-en-US]ddd")</f>
        <v>Tue</v>
      </c>
    </row>
    <row r="409" spans="1:11" x14ac:dyDescent="0.25">
      <c r="A409">
        <v>16</v>
      </c>
      <c r="B409" t="s">
        <v>9</v>
      </c>
      <c r="C409">
        <v>37.72</v>
      </c>
      <c r="D409" t="s">
        <v>27</v>
      </c>
      <c r="E409" t="s">
        <v>15</v>
      </c>
      <c r="F409" t="s">
        <v>30</v>
      </c>
      <c r="G409">
        <v>2</v>
      </c>
      <c r="H409">
        <v>5</v>
      </c>
      <c r="I409" s="13">
        <v>45426</v>
      </c>
      <c r="J409" s="13" t="str">
        <f>TEXT(Table1[[#This Row],[Date]],"[$-en-US]mmm yyyy")</f>
        <v>May 2024</v>
      </c>
      <c r="K409" s="13" t="str">
        <f>TEXT(Table1[[#This Row],[Date]],"[$-en-US]ddd")</f>
        <v>Tue</v>
      </c>
    </row>
    <row r="410" spans="1:11" x14ac:dyDescent="0.25">
      <c r="A410">
        <v>22</v>
      </c>
      <c r="B410" t="s">
        <v>9</v>
      </c>
      <c r="C410">
        <v>37.72</v>
      </c>
      <c r="D410" t="s">
        <v>14</v>
      </c>
      <c r="E410" t="s">
        <v>18</v>
      </c>
      <c r="F410" t="s">
        <v>30</v>
      </c>
      <c r="G410">
        <v>2</v>
      </c>
      <c r="H410">
        <v>5</v>
      </c>
      <c r="I410" s="13">
        <v>45426</v>
      </c>
      <c r="J410" s="13" t="str">
        <f>TEXT(Table1[[#This Row],[Date]],"[$-en-US]mmm yyyy")</f>
        <v>May 2024</v>
      </c>
      <c r="K410" s="13" t="str">
        <f>TEXT(Table1[[#This Row],[Date]],"[$-en-US]ddd")</f>
        <v>Tue</v>
      </c>
    </row>
    <row r="411" spans="1:11" x14ac:dyDescent="0.25">
      <c r="A411">
        <v>8</v>
      </c>
      <c r="B411" t="s">
        <v>9</v>
      </c>
      <c r="C411">
        <v>37.72</v>
      </c>
      <c r="D411" t="s">
        <v>10</v>
      </c>
      <c r="E411" t="s">
        <v>11</v>
      </c>
      <c r="F411" t="s">
        <v>30</v>
      </c>
      <c r="G411">
        <v>3</v>
      </c>
      <c r="H411">
        <v>5</v>
      </c>
      <c r="I411" s="13">
        <v>45427</v>
      </c>
      <c r="J411" s="13" t="str">
        <f>TEXT(Table1[[#This Row],[Date]],"[$-en-US]mmm yyyy")</f>
        <v>May 2024</v>
      </c>
      <c r="K411" s="13" t="str">
        <f>TEXT(Table1[[#This Row],[Date]],"[$-en-US]ddd")</f>
        <v>Wed</v>
      </c>
    </row>
    <row r="412" spans="1:11" x14ac:dyDescent="0.25">
      <c r="A412">
        <v>11</v>
      </c>
      <c r="B412" t="s">
        <v>9</v>
      </c>
      <c r="C412">
        <v>23.02</v>
      </c>
      <c r="D412" t="s">
        <v>24</v>
      </c>
      <c r="E412" t="s">
        <v>11</v>
      </c>
      <c r="F412" t="s">
        <v>30</v>
      </c>
      <c r="G412">
        <v>3</v>
      </c>
      <c r="H412">
        <v>5</v>
      </c>
      <c r="I412" s="13">
        <v>45427</v>
      </c>
      <c r="J412" s="13" t="str">
        <f>TEXT(Table1[[#This Row],[Date]],"[$-en-US]mmm yyyy")</f>
        <v>May 2024</v>
      </c>
      <c r="K412" s="13" t="str">
        <f>TEXT(Table1[[#This Row],[Date]],"[$-en-US]ddd")</f>
        <v>Wed</v>
      </c>
    </row>
    <row r="413" spans="1:11" x14ac:dyDescent="0.25">
      <c r="A413">
        <v>11</v>
      </c>
      <c r="B413" t="s">
        <v>9</v>
      </c>
      <c r="C413">
        <v>27.92</v>
      </c>
      <c r="D413" t="s">
        <v>16</v>
      </c>
      <c r="E413" t="s">
        <v>11</v>
      </c>
      <c r="F413" t="s">
        <v>30</v>
      </c>
      <c r="G413">
        <v>3</v>
      </c>
      <c r="H413">
        <v>5</v>
      </c>
      <c r="I413" s="13">
        <v>45427</v>
      </c>
      <c r="J413" s="13" t="str">
        <f>TEXT(Table1[[#This Row],[Date]],"[$-en-US]mmm yyyy")</f>
        <v>May 2024</v>
      </c>
      <c r="K413" s="13" t="str">
        <f>TEXT(Table1[[#This Row],[Date]],"[$-en-US]ddd")</f>
        <v>Wed</v>
      </c>
    </row>
    <row r="414" spans="1:11" x14ac:dyDescent="0.25">
      <c r="A414">
        <v>13</v>
      </c>
      <c r="B414" t="s">
        <v>9</v>
      </c>
      <c r="C414">
        <v>27.92</v>
      </c>
      <c r="D414" t="s">
        <v>16</v>
      </c>
      <c r="E414" t="s">
        <v>15</v>
      </c>
      <c r="F414" t="s">
        <v>30</v>
      </c>
      <c r="G414">
        <v>3</v>
      </c>
      <c r="H414">
        <v>5</v>
      </c>
      <c r="I414" s="13">
        <v>45427</v>
      </c>
      <c r="J414" s="13" t="str">
        <f>TEXT(Table1[[#This Row],[Date]],"[$-en-US]mmm yyyy")</f>
        <v>May 2024</v>
      </c>
      <c r="K414" s="13" t="str">
        <f>TEXT(Table1[[#This Row],[Date]],"[$-en-US]ddd")</f>
        <v>Wed</v>
      </c>
    </row>
    <row r="415" spans="1:11" x14ac:dyDescent="0.25">
      <c r="A415">
        <v>13</v>
      </c>
      <c r="B415" t="s">
        <v>9</v>
      </c>
      <c r="C415">
        <v>27.92</v>
      </c>
      <c r="D415" t="s">
        <v>16</v>
      </c>
      <c r="E415" t="s">
        <v>15</v>
      </c>
      <c r="F415" t="s">
        <v>30</v>
      </c>
      <c r="G415">
        <v>3</v>
      </c>
      <c r="H415">
        <v>5</v>
      </c>
      <c r="I415" s="13">
        <v>45427</v>
      </c>
      <c r="J415" s="13" t="str">
        <f>TEXT(Table1[[#This Row],[Date]],"[$-en-US]mmm yyyy")</f>
        <v>May 2024</v>
      </c>
      <c r="K415" s="13" t="str">
        <f>TEXT(Table1[[#This Row],[Date]],"[$-en-US]ddd")</f>
        <v>Wed</v>
      </c>
    </row>
    <row r="416" spans="1:11" x14ac:dyDescent="0.25">
      <c r="A416">
        <v>13</v>
      </c>
      <c r="B416" t="s">
        <v>9</v>
      </c>
      <c r="C416">
        <v>27.92</v>
      </c>
      <c r="D416" t="s">
        <v>16</v>
      </c>
      <c r="E416" t="s">
        <v>15</v>
      </c>
      <c r="F416" t="s">
        <v>30</v>
      </c>
      <c r="G416">
        <v>3</v>
      </c>
      <c r="H416">
        <v>5</v>
      </c>
      <c r="I416" s="13">
        <v>45427</v>
      </c>
      <c r="J416" s="13" t="str">
        <f>TEXT(Table1[[#This Row],[Date]],"[$-en-US]mmm yyyy")</f>
        <v>May 2024</v>
      </c>
      <c r="K416" s="13" t="str">
        <f>TEXT(Table1[[#This Row],[Date]],"[$-en-US]ddd")</f>
        <v>Wed</v>
      </c>
    </row>
    <row r="417" spans="1:11" x14ac:dyDescent="0.25">
      <c r="A417">
        <v>13</v>
      </c>
      <c r="B417" t="s">
        <v>9</v>
      </c>
      <c r="C417">
        <v>32.82</v>
      </c>
      <c r="D417" t="s">
        <v>17</v>
      </c>
      <c r="E417" t="s">
        <v>15</v>
      </c>
      <c r="F417" t="s">
        <v>30</v>
      </c>
      <c r="G417">
        <v>3</v>
      </c>
      <c r="H417">
        <v>5</v>
      </c>
      <c r="I417" s="13">
        <v>45427</v>
      </c>
      <c r="J417" s="13" t="str">
        <f>TEXT(Table1[[#This Row],[Date]],"[$-en-US]mmm yyyy")</f>
        <v>May 2024</v>
      </c>
      <c r="K417" s="13" t="str">
        <f>TEXT(Table1[[#This Row],[Date]],"[$-en-US]ddd")</f>
        <v>Wed</v>
      </c>
    </row>
    <row r="418" spans="1:11" x14ac:dyDescent="0.25">
      <c r="A418">
        <v>14</v>
      </c>
      <c r="B418" t="s">
        <v>9</v>
      </c>
      <c r="C418">
        <v>27.92</v>
      </c>
      <c r="D418" t="s">
        <v>22</v>
      </c>
      <c r="E418" t="s">
        <v>15</v>
      </c>
      <c r="F418" t="s">
        <v>30</v>
      </c>
      <c r="G418">
        <v>3</v>
      </c>
      <c r="H418">
        <v>5</v>
      </c>
      <c r="I418" s="13">
        <v>45427</v>
      </c>
      <c r="J418" s="13" t="str">
        <f>TEXT(Table1[[#This Row],[Date]],"[$-en-US]mmm yyyy")</f>
        <v>May 2024</v>
      </c>
      <c r="K418" s="13" t="str">
        <f>TEXT(Table1[[#This Row],[Date]],"[$-en-US]ddd")</f>
        <v>Wed</v>
      </c>
    </row>
    <row r="419" spans="1:11" x14ac:dyDescent="0.25">
      <c r="A419">
        <v>14</v>
      </c>
      <c r="B419" t="s">
        <v>9</v>
      </c>
      <c r="C419">
        <v>27.92</v>
      </c>
      <c r="D419" t="s">
        <v>22</v>
      </c>
      <c r="E419" t="s">
        <v>15</v>
      </c>
      <c r="F419" t="s">
        <v>30</v>
      </c>
      <c r="G419">
        <v>3</v>
      </c>
      <c r="H419">
        <v>5</v>
      </c>
      <c r="I419" s="13">
        <v>45427</v>
      </c>
      <c r="J419" s="13" t="str">
        <f>TEXT(Table1[[#This Row],[Date]],"[$-en-US]mmm yyyy")</f>
        <v>May 2024</v>
      </c>
      <c r="K419" s="13" t="str">
        <f>TEXT(Table1[[#This Row],[Date]],"[$-en-US]ddd")</f>
        <v>Wed</v>
      </c>
    </row>
    <row r="420" spans="1:11" x14ac:dyDescent="0.25">
      <c r="A420">
        <v>17</v>
      </c>
      <c r="B420" t="s">
        <v>9</v>
      </c>
      <c r="C420">
        <v>23.02</v>
      </c>
      <c r="D420" t="s">
        <v>24</v>
      </c>
      <c r="E420" t="s">
        <v>18</v>
      </c>
      <c r="F420" t="s">
        <v>30</v>
      </c>
      <c r="G420">
        <v>3</v>
      </c>
      <c r="H420">
        <v>5</v>
      </c>
      <c r="I420" s="13">
        <v>45427</v>
      </c>
      <c r="J420" s="13" t="str">
        <f>TEXT(Table1[[#This Row],[Date]],"[$-en-US]mmm yyyy")</f>
        <v>May 2024</v>
      </c>
      <c r="K420" s="13" t="str">
        <f>TEXT(Table1[[#This Row],[Date]],"[$-en-US]ddd")</f>
        <v>Wed</v>
      </c>
    </row>
    <row r="421" spans="1:11" x14ac:dyDescent="0.25">
      <c r="A421">
        <v>20</v>
      </c>
      <c r="B421" t="s">
        <v>9</v>
      </c>
      <c r="C421">
        <v>37.72</v>
      </c>
      <c r="D421" t="s">
        <v>27</v>
      </c>
      <c r="E421" t="s">
        <v>18</v>
      </c>
      <c r="F421" t="s">
        <v>30</v>
      </c>
      <c r="G421">
        <v>3</v>
      </c>
      <c r="H421">
        <v>5</v>
      </c>
      <c r="I421" s="13">
        <v>45427</v>
      </c>
      <c r="J421" s="13" t="str">
        <f>TEXT(Table1[[#This Row],[Date]],"[$-en-US]mmm yyyy")</f>
        <v>May 2024</v>
      </c>
      <c r="K421" s="13" t="str">
        <f>TEXT(Table1[[#This Row],[Date]],"[$-en-US]ddd")</f>
        <v>Wed</v>
      </c>
    </row>
    <row r="422" spans="1:11" x14ac:dyDescent="0.25">
      <c r="A422">
        <v>10</v>
      </c>
      <c r="B422" t="s">
        <v>9</v>
      </c>
      <c r="C422">
        <v>32.82</v>
      </c>
      <c r="D422" t="s">
        <v>17</v>
      </c>
      <c r="E422" t="s">
        <v>11</v>
      </c>
      <c r="F422" t="s">
        <v>30</v>
      </c>
      <c r="G422">
        <v>4</v>
      </c>
      <c r="H422">
        <v>5</v>
      </c>
      <c r="I422" s="13">
        <v>45428</v>
      </c>
      <c r="J422" s="13" t="str">
        <f>TEXT(Table1[[#This Row],[Date]],"[$-en-US]mmm yyyy")</f>
        <v>May 2024</v>
      </c>
      <c r="K422" s="13" t="str">
        <f>TEXT(Table1[[#This Row],[Date]],"[$-en-US]ddd")</f>
        <v>Thu</v>
      </c>
    </row>
    <row r="423" spans="1:11" x14ac:dyDescent="0.25">
      <c r="A423">
        <v>10</v>
      </c>
      <c r="B423" t="s">
        <v>9</v>
      </c>
      <c r="C423">
        <v>32.82</v>
      </c>
      <c r="D423" t="s">
        <v>17</v>
      </c>
      <c r="E423" t="s">
        <v>11</v>
      </c>
      <c r="F423" t="s">
        <v>30</v>
      </c>
      <c r="G423">
        <v>4</v>
      </c>
      <c r="H423">
        <v>5</v>
      </c>
      <c r="I423" s="13">
        <v>45428</v>
      </c>
      <c r="J423" s="13" t="str">
        <f>TEXT(Table1[[#This Row],[Date]],"[$-en-US]mmm yyyy")</f>
        <v>May 2024</v>
      </c>
      <c r="K423" s="13" t="str">
        <f>TEXT(Table1[[#This Row],[Date]],"[$-en-US]ddd")</f>
        <v>Thu</v>
      </c>
    </row>
    <row r="424" spans="1:11" x14ac:dyDescent="0.25">
      <c r="A424">
        <v>12</v>
      </c>
      <c r="B424" t="s">
        <v>9</v>
      </c>
      <c r="C424">
        <v>32.82</v>
      </c>
      <c r="D424" t="s">
        <v>17</v>
      </c>
      <c r="E424" t="s">
        <v>15</v>
      </c>
      <c r="F424" t="s">
        <v>30</v>
      </c>
      <c r="G424">
        <v>4</v>
      </c>
      <c r="H424">
        <v>5</v>
      </c>
      <c r="I424" s="13">
        <v>45428</v>
      </c>
      <c r="J424" s="13" t="str">
        <f>TEXT(Table1[[#This Row],[Date]],"[$-en-US]mmm yyyy")</f>
        <v>May 2024</v>
      </c>
      <c r="K424" s="13" t="str">
        <f>TEXT(Table1[[#This Row],[Date]],"[$-en-US]ddd")</f>
        <v>Thu</v>
      </c>
    </row>
    <row r="425" spans="1:11" x14ac:dyDescent="0.25">
      <c r="A425">
        <v>15</v>
      </c>
      <c r="B425" t="s">
        <v>9</v>
      </c>
      <c r="C425">
        <v>37.72</v>
      </c>
      <c r="D425" t="s">
        <v>14</v>
      </c>
      <c r="E425" t="s">
        <v>15</v>
      </c>
      <c r="F425" t="s">
        <v>30</v>
      </c>
      <c r="G425">
        <v>4</v>
      </c>
      <c r="H425">
        <v>5</v>
      </c>
      <c r="I425" s="13">
        <v>45428</v>
      </c>
      <c r="J425" s="13" t="str">
        <f>TEXT(Table1[[#This Row],[Date]],"[$-en-US]mmm yyyy")</f>
        <v>May 2024</v>
      </c>
      <c r="K425" s="13" t="str">
        <f>TEXT(Table1[[#This Row],[Date]],"[$-en-US]ddd")</f>
        <v>Thu</v>
      </c>
    </row>
    <row r="426" spans="1:11" x14ac:dyDescent="0.25">
      <c r="A426">
        <v>17</v>
      </c>
      <c r="B426" t="s">
        <v>9</v>
      </c>
      <c r="C426">
        <v>37.72</v>
      </c>
      <c r="D426" t="s">
        <v>10</v>
      </c>
      <c r="E426" t="s">
        <v>18</v>
      </c>
      <c r="F426" t="s">
        <v>30</v>
      </c>
      <c r="G426">
        <v>4</v>
      </c>
      <c r="H426">
        <v>5</v>
      </c>
      <c r="I426" s="13">
        <v>45428</v>
      </c>
      <c r="J426" s="13" t="str">
        <f>TEXT(Table1[[#This Row],[Date]],"[$-en-US]mmm yyyy")</f>
        <v>May 2024</v>
      </c>
      <c r="K426" s="13" t="str">
        <f>TEXT(Table1[[#This Row],[Date]],"[$-en-US]ddd")</f>
        <v>Thu</v>
      </c>
    </row>
    <row r="427" spans="1:11" x14ac:dyDescent="0.25">
      <c r="A427">
        <v>18</v>
      </c>
      <c r="B427" t="s">
        <v>9</v>
      </c>
      <c r="C427">
        <v>37.72</v>
      </c>
      <c r="D427" t="s">
        <v>14</v>
      </c>
      <c r="E427" t="s">
        <v>18</v>
      </c>
      <c r="F427" t="s">
        <v>30</v>
      </c>
      <c r="G427">
        <v>4</v>
      </c>
      <c r="H427">
        <v>5</v>
      </c>
      <c r="I427" s="13">
        <v>45428</v>
      </c>
      <c r="J427" s="13" t="str">
        <f>TEXT(Table1[[#This Row],[Date]],"[$-en-US]mmm yyyy")</f>
        <v>May 2024</v>
      </c>
      <c r="K427" s="13" t="str">
        <f>TEXT(Table1[[#This Row],[Date]],"[$-en-US]ddd")</f>
        <v>Thu</v>
      </c>
    </row>
    <row r="428" spans="1:11" x14ac:dyDescent="0.25">
      <c r="A428">
        <v>18</v>
      </c>
      <c r="B428" t="s">
        <v>9</v>
      </c>
      <c r="C428">
        <v>37.72</v>
      </c>
      <c r="D428" t="s">
        <v>10</v>
      </c>
      <c r="E428" t="s">
        <v>18</v>
      </c>
      <c r="F428" t="s">
        <v>30</v>
      </c>
      <c r="G428">
        <v>4</v>
      </c>
      <c r="H428">
        <v>5</v>
      </c>
      <c r="I428" s="13">
        <v>45428</v>
      </c>
      <c r="J428" s="13" t="str">
        <f>TEXT(Table1[[#This Row],[Date]],"[$-en-US]mmm yyyy")</f>
        <v>May 2024</v>
      </c>
      <c r="K428" s="13" t="str">
        <f>TEXT(Table1[[#This Row],[Date]],"[$-en-US]ddd")</f>
        <v>Thu</v>
      </c>
    </row>
    <row r="429" spans="1:11" x14ac:dyDescent="0.25">
      <c r="A429">
        <v>9</v>
      </c>
      <c r="B429" t="s">
        <v>9</v>
      </c>
      <c r="C429">
        <v>27.92</v>
      </c>
      <c r="D429" t="s">
        <v>16</v>
      </c>
      <c r="E429" t="s">
        <v>11</v>
      </c>
      <c r="F429" t="s">
        <v>30</v>
      </c>
      <c r="G429">
        <v>5</v>
      </c>
      <c r="H429">
        <v>5</v>
      </c>
      <c r="I429" s="13">
        <v>45429</v>
      </c>
      <c r="J429" s="13" t="str">
        <f>TEXT(Table1[[#This Row],[Date]],"[$-en-US]mmm yyyy")</f>
        <v>May 2024</v>
      </c>
      <c r="K429" s="13" t="str">
        <f>TEXT(Table1[[#This Row],[Date]],"[$-en-US]ddd")</f>
        <v>Fri</v>
      </c>
    </row>
    <row r="430" spans="1:11" x14ac:dyDescent="0.25">
      <c r="A430">
        <v>11</v>
      </c>
      <c r="B430" t="s">
        <v>9</v>
      </c>
      <c r="C430">
        <v>32.82</v>
      </c>
      <c r="D430" t="s">
        <v>17</v>
      </c>
      <c r="E430" t="s">
        <v>11</v>
      </c>
      <c r="F430" t="s">
        <v>30</v>
      </c>
      <c r="G430">
        <v>5</v>
      </c>
      <c r="H430">
        <v>5</v>
      </c>
      <c r="I430" s="13">
        <v>45429</v>
      </c>
      <c r="J430" s="13" t="str">
        <f>TEXT(Table1[[#This Row],[Date]],"[$-en-US]mmm yyyy")</f>
        <v>May 2024</v>
      </c>
      <c r="K430" s="13" t="str">
        <f>TEXT(Table1[[#This Row],[Date]],"[$-en-US]ddd")</f>
        <v>Fri</v>
      </c>
    </row>
    <row r="431" spans="1:11" x14ac:dyDescent="0.25">
      <c r="A431">
        <v>19</v>
      </c>
      <c r="B431" t="s">
        <v>9</v>
      </c>
      <c r="C431">
        <v>32.82</v>
      </c>
      <c r="D431" t="s">
        <v>17</v>
      </c>
      <c r="E431" t="s">
        <v>18</v>
      </c>
      <c r="F431" t="s">
        <v>30</v>
      </c>
      <c r="G431">
        <v>5</v>
      </c>
      <c r="H431">
        <v>5</v>
      </c>
      <c r="I431" s="13">
        <v>45429</v>
      </c>
      <c r="J431" s="13" t="str">
        <f>TEXT(Table1[[#This Row],[Date]],"[$-en-US]mmm yyyy")</f>
        <v>May 2024</v>
      </c>
      <c r="K431" s="13" t="str">
        <f>TEXT(Table1[[#This Row],[Date]],"[$-en-US]ddd")</f>
        <v>Fri</v>
      </c>
    </row>
    <row r="432" spans="1:11" x14ac:dyDescent="0.25">
      <c r="A432">
        <v>19</v>
      </c>
      <c r="B432" t="s">
        <v>9</v>
      </c>
      <c r="C432">
        <v>37.72</v>
      </c>
      <c r="D432" t="s">
        <v>27</v>
      </c>
      <c r="E432" t="s">
        <v>18</v>
      </c>
      <c r="F432" t="s">
        <v>30</v>
      </c>
      <c r="G432">
        <v>5</v>
      </c>
      <c r="H432">
        <v>5</v>
      </c>
      <c r="I432" s="13">
        <v>45429</v>
      </c>
      <c r="J432" s="13" t="str">
        <f>TEXT(Table1[[#This Row],[Date]],"[$-en-US]mmm yyyy")</f>
        <v>May 2024</v>
      </c>
      <c r="K432" s="13" t="str">
        <f>TEXT(Table1[[#This Row],[Date]],"[$-en-US]ddd")</f>
        <v>Fri</v>
      </c>
    </row>
    <row r="433" spans="1:11" x14ac:dyDescent="0.25">
      <c r="A433">
        <v>20</v>
      </c>
      <c r="B433" t="s">
        <v>9</v>
      </c>
      <c r="C433">
        <v>37.72</v>
      </c>
      <c r="D433" t="s">
        <v>27</v>
      </c>
      <c r="E433" t="s">
        <v>18</v>
      </c>
      <c r="F433" t="s">
        <v>30</v>
      </c>
      <c r="G433">
        <v>5</v>
      </c>
      <c r="H433">
        <v>5</v>
      </c>
      <c r="I433" s="13">
        <v>45429</v>
      </c>
      <c r="J433" s="13" t="str">
        <f>TEXT(Table1[[#This Row],[Date]],"[$-en-US]mmm yyyy")</f>
        <v>May 2024</v>
      </c>
      <c r="K433" s="13" t="str">
        <f>TEXT(Table1[[#This Row],[Date]],"[$-en-US]ddd")</f>
        <v>Fri</v>
      </c>
    </row>
    <row r="434" spans="1:11" x14ac:dyDescent="0.25">
      <c r="A434">
        <v>22</v>
      </c>
      <c r="B434" t="s">
        <v>9</v>
      </c>
      <c r="C434">
        <v>27.92</v>
      </c>
      <c r="D434" t="s">
        <v>16</v>
      </c>
      <c r="E434" t="s">
        <v>18</v>
      </c>
      <c r="F434" t="s">
        <v>30</v>
      </c>
      <c r="G434">
        <v>5</v>
      </c>
      <c r="H434">
        <v>5</v>
      </c>
      <c r="I434" s="13">
        <v>45429</v>
      </c>
      <c r="J434" s="13" t="str">
        <f>TEXT(Table1[[#This Row],[Date]],"[$-en-US]mmm yyyy")</f>
        <v>May 2024</v>
      </c>
      <c r="K434" s="13" t="str">
        <f>TEXT(Table1[[#This Row],[Date]],"[$-en-US]ddd")</f>
        <v>Fri</v>
      </c>
    </row>
    <row r="435" spans="1:11" x14ac:dyDescent="0.25">
      <c r="A435">
        <v>22</v>
      </c>
      <c r="B435" t="s">
        <v>9</v>
      </c>
      <c r="C435">
        <v>37.72</v>
      </c>
      <c r="D435" t="s">
        <v>10</v>
      </c>
      <c r="E435" t="s">
        <v>18</v>
      </c>
      <c r="F435" t="s">
        <v>30</v>
      </c>
      <c r="G435">
        <v>5</v>
      </c>
      <c r="H435">
        <v>5</v>
      </c>
      <c r="I435" s="13">
        <v>45429</v>
      </c>
      <c r="J435" s="13" t="str">
        <f>TEXT(Table1[[#This Row],[Date]],"[$-en-US]mmm yyyy")</f>
        <v>May 2024</v>
      </c>
      <c r="K435" s="13" t="str">
        <f>TEXT(Table1[[#This Row],[Date]],"[$-en-US]ddd")</f>
        <v>Fri</v>
      </c>
    </row>
    <row r="436" spans="1:11" x14ac:dyDescent="0.25">
      <c r="A436">
        <v>22</v>
      </c>
      <c r="B436" t="s">
        <v>9</v>
      </c>
      <c r="C436">
        <v>37.72</v>
      </c>
      <c r="D436" t="s">
        <v>10</v>
      </c>
      <c r="E436" t="s">
        <v>18</v>
      </c>
      <c r="F436" t="s">
        <v>30</v>
      </c>
      <c r="G436">
        <v>5</v>
      </c>
      <c r="H436">
        <v>5</v>
      </c>
      <c r="I436" s="13">
        <v>45429</v>
      </c>
      <c r="J436" s="13" t="str">
        <f>TEXT(Table1[[#This Row],[Date]],"[$-en-US]mmm yyyy")</f>
        <v>May 2024</v>
      </c>
      <c r="K436" s="13" t="str">
        <f>TEXT(Table1[[#This Row],[Date]],"[$-en-US]ddd")</f>
        <v>Fri</v>
      </c>
    </row>
    <row r="437" spans="1:11" x14ac:dyDescent="0.25">
      <c r="A437">
        <v>8</v>
      </c>
      <c r="B437" t="s">
        <v>9</v>
      </c>
      <c r="C437">
        <v>37.72</v>
      </c>
      <c r="D437" t="s">
        <v>27</v>
      </c>
      <c r="E437" t="s">
        <v>11</v>
      </c>
      <c r="F437" t="s">
        <v>30</v>
      </c>
      <c r="G437">
        <v>6</v>
      </c>
      <c r="H437">
        <v>5</v>
      </c>
      <c r="I437" s="13">
        <v>45430</v>
      </c>
      <c r="J437" s="13" t="str">
        <f>TEXT(Table1[[#This Row],[Date]],"[$-en-US]mmm yyyy")</f>
        <v>May 2024</v>
      </c>
      <c r="K437" s="13" t="str">
        <f>TEXT(Table1[[#This Row],[Date]],"[$-en-US]ddd")</f>
        <v>Sat</v>
      </c>
    </row>
    <row r="438" spans="1:11" x14ac:dyDescent="0.25">
      <c r="A438">
        <v>8</v>
      </c>
      <c r="B438" t="s">
        <v>9</v>
      </c>
      <c r="C438">
        <v>37.72</v>
      </c>
      <c r="D438" t="s">
        <v>27</v>
      </c>
      <c r="E438" t="s">
        <v>11</v>
      </c>
      <c r="F438" t="s">
        <v>30</v>
      </c>
      <c r="G438">
        <v>6</v>
      </c>
      <c r="H438">
        <v>5</v>
      </c>
      <c r="I438" s="13">
        <v>45430</v>
      </c>
      <c r="J438" s="13" t="str">
        <f>TEXT(Table1[[#This Row],[Date]],"[$-en-US]mmm yyyy")</f>
        <v>May 2024</v>
      </c>
      <c r="K438" s="13" t="str">
        <f>TEXT(Table1[[#This Row],[Date]],"[$-en-US]ddd")</f>
        <v>Sat</v>
      </c>
    </row>
    <row r="439" spans="1:11" x14ac:dyDescent="0.25">
      <c r="A439">
        <v>11</v>
      </c>
      <c r="B439" t="s">
        <v>9</v>
      </c>
      <c r="C439">
        <v>32.82</v>
      </c>
      <c r="D439" t="s">
        <v>17</v>
      </c>
      <c r="E439" t="s">
        <v>11</v>
      </c>
      <c r="F439" t="s">
        <v>30</v>
      </c>
      <c r="G439">
        <v>6</v>
      </c>
      <c r="H439">
        <v>5</v>
      </c>
      <c r="I439" s="13">
        <v>45430</v>
      </c>
      <c r="J439" s="13" t="str">
        <f>TEXT(Table1[[#This Row],[Date]],"[$-en-US]mmm yyyy")</f>
        <v>May 2024</v>
      </c>
      <c r="K439" s="13" t="str">
        <f>TEXT(Table1[[#This Row],[Date]],"[$-en-US]ddd")</f>
        <v>Sat</v>
      </c>
    </row>
    <row r="440" spans="1:11" x14ac:dyDescent="0.25">
      <c r="A440">
        <v>16</v>
      </c>
      <c r="B440" t="s">
        <v>9</v>
      </c>
      <c r="C440">
        <v>32.82</v>
      </c>
      <c r="D440" t="s">
        <v>17</v>
      </c>
      <c r="E440" t="s">
        <v>15</v>
      </c>
      <c r="F440" t="s">
        <v>30</v>
      </c>
      <c r="G440">
        <v>6</v>
      </c>
      <c r="H440">
        <v>5</v>
      </c>
      <c r="I440" s="13">
        <v>45430</v>
      </c>
      <c r="J440" s="13" t="str">
        <f>TEXT(Table1[[#This Row],[Date]],"[$-en-US]mmm yyyy")</f>
        <v>May 2024</v>
      </c>
      <c r="K440" s="13" t="str">
        <f>TEXT(Table1[[#This Row],[Date]],"[$-en-US]ddd")</f>
        <v>Sat</v>
      </c>
    </row>
    <row r="441" spans="1:11" x14ac:dyDescent="0.25">
      <c r="A441">
        <v>16</v>
      </c>
      <c r="B441" t="s">
        <v>9</v>
      </c>
      <c r="C441">
        <v>32.82</v>
      </c>
      <c r="D441" t="s">
        <v>17</v>
      </c>
      <c r="E441" t="s">
        <v>15</v>
      </c>
      <c r="F441" t="s">
        <v>30</v>
      </c>
      <c r="G441">
        <v>6</v>
      </c>
      <c r="H441">
        <v>5</v>
      </c>
      <c r="I441" s="13">
        <v>45430</v>
      </c>
      <c r="J441" s="13" t="str">
        <f>TEXT(Table1[[#This Row],[Date]],"[$-en-US]mmm yyyy")</f>
        <v>May 2024</v>
      </c>
      <c r="K441" s="13" t="str">
        <f>TEXT(Table1[[#This Row],[Date]],"[$-en-US]ddd")</f>
        <v>Sat</v>
      </c>
    </row>
    <row r="442" spans="1:11" x14ac:dyDescent="0.25">
      <c r="A442">
        <v>19</v>
      </c>
      <c r="B442" t="s">
        <v>9</v>
      </c>
      <c r="C442">
        <v>32.82</v>
      </c>
      <c r="D442" t="s">
        <v>17</v>
      </c>
      <c r="E442" t="s">
        <v>18</v>
      </c>
      <c r="F442" t="s">
        <v>30</v>
      </c>
      <c r="G442">
        <v>6</v>
      </c>
      <c r="H442">
        <v>5</v>
      </c>
      <c r="I442" s="13">
        <v>45430</v>
      </c>
      <c r="J442" s="13" t="str">
        <f>TEXT(Table1[[#This Row],[Date]],"[$-en-US]mmm yyyy")</f>
        <v>May 2024</v>
      </c>
      <c r="K442" s="13" t="str">
        <f>TEXT(Table1[[#This Row],[Date]],"[$-en-US]ddd")</f>
        <v>Sat</v>
      </c>
    </row>
    <row r="443" spans="1:11" x14ac:dyDescent="0.25">
      <c r="A443">
        <v>20</v>
      </c>
      <c r="B443" t="s">
        <v>9</v>
      </c>
      <c r="C443">
        <v>37.72</v>
      </c>
      <c r="D443" t="s">
        <v>10</v>
      </c>
      <c r="E443" t="s">
        <v>18</v>
      </c>
      <c r="F443" t="s">
        <v>30</v>
      </c>
      <c r="G443">
        <v>6</v>
      </c>
      <c r="H443">
        <v>5</v>
      </c>
      <c r="I443" s="13">
        <v>45430</v>
      </c>
      <c r="J443" s="13" t="str">
        <f>TEXT(Table1[[#This Row],[Date]],"[$-en-US]mmm yyyy")</f>
        <v>May 2024</v>
      </c>
      <c r="K443" s="13" t="str">
        <f>TEXT(Table1[[#This Row],[Date]],"[$-en-US]ddd")</f>
        <v>Sat</v>
      </c>
    </row>
    <row r="444" spans="1:11" x14ac:dyDescent="0.25">
      <c r="A444">
        <v>7</v>
      </c>
      <c r="B444" t="s">
        <v>9</v>
      </c>
      <c r="C444">
        <v>27.92</v>
      </c>
      <c r="D444" t="s">
        <v>16</v>
      </c>
      <c r="E444" t="s">
        <v>11</v>
      </c>
      <c r="F444" t="s">
        <v>30</v>
      </c>
      <c r="G444">
        <v>7</v>
      </c>
      <c r="H444">
        <v>5</v>
      </c>
      <c r="I444" s="13">
        <v>45431</v>
      </c>
      <c r="J444" s="13" t="str">
        <f>TEXT(Table1[[#This Row],[Date]],"[$-en-US]mmm yyyy")</f>
        <v>May 2024</v>
      </c>
      <c r="K444" s="13" t="str">
        <f>TEXT(Table1[[#This Row],[Date]],"[$-en-US]ddd")</f>
        <v>Sun</v>
      </c>
    </row>
    <row r="445" spans="1:11" x14ac:dyDescent="0.25">
      <c r="A445">
        <v>7</v>
      </c>
      <c r="B445" t="s">
        <v>9</v>
      </c>
      <c r="C445">
        <v>27.92</v>
      </c>
      <c r="D445" t="s">
        <v>16</v>
      </c>
      <c r="E445" t="s">
        <v>11</v>
      </c>
      <c r="F445" t="s">
        <v>30</v>
      </c>
      <c r="G445">
        <v>7</v>
      </c>
      <c r="H445">
        <v>5</v>
      </c>
      <c r="I445" s="13">
        <v>45431</v>
      </c>
      <c r="J445" s="13" t="str">
        <f>TEXT(Table1[[#This Row],[Date]],"[$-en-US]mmm yyyy")</f>
        <v>May 2024</v>
      </c>
      <c r="K445" s="13" t="str">
        <f>TEXT(Table1[[#This Row],[Date]],"[$-en-US]ddd")</f>
        <v>Sun</v>
      </c>
    </row>
    <row r="446" spans="1:11" x14ac:dyDescent="0.25">
      <c r="A446">
        <v>8</v>
      </c>
      <c r="B446" t="s">
        <v>9</v>
      </c>
      <c r="C446">
        <v>37.72</v>
      </c>
      <c r="D446" t="s">
        <v>27</v>
      </c>
      <c r="E446" t="s">
        <v>11</v>
      </c>
      <c r="F446" t="s">
        <v>30</v>
      </c>
      <c r="G446">
        <v>7</v>
      </c>
      <c r="H446">
        <v>5</v>
      </c>
      <c r="I446" s="13">
        <v>45431</v>
      </c>
      <c r="J446" s="13" t="str">
        <f>TEXT(Table1[[#This Row],[Date]],"[$-en-US]mmm yyyy")</f>
        <v>May 2024</v>
      </c>
      <c r="K446" s="13" t="str">
        <f>TEXT(Table1[[#This Row],[Date]],"[$-en-US]ddd")</f>
        <v>Sun</v>
      </c>
    </row>
    <row r="447" spans="1:11" x14ac:dyDescent="0.25">
      <c r="A447">
        <v>12</v>
      </c>
      <c r="B447" t="s">
        <v>9</v>
      </c>
      <c r="C447">
        <v>32.82</v>
      </c>
      <c r="D447" t="s">
        <v>17</v>
      </c>
      <c r="E447" t="s">
        <v>15</v>
      </c>
      <c r="F447" t="s">
        <v>30</v>
      </c>
      <c r="G447">
        <v>7</v>
      </c>
      <c r="H447">
        <v>5</v>
      </c>
      <c r="I447" s="13">
        <v>45431</v>
      </c>
      <c r="J447" s="13" t="str">
        <f>TEXT(Table1[[#This Row],[Date]],"[$-en-US]mmm yyyy")</f>
        <v>May 2024</v>
      </c>
      <c r="K447" s="13" t="str">
        <f>TEXT(Table1[[#This Row],[Date]],"[$-en-US]ddd")</f>
        <v>Sun</v>
      </c>
    </row>
    <row r="448" spans="1:11" x14ac:dyDescent="0.25">
      <c r="A448">
        <v>14</v>
      </c>
      <c r="B448" t="s">
        <v>9</v>
      </c>
      <c r="C448">
        <v>27.92</v>
      </c>
      <c r="D448" t="s">
        <v>16</v>
      </c>
      <c r="E448" t="s">
        <v>15</v>
      </c>
      <c r="F448" t="s">
        <v>30</v>
      </c>
      <c r="G448">
        <v>7</v>
      </c>
      <c r="H448">
        <v>5</v>
      </c>
      <c r="I448" s="13">
        <v>45431</v>
      </c>
      <c r="J448" s="13" t="str">
        <f>TEXT(Table1[[#This Row],[Date]],"[$-en-US]mmm yyyy")</f>
        <v>May 2024</v>
      </c>
      <c r="K448" s="13" t="str">
        <f>TEXT(Table1[[#This Row],[Date]],"[$-en-US]ddd")</f>
        <v>Sun</v>
      </c>
    </row>
    <row r="449" spans="1:11" x14ac:dyDescent="0.25">
      <c r="A449">
        <v>15</v>
      </c>
      <c r="B449" t="s">
        <v>9</v>
      </c>
      <c r="C449">
        <v>32.82</v>
      </c>
      <c r="D449" t="s">
        <v>17</v>
      </c>
      <c r="E449" t="s">
        <v>15</v>
      </c>
      <c r="F449" t="s">
        <v>30</v>
      </c>
      <c r="G449">
        <v>7</v>
      </c>
      <c r="H449">
        <v>5</v>
      </c>
      <c r="I449" s="13">
        <v>45431</v>
      </c>
      <c r="J449" s="13" t="str">
        <f>TEXT(Table1[[#This Row],[Date]],"[$-en-US]mmm yyyy")</f>
        <v>May 2024</v>
      </c>
      <c r="K449" s="13" t="str">
        <f>TEXT(Table1[[#This Row],[Date]],"[$-en-US]ddd")</f>
        <v>Sun</v>
      </c>
    </row>
    <row r="450" spans="1:11" x14ac:dyDescent="0.25">
      <c r="A450">
        <v>18</v>
      </c>
      <c r="B450" t="s">
        <v>9</v>
      </c>
      <c r="C450">
        <v>32.82</v>
      </c>
      <c r="D450" t="s">
        <v>17</v>
      </c>
      <c r="E450" t="s">
        <v>18</v>
      </c>
      <c r="F450" t="s">
        <v>30</v>
      </c>
      <c r="G450">
        <v>7</v>
      </c>
      <c r="H450">
        <v>5</v>
      </c>
      <c r="I450" s="13">
        <v>45431</v>
      </c>
      <c r="J450" s="13" t="str">
        <f>TEXT(Table1[[#This Row],[Date]],"[$-en-US]mmm yyyy")</f>
        <v>May 2024</v>
      </c>
      <c r="K450" s="13" t="str">
        <f>TEXT(Table1[[#This Row],[Date]],"[$-en-US]ddd")</f>
        <v>Sun</v>
      </c>
    </row>
    <row r="451" spans="1:11" x14ac:dyDescent="0.25">
      <c r="A451">
        <v>18</v>
      </c>
      <c r="B451" t="s">
        <v>9</v>
      </c>
      <c r="C451">
        <v>23.02</v>
      </c>
      <c r="D451" t="s">
        <v>24</v>
      </c>
      <c r="E451" t="s">
        <v>18</v>
      </c>
      <c r="F451" t="s">
        <v>30</v>
      </c>
      <c r="G451">
        <v>7</v>
      </c>
      <c r="H451">
        <v>5</v>
      </c>
      <c r="I451" s="13">
        <v>45431</v>
      </c>
      <c r="J451" s="13" t="str">
        <f>TEXT(Table1[[#This Row],[Date]],"[$-en-US]mmm yyyy")</f>
        <v>May 2024</v>
      </c>
      <c r="K451" s="13" t="str">
        <f>TEXT(Table1[[#This Row],[Date]],"[$-en-US]ddd")</f>
        <v>Sun</v>
      </c>
    </row>
    <row r="452" spans="1:11" x14ac:dyDescent="0.25">
      <c r="A452">
        <v>18</v>
      </c>
      <c r="B452" t="s">
        <v>9</v>
      </c>
      <c r="C452">
        <v>37.72</v>
      </c>
      <c r="D452" t="s">
        <v>14</v>
      </c>
      <c r="E452" t="s">
        <v>18</v>
      </c>
      <c r="F452" t="s">
        <v>30</v>
      </c>
      <c r="G452">
        <v>7</v>
      </c>
      <c r="H452">
        <v>5</v>
      </c>
      <c r="I452" s="13">
        <v>45431</v>
      </c>
      <c r="J452" s="13" t="str">
        <f>TEXT(Table1[[#This Row],[Date]],"[$-en-US]mmm yyyy")</f>
        <v>May 2024</v>
      </c>
      <c r="K452" s="13" t="str">
        <f>TEXT(Table1[[#This Row],[Date]],"[$-en-US]ddd")</f>
        <v>Sun</v>
      </c>
    </row>
    <row r="453" spans="1:11" x14ac:dyDescent="0.25">
      <c r="A453">
        <v>19</v>
      </c>
      <c r="B453" t="s">
        <v>9</v>
      </c>
      <c r="C453">
        <v>37.72</v>
      </c>
      <c r="D453" t="s">
        <v>27</v>
      </c>
      <c r="E453" t="s">
        <v>18</v>
      </c>
      <c r="F453" t="s">
        <v>30</v>
      </c>
      <c r="G453">
        <v>7</v>
      </c>
      <c r="H453">
        <v>5</v>
      </c>
      <c r="I453" s="13">
        <v>45431</v>
      </c>
      <c r="J453" s="13" t="str">
        <f>TEXT(Table1[[#This Row],[Date]],"[$-en-US]mmm yyyy")</f>
        <v>May 2024</v>
      </c>
      <c r="K453" s="13" t="str">
        <f>TEXT(Table1[[#This Row],[Date]],"[$-en-US]ddd")</f>
        <v>Sun</v>
      </c>
    </row>
    <row r="454" spans="1:11" x14ac:dyDescent="0.25">
      <c r="A454">
        <v>21</v>
      </c>
      <c r="B454" t="s">
        <v>9</v>
      </c>
      <c r="C454">
        <v>37.72</v>
      </c>
      <c r="D454" t="s">
        <v>27</v>
      </c>
      <c r="E454" t="s">
        <v>18</v>
      </c>
      <c r="F454" t="s">
        <v>30</v>
      </c>
      <c r="G454">
        <v>7</v>
      </c>
      <c r="H454">
        <v>5</v>
      </c>
      <c r="I454" s="13">
        <v>45431</v>
      </c>
      <c r="J454" s="13" t="str">
        <f>TEXT(Table1[[#This Row],[Date]],"[$-en-US]mmm yyyy")</f>
        <v>May 2024</v>
      </c>
      <c r="K454" s="13" t="str">
        <f>TEXT(Table1[[#This Row],[Date]],"[$-en-US]ddd")</f>
        <v>Sun</v>
      </c>
    </row>
    <row r="455" spans="1:11" x14ac:dyDescent="0.25">
      <c r="A455">
        <v>21</v>
      </c>
      <c r="B455" t="s">
        <v>9</v>
      </c>
      <c r="C455">
        <v>37.72</v>
      </c>
      <c r="D455" t="s">
        <v>27</v>
      </c>
      <c r="E455" t="s">
        <v>18</v>
      </c>
      <c r="F455" t="s">
        <v>30</v>
      </c>
      <c r="G455">
        <v>7</v>
      </c>
      <c r="H455">
        <v>5</v>
      </c>
      <c r="I455" s="13">
        <v>45431</v>
      </c>
      <c r="J455" s="13" t="str">
        <f>TEXT(Table1[[#This Row],[Date]],"[$-en-US]mmm yyyy")</f>
        <v>May 2024</v>
      </c>
      <c r="K455" s="13" t="str">
        <f>TEXT(Table1[[#This Row],[Date]],"[$-en-US]ddd")</f>
        <v>Sun</v>
      </c>
    </row>
    <row r="456" spans="1:11" x14ac:dyDescent="0.25">
      <c r="A456">
        <v>10</v>
      </c>
      <c r="B456" t="s">
        <v>9</v>
      </c>
      <c r="C456">
        <v>32.82</v>
      </c>
      <c r="D456" t="s">
        <v>17</v>
      </c>
      <c r="E456" t="s">
        <v>11</v>
      </c>
      <c r="F456" t="s">
        <v>30</v>
      </c>
      <c r="G456">
        <v>1</v>
      </c>
      <c r="H456">
        <v>5</v>
      </c>
      <c r="I456" s="13">
        <v>45432</v>
      </c>
      <c r="J456" s="13" t="str">
        <f>TEXT(Table1[[#This Row],[Date]],"[$-en-US]mmm yyyy")</f>
        <v>May 2024</v>
      </c>
      <c r="K456" s="13" t="str">
        <f>TEXT(Table1[[#This Row],[Date]],"[$-en-US]ddd")</f>
        <v>Mon</v>
      </c>
    </row>
    <row r="457" spans="1:11" x14ac:dyDescent="0.25">
      <c r="A457">
        <v>10</v>
      </c>
      <c r="B457" t="s">
        <v>9</v>
      </c>
      <c r="C457">
        <v>37.72</v>
      </c>
      <c r="D457" t="s">
        <v>10</v>
      </c>
      <c r="E457" t="s">
        <v>11</v>
      </c>
      <c r="F457" t="s">
        <v>30</v>
      </c>
      <c r="G457">
        <v>1</v>
      </c>
      <c r="H457">
        <v>5</v>
      </c>
      <c r="I457" s="13">
        <v>45432</v>
      </c>
      <c r="J457" s="13" t="str">
        <f>TEXT(Table1[[#This Row],[Date]],"[$-en-US]mmm yyyy")</f>
        <v>May 2024</v>
      </c>
      <c r="K457" s="13" t="str">
        <f>TEXT(Table1[[#This Row],[Date]],"[$-en-US]ddd")</f>
        <v>Mon</v>
      </c>
    </row>
    <row r="458" spans="1:11" x14ac:dyDescent="0.25">
      <c r="A458">
        <v>10</v>
      </c>
      <c r="B458" t="s">
        <v>9</v>
      </c>
      <c r="C458">
        <v>37.72</v>
      </c>
      <c r="D458" t="s">
        <v>10</v>
      </c>
      <c r="E458" t="s">
        <v>11</v>
      </c>
      <c r="F458" t="s">
        <v>30</v>
      </c>
      <c r="G458">
        <v>1</v>
      </c>
      <c r="H458">
        <v>5</v>
      </c>
      <c r="I458" s="13">
        <v>45432</v>
      </c>
      <c r="J458" s="13" t="str">
        <f>TEXT(Table1[[#This Row],[Date]],"[$-en-US]mmm yyyy")</f>
        <v>May 2024</v>
      </c>
      <c r="K458" s="13" t="str">
        <f>TEXT(Table1[[#This Row],[Date]],"[$-en-US]ddd")</f>
        <v>Mon</v>
      </c>
    </row>
    <row r="459" spans="1:11" x14ac:dyDescent="0.25">
      <c r="A459">
        <v>11</v>
      </c>
      <c r="B459" t="s">
        <v>9</v>
      </c>
      <c r="C459">
        <v>27.92</v>
      </c>
      <c r="D459" t="s">
        <v>16</v>
      </c>
      <c r="E459" t="s">
        <v>11</v>
      </c>
      <c r="F459" t="s">
        <v>30</v>
      </c>
      <c r="G459">
        <v>1</v>
      </c>
      <c r="H459">
        <v>5</v>
      </c>
      <c r="I459" s="13">
        <v>45432</v>
      </c>
      <c r="J459" s="13" t="str">
        <f>TEXT(Table1[[#This Row],[Date]],"[$-en-US]mmm yyyy")</f>
        <v>May 2024</v>
      </c>
      <c r="K459" s="13" t="str">
        <f>TEXT(Table1[[#This Row],[Date]],"[$-en-US]ddd")</f>
        <v>Mon</v>
      </c>
    </row>
    <row r="460" spans="1:11" x14ac:dyDescent="0.25">
      <c r="A460">
        <v>11</v>
      </c>
      <c r="B460" t="s">
        <v>9</v>
      </c>
      <c r="C460">
        <v>27.92</v>
      </c>
      <c r="D460" t="s">
        <v>16</v>
      </c>
      <c r="E460" t="s">
        <v>11</v>
      </c>
      <c r="F460" t="s">
        <v>30</v>
      </c>
      <c r="G460">
        <v>1</v>
      </c>
      <c r="H460">
        <v>5</v>
      </c>
      <c r="I460" s="13">
        <v>45432</v>
      </c>
      <c r="J460" s="13" t="str">
        <f>TEXT(Table1[[#This Row],[Date]],"[$-en-US]mmm yyyy")</f>
        <v>May 2024</v>
      </c>
      <c r="K460" s="13" t="str">
        <f>TEXT(Table1[[#This Row],[Date]],"[$-en-US]ddd")</f>
        <v>Mon</v>
      </c>
    </row>
    <row r="461" spans="1:11" x14ac:dyDescent="0.25">
      <c r="A461">
        <v>13</v>
      </c>
      <c r="B461" t="s">
        <v>9</v>
      </c>
      <c r="C461">
        <v>27.92</v>
      </c>
      <c r="D461" t="s">
        <v>16</v>
      </c>
      <c r="E461" t="s">
        <v>15</v>
      </c>
      <c r="F461" t="s">
        <v>30</v>
      </c>
      <c r="G461">
        <v>1</v>
      </c>
      <c r="H461">
        <v>5</v>
      </c>
      <c r="I461" s="13">
        <v>45432</v>
      </c>
      <c r="J461" s="13" t="str">
        <f>TEXT(Table1[[#This Row],[Date]],"[$-en-US]mmm yyyy")</f>
        <v>May 2024</v>
      </c>
      <c r="K461" s="13" t="str">
        <f>TEXT(Table1[[#This Row],[Date]],"[$-en-US]ddd")</f>
        <v>Mon</v>
      </c>
    </row>
    <row r="462" spans="1:11" x14ac:dyDescent="0.25">
      <c r="A462">
        <v>13</v>
      </c>
      <c r="B462" t="s">
        <v>9</v>
      </c>
      <c r="C462">
        <v>27.92</v>
      </c>
      <c r="D462" t="s">
        <v>16</v>
      </c>
      <c r="E462" t="s">
        <v>15</v>
      </c>
      <c r="F462" t="s">
        <v>30</v>
      </c>
      <c r="G462">
        <v>1</v>
      </c>
      <c r="H462">
        <v>5</v>
      </c>
      <c r="I462" s="13">
        <v>45432</v>
      </c>
      <c r="J462" s="13" t="str">
        <f>TEXT(Table1[[#This Row],[Date]],"[$-en-US]mmm yyyy")</f>
        <v>May 2024</v>
      </c>
      <c r="K462" s="13" t="str">
        <f>TEXT(Table1[[#This Row],[Date]],"[$-en-US]ddd")</f>
        <v>Mon</v>
      </c>
    </row>
    <row r="463" spans="1:11" x14ac:dyDescent="0.25">
      <c r="A463">
        <v>14</v>
      </c>
      <c r="B463" t="s">
        <v>9</v>
      </c>
      <c r="C463">
        <v>32.82</v>
      </c>
      <c r="D463" t="s">
        <v>17</v>
      </c>
      <c r="E463" t="s">
        <v>15</v>
      </c>
      <c r="F463" t="s">
        <v>30</v>
      </c>
      <c r="G463">
        <v>1</v>
      </c>
      <c r="H463">
        <v>5</v>
      </c>
      <c r="I463" s="13">
        <v>45432</v>
      </c>
      <c r="J463" s="13" t="str">
        <f>TEXT(Table1[[#This Row],[Date]],"[$-en-US]mmm yyyy")</f>
        <v>May 2024</v>
      </c>
      <c r="K463" s="13" t="str">
        <f>TEXT(Table1[[#This Row],[Date]],"[$-en-US]ddd")</f>
        <v>Mon</v>
      </c>
    </row>
    <row r="464" spans="1:11" x14ac:dyDescent="0.25">
      <c r="A464">
        <v>14</v>
      </c>
      <c r="B464" t="s">
        <v>9</v>
      </c>
      <c r="C464">
        <v>37.72</v>
      </c>
      <c r="D464" t="s">
        <v>27</v>
      </c>
      <c r="E464" t="s">
        <v>15</v>
      </c>
      <c r="F464" t="s">
        <v>30</v>
      </c>
      <c r="G464">
        <v>1</v>
      </c>
      <c r="H464">
        <v>5</v>
      </c>
      <c r="I464" s="13">
        <v>45432</v>
      </c>
      <c r="J464" s="13" t="str">
        <f>TEXT(Table1[[#This Row],[Date]],"[$-en-US]mmm yyyy")</f>
        <v>May 2024</v>
      </c>
      <c r="K464" s="13" t="str">
        <f>TEXT(Table1[[#This Row],[Date]],"[$-en-US]ddd")</f>
        <v>Mon</v>
      </c>
    </row>
    <row r="465" spans="1:11" x14ac:dyDescent="0.25">
      <c r="A465">
        <v>17</v>
      </c>
      <c r="B465" t="s">
        <v>9</v>
      </c>
      <c r="C465">
        <v>37.72</v>
      </c>
      <c r="D465" t="s">
        <v>10</v>
      </c>
      <c r="E465" t="s">
        <v>18</v>
      </c>
      <c r="F465" t="s">
        <v>30</v>
      </c>
      <c r="G465">
        <v>1</v>
      </c>
      <c r="H465">
        <v>5</v>
      </c>
      <c r="I465" s="13">
        <v>45432</v>
      </c>
      <c r="J465" s="13" t="str">
        <f>TEXT(Table1[[#This Row],[Date]],"[$-en-US]mmm yyyy")</f>
        <v>May 2024</v>
      </c>
      <c r="K465" s="13" t="str">
        <f>TEXT(Table1[[#This Row],[Date]],"[$-en-US]ddd")</f>
        <v>Mon</v>
      </c>
    </row>
    <row r="466" spans="1:11" x14ac:dyDescent="0.25">
      <c r="A466">
        <v>17</v>
      </c>
      <c r="B466" t="s">
        <v>9</v>
      </c>
      <c r="C466">
        <v>37.72</v>
      </c>
      <c r="D466" t="s">
        <v>10</v>
      </c>
      <c r="E466" t="s">
        <v>18</v>
      </c>
      <c r="F466" t="s">
        <v>30</v>
      </c>
      <c r="G466">
        <v>1</v>
      </c>
      <c r="H466">
        <v>5</v>
      </c>
      <c r="I466" s="13">
        <v>45432</v>
      </c>
      <c r="J466" s="13" t="str">
        <f>TEXT(Table1[[#This Row],[Date]],"[$-en-US]mmm yyyy")</f>
        <v>May 2024</v>
      </c>
      <c r="K466" s="13" t="str">
        <f>TEXT(Table1[[#This Row],[Date]],"[$-en-US]ddd")</f>
        <v>Mon</v>
      </c>
    </row>
    <row r="467" spans="1:11" x14ac:dyDescent="0.25">
      <c r="A467">
        <v>20</v>
      </c>
      <c r="B467" t="s">
        <v>9</v>
      </c>
      <c r="C467">
        <v>32.82</v>
      </c>
      <c r="D467" t="s">
        <v>17</v>
      </c>
      <c r="E467" t="s">
        <v>18</v>
      </c>
      <c r="F467" t="s">
        <v>30</v>
      </c>
      <c r="G467">
        <v>1</v>
      </c>
      <c r="H467">
        <v>5</v>
      </c>
      <c r="I467" s="13">
        <v>45432</v>
      </c>
      <c r="J467" s="13" t="str">
        <f>TEXT(Table1[[#This Row],[Date]],"[$-en-US]mmm yyyy")</f>
        <v>May 2024</v>
      </c>
      <c r="K467" s="13" t="str">
        <f>TEXT(Table1[[#This Row],[Date]],"[$-en-US]ddd")</f>
        <v>Mon</v>
      </c>
    </row>
    <row r="468" spans="1:11" x14ac:dyDescent="0.25">
      <c r="A468">
        <v>20</v>
      </c>
      <c r="B468" t="s">
        <v>9</v>
      </c>
      <c r="C468">
        <v>37.72</v>
      </c>
      <c r="D468" t="s">
        <v>19</v>
      </c>
      <c r="E468" t="s">
        <v>18</v>
      </c>
      <c r="F468" t="s">
        <v>30</v>
      </c>
      <c r="G468">
        <v>1</v>
      </c>
      <c r="H468">
        <v>5</v>
      </c>
      <c r="I468" s="13">
        <v>45432</v>
      </c>
      <c r="J468" s="13" t="str">
        <f>TEXT(Table1[[#This Row],[Date]],"[$-en-US]mmm yyyy")</f>
        <v>May 2024</v>
      </c>
      <c r="K468" s="13" t="str">
        <f>TEXT(Table1[[#This Row],[Date]],"[$-en-US]ddd")</f>
        <v>Mon</v>
      </c>
    </row>
    <row r="469" spans="1:11" x14ac:dyDescent="0.25">
      <c r="A469">
        <v>20</v>
      </c>
      <c r="B469" t="s">
        <v>9</v>
      </c>
      <c r="C469">
        <v>27.92</v>
      </c>
      <c r="D469" t="s">
        <v>22</v>
      </c>
      <c r="E469" t="s">
        <v>18</v>
      </c>
      <c r="F469" t="s">
        <v>30</v>
      </c>
      <c r="G469">
        <v>1</v>
      </c>
      <c r="H469">
        <v>5</v>
      </c>
      <c r="I469" s="13">
        <v>45432</v>
      </c>
      <c r="J469" s="13" t="str">
        <f>TEXT(Table1[[#This Row],[Date]],"[$-en-US]mmm yyyy")</f>
        <v>May 2024</v>
      </c>
      <c r="K469" s="13" t="str">
        <f>TEXT(Table1[[#This Row],[Date]],"[$-en-US]ddd")</f>
        <v>Mon</v>
      </c>
    </row>
    <row r="470" spans="1:11" x14ac:dyDescent="0.25">
      <c r="A470">
        <v>21</v>
      </c>
      <c r="B470" t="s">
        <v>9</v>
      </c>
      <c r="C470">
        <v>32.82</v>
      </c>
      <c r="D470" t="s">
        <v>17</v>
      </c>
      <c r="E470" t="s">
        <v>18</v>
      </c>
      <c r="F470" t="s">
        <v>30</v>
      </c>
      <c r="G470">
        <v>1</v>
      </c>
      <c r="H470">
        <v>5</v>
      </c>
      <c r="I470" s="13">
        <v>45432</v>
      </c>
      <c r="J470" s="13" t="str">
        <f>TEXT(Table1[[#This Row],[Date]],"[$-en-US]mmm yyyy")</f>
        <v>May 2024</v>
      </c>
      <c r="K470" s="13" t="str">
        <f>TEXT(Table1[[#This Row],[Date]],"[$-en-US]ddd")</f>
        <v>Mon</v>
      </c>
    </row>
    <row r="471" spans="1:11" x14ac:dyDescent="0.25">
      <c r="A471">
        <v>21</v>
      </c>
      <c r="B471" t="s">
        <v>9</v>
      </c>
      <c r="C471">
        <v>32.82</v>
      </c>
      <c r="D471" t="s">
        <v>17</v>
      </c>
      <c r="E471" t="s">
        <v>18</v>
      </c>
      <c r="F471" t="s">
        <v>30</v>
      </c>
      <c r="G471">
        <v>1</v>
      </c>
      <c r="H471">
        <v>5</v>
      </c>
      <c r="I471" s="13">
        <v>45432</v>
      </c>
      <c r="J471" s="13" t="str">
        <f>TEXT(Table1[[#This Row],[Date]],"[$-en-US]mmm yyyy")</f>
        <v>May 2024</v>
      </c>
      <c r="K471" s="13" t="str">
        <f>TEXT(Table1[[#This Row],[Date]],"[$-en-US]ddd")</f>
        <v>Mon</v>
      </c>
    </row>
    <row r="472" spans="1:11" x14ac:dyDescent="0.25">
      <c r="A472">
        <v>8</v>
      </c>
      <c r="B472" t="s">
        <v>9</v>
      </c>
      <c r="C472">
        <v>37.72</v>
      </c>
      <c r="D472" t="s">
        <v>10</v>
      </c>
      <c r="E472" t="s">
        <v>11</v>
      </c>
      <c r="F472" t="s">
        <v>30</v>
      </c>
      <c r="G472">
        <v>2</v>
      </c>
      <c r="H472">
        <v>5</v>
      </c>
      <c r="I472" s="13">
        <v>45433</v>
      </c>
      <c r="J472" s="13" t="str">
        <f>TEXT(Table1[[#This Row],[Date]],"[$-en-US]mmm yyyy")</f>
        <v>May 2024</v>
      </c>
      <c r="K472" s="13" t="str">
        <f>TEXT(Table1[[#This Row],[Date]],"[$-en-US]ddd")</f>
        <v>Tue</v>
      </c>
    </row>
    <row r="473" spans="1:11" x14ac:dyDescent="0.25">
      <c r="A473">
        <v>16</v>
      </c>
      <c r="B473" t="s">
        <v>9</v>
      </c>
      <c r="C473">
        <v>37.72</v>
      </c>
      <c r="D473" t="s">
        <v>10</v>
      </c>
      <c r="E473" t="s">
        <v>15</v>
      </c>
      <c r="F473" t="s">
        <v>30</v>
      </c>
      <c r="G473">
        <v>2</v>
      </c>
      <c r="H473">
        <v>5</v>
      </c>
      <c r="I473" s="13">
        <v>45433</v>
      </c>
      <c r="J473" s="13" t="str">
        <f>TEXT(Table1[[#This Row],[Date]],"[$-en-US]mmm yyyy")</f>
        <v>May 2024</v>
      </c>
      <c r="K473" s="13" t="str">
        <f>TEXT(Table1[[#This Row],[Date]],"[$-en-US]ddd")</f>
        <v>Tue</v>
      </c>
    </row>
    <row r="474" spans="1:11" x14ac:dyDescent="0.25">
      <c r="A474">
        <v>18</v>
      </c>
      <c r="B474" t="s">
        <v>9</v>
      </c>
      <c r="C474">
        <v>23.02</v>
      </c>
      <c r="D474" t="s">
        <v>24</v>
      </c>
      <c r="E474" t="s">
        <v>18</v>
      </c>
      <c r="F474" t="s">
        <v>30</v>
      </c>
      <c r="G474">
        <v>2</v>
      </c>
      <c r="H474">
        <v>5</v>
      </c>
      <c r="I474" s="13">
        <v>45433</v>
      </c>
      <c r="J474" s="13" t="str">
        <f>TEXT(Table1[[#This Row],[Date]],"[$-en-US]mmm yyyy")</f>
        <v>May 2024</v>
      </c>
      <c r="K474" s="13" t="str">
        <f>TEXT(Table1[[#This Row],[Date]],"[$-en-US]ddd")</f>
        <v>Tue</v>
      </c>
    </row>
    <row r="475" spans="1:11" x14ac:dyDescent="0.25">
      <c r="A475">
        <v>19</v>
      </c>
      <c r="B475" t="s">
        <v>9</v>
      </c>
      <c r="C475">
        <v>37.72</v>
      </c>
      <c r="D475" t="s">
        <v>27</v>
      </c>
      <c r="E475" t="s">
        <v>18</v>
      </c>
      <c r="F475" t="s">
        <v>30</v>
      </c>
      <c r="G475">
        <v>2</v>
      </c>
      <c r="H475">
        <v>5</v>
      </c>
      <c r="I475" s="13">
        <v>45433</v>
      </c>
      <c r="J475" s="13" t="str">
        <f>TEXT(Table1[[#This Row],[Date]],"[$-en-US]mmm yyyy")</f>
        <v>May 2024</v>
      </c>
      <c r="K475" s="13" t="str">
        <f>TEXT(Table1[[#This Row],[Date]],"[$-en-US]ddd")</f>
        <v>Tue</v>
      </c>
    </row>
    <row r="476" spans="1:11" x14ac:dyDescent="0.25">
      <c r="A476">
        <v>20</v>
      </c>
      <c r="B476" t="s">
        <v>9</v>
      </c>
      <c r="C476">
        <v>37.72</v>
      </c>
      <c r="D476" t="s">
        <v>27</v>
      </c>
      <c r="E476" t="s">
        <v>18</v>
      </c>
      <c r="F476" t="s">
        <v>30</v>
      </c>
      <c r="G476">
        <v>2</v>
      </c>
      <c r="H476">
        <v>5</v>
      </c>
      <c r="I476" s="13">
        <v>45433</v>
      </c>
      <c r="J476" s="13" t="str">
        <f>TEXT(Table1[[#This Row],[Date]],"[$-en-US]mmm yyyy")</f>
        <v>May 2024</v>
      </c>
      <c r="K476" s="13" t="str">
        <f>TEXT(Table1[[#This Row],[Date]],"[$-en-US]ddd")</f>
        <v>Tue</v>
      </c>
    </row>
    <row r="477" spans="1:11" x14ac:dyDescent="0.25">
      <c r="A477">
        <v>9</v>
      </c>
      <c r="B477" t="s">
        <v>9</v>
      </c>
      <c r="C477">
        <v>37.72</v>
      </c>
      <c r="D477" t="s">
        <v>27</v>
      </c>
      <c r="E477" t="s">
        <v>11</v>
      </c>
      <c r="F477" t="s">
        <v>30</v>
      </c>
      <c r="G477">
        <v>3</v>
      </c>
      <c r="H477">
        <v>5</v>
      </c>
      <c r="I477" s="13">
        <v>45434</v>
      </c>
      <c r="J477" s="13" t="str">
        <f>TEXT(Table1[[#This Row],[Date]],"[$-en-US]mmm yyyy")</f>
        <v>May 2024</v>
      </c>
      <c r="K477" s="13" t="str">
        <f>TEXT(Table1[[#This Row],[Date]],"[$-en-US]ddd")</f>
        <v>Wed</v>
      </c>
    </row>
    <row r="478" spans="1:11" x14ac:dyDescent="0.25">
      <c r="A478">
        <v>10</v>
      </c>
      <c r="B478" t="s">
        <v>9</v>
      </c>
      <c r="C478">
        <v>32.82</v>
      </c>
      <c r="D478" t="s">
        <v>17</v>
      </c>
      <c r="E478" t="s">
        <v>11</v>
      </c>
      <c r="F478" t="s">
        <v>30</v>
      </c>
      <c r="G478">
        <v>3</v>
      </c>
      <c r="H478">
        <v>5</v>
      </c>
      <c r="I478" s="13">
        <v>45434</v>
      </c>
      <c r="J478" s="13" t="str">
        <f>TEXT(Table1[[#This Row],[Date]],"[$-en-US]mmm yyyy")</f>
        <v>May 2024</v>
      </c>
      <c r="K478" s="13" t="str">
        <f>TEXT(Table1[[#This Row],[Date]],"[$-en-US]ddd")</f>
        <v>Wed</v>
      </c>
    </row>
    <row r="479" spans="1:11" x14ac:dyDescent="0.25">
      <c r="A479">
        <v>11</v>
      </c>
      <c r="B479" t="s">
        <v>9</v>
      </c>
      <c r="C479">
        <v>27.92</v>
      </c>
      <c r="D479" t="s">
        <v>22</v>
      </c>
      <c r="E479" t="s">
        <v>11</v>
      </c>
      <c r="F479" t="s">
        <v>30</v>
      </c>
      <c r="G479">
        <v>3</v>
      </c>
      <c r="H479">
        <v>5</v>
      </c>
      <c r="I479" s="13">
        <v>45434</v>
      </c>
      <c r="J479" s="13" t="str">
        <f>TEXT(Table1[[#This Row],[Date]],"[$-en-US]mmm yyyy")</f>
        <v>May 2024</v>
      </c>
      <c r="K479" s="13" t="str">
        <f>TEXT(Table1[[#This Row],[Date]],"[$-en-US]ddd")</f>
        <v>Wed</v>
      </c>
    </row>
    <row r="480" spans="1:11" x14ac:dyDescent="0.25">
      <c r="A480">
        <v>11</v>
      </c>
      <c r="B480" t="s">
        <v>9</v>
      </c>
      <c r="C480">
        <v>32.82</v>
      </c>
      <c r="D480" t="s">
        <v>17</v>
      </c>
      <c r="E480" t="s">
        <v>11</v>
      </c>
      <c r="F480" t="s">
        <v>30</v>
      </c>
      <c r="G480">
        <v>3</v>
      </c>
      <c r="H480">
        <v>5</v>
      </c>
      <c r="I480" s="13">
        <v>45434</v>
      </c>
      <c r="J480" s="13" t="str">
        <f>TEXT(Table1[[#This Row],[Date]],"[$-en-US]mmm yyyy")</f>
        <v>May 2024</v>
      </c>
      <c r="K480" s="13" t="str">
        <f>TEXT(Table1[[#This Row],[Date]],"[$-en-US]ddd")</f>
        <v>Wed</v>
      </c>
    </row>
    <row r="481" spans="1:11" x14ac:dyDescent="0.25">
      <c r="A481">
        <v>12</v>
      </c>
      <c r="B481" t="s">
        <v>9</v>
      </c>
      <c r="C481">
        <v>27.92</v>
      </c>
      <c r="D481" t="s">
        <v>16</v>
      </c>
      <c r="E481" t="s">
        <v>15</v>
      </c>
      <c r="F481" t="s">
        <v>30</v>
      </c>
      <c r="G481">
        <v>3</v>
      </c>
      <c r="H481">
        <v>5</v>
      </c>
      <c r="I481" s="13">
        <v>45434</v>
      </c>
      <c r="J481" s="13" t="str">
        <f>TEXT(Table1[[#This Row],[Date]],"[$-en-US]mmm yyyy")</f>
        <v>May 2024</v>
      </c>
      <c r="K481" s="13" t="str">
        <f>TEXT(Table1[[#This Row],[Date]],"[$-en-US]ddd")</f>
        <v>Wed</v>
      </c>
    </row>
    <row r="482" spans="1:11" x14ac:dyDescent="0.25">
      <c r="A482">
        <v>12</v>
      </c>
      <c r="B482" t="s">
        <v>9</v>
      </c>
      <c r="C482">
        <v>27.92</v>
      </c>
      <c r="D482" t="s">
        <v>16</v>
      </c>
      <c r="E482" t="s">
        <v>15</v>
      </c>
      <c r="F482" t="s">
        <v>30</v>
      </c>
      <c r="G482">
        <v>3</v>
      </c>
      <c r="H482">
        <v>5</v>
      </c>
      <c r="I482" s="13">
        <v>45434</v>
      </c>
      <c r="J482" s="13" t="str">
        <f>TEXT(Table1[[#This Row],[Date]],"[$-en-US]mmm yyyy")</f>
        <v>May 2024</v>
      </c>
      <c r="K482" s="13" t="str">
        <f>TEXT(Table1[[#This Row],[Date]],"[$-en-US]ddd")</f>
        <v>Wed</v>
      </c>
    </row>
    <row r="483" spans="1:11" x14ac:dyDescent="0.25">
      <c r="A483">
        <v>14</v>
      </c>
      <c r="B483" t="s">
        <v>9</v>
      </c>
      <c r="C483">
        <v>32.82</v>
      </c>
      <c r="D483" t="s">
        <v>17</v>
      </c>
      <c r="E483" t="s">
        <v>15</v>
      </c>
      <c r="F483" t="s">
        <v>30</v>
      </c>
      <c r="G483">
        <v>3</v>
      </c>
      <c r="H483">
        <v>5</v>
      </c>
      <c r="I483" s="13">
        <v>45434</v>
      </c>
      <c r="J483" s="13" t="str">
        <f>TEXT(Table1[[#This Row],[Date]],"[$-en-US]mmm yyyy")</f>
        <v>May 2024</v>
      </c>
      <c r="K483" s="13" t="str">
        <f>TEXT(Table1[[#This Row],[Date]],"[$-en-US]ddd")</f>
        <v>Wed</v>
      </c>
    </row>
    <row r="484" spans="1:11" x14ac:dyDescent="0.25">
      <c r="A484">
        <v>19</v>
      </c>
      <c r="B484" t="s">
        <v>9</v>
      </c>
      <c r="C484">
        <v>37.72</v>
      </c>
      <c r="D484" t="s">
        <v>27</v>
      </c>
      <c r="E484" t="s">
        <v>18</v>
      </c>
      <c r="F484" t="s">
        <v>30</v>
      </c>
      <c r="G484">
        <v>3</v>
      </c>
      <c r="H484">
        <v>5</v>
      </c>
      <c r="I484" s="13">
        <v>45434</v>
      </c>
      <c r="J484" s="13" t="str">
        <f>TEXT(Table1[[#This Row],[Date]],"[$-en-US]mmm yyyy")</f>
        <v>May 2024</v>
      </c>
      <c r="K484" s="13" t="str">
        <f>TEXT(Table1[[#This Row],[Date]],"[$-en-US]ddd")</f>
        <v>Wed</v>
      </c>
    </row>
    <row r="485" spans="1:11" x14ac:dyDescent="0.25">
      <c r="A485">
        <v>19</v>
      </c>
      <c r="B485" t="s">
        <v>9</v>
      </c>
      <c r="C485">
        <v>37.72</v>
      </c>
      <c r="D485" t="s">
        <v>27</v>
      </c>
      <c r="E485" t="s">
        <v>18</v>
      </c>
      <c r="F485" t="s">
        <v>30</v>
      </c>
      <c r="G485">
        <v>3</v>
      </c>
      <c r="H485">
        <v>5</v>
      </c>
      <c r="I485" s="13">
        <v>45434</v>
      </c>
      <c r="J485" s="13" t="str">
        <f>TEXT(Table1[[#This Row],[Date]],"[$-en-US]mmm yyyy")</f>
        <v>May 2024</v>
      </c>
      <c r="K485" s="13" t="str">
        <f>TEXT(Table1[[#This Row],[Date]],"[$-en-US]ddd")</f>
        <v>Wed</v>
      </c>
    </row>
    <row r="486" spans="1:11" x14ac:dyDescent="0.25">
      <c r="A486">
        <v>21</v>
      </c>
      <c r="B486" t="s">
        <v>9</v>
      </c>
      <c r="C486">
        <v>37.72</v>
      </c>
      <c r="D486" t="s">
        <v>14</v>
      </c>
      <c r="E486" t="s">
        <v>18</v>
      </c>
      <c r="F486" t="s">
        <v>30</v>
      </c>
      <c r="G486">
        <v>3</v>
      </c>
      <c r="H486">
        <v>5</v>
      </c>
      <c r="I486" s="13">
        <v>45434</v>
      </c>
      <c r="J486" s="13" t="str">
        <f>TEXT(Table1[[#This Row],[Date]],"[$-en-US]mmm yyyy")</f>
        <v>May 2024</v>
      </c>
      <c r="K486" s="13" t="str">
        <f>TEXT(Table1[[#This Row],[Date]],"[$-en-US]ddd")</f>
        <v>Wed</v>
      </c>
    </row>
    <row r="487" spans="1:11" x14ac:dyDescent="0.25">
      <c r="A487">
        <v>21</v>
      </c>
      <c r="B487" t="s">
        <v>9</v>
      </c>
      <c r="C487">
        <v>37.72</v>
      </c>
      <c r="D487" t="s">
        <v>27</v>
      </c>
      <c r="E487" t="s">
        <v>18</v>
      </c>
      <c r="F487" t="s">
        <v>30</v>
      </c>
      <c r="G487">
        <v>3</v>
      </c>
      <c r="H487">
        <v>5</v>
      </c>
      <c r="I487" s="13">
        <v>45434</v>
      </c>
      <c r="J487" s="13" t="str">
        <f>TEXT(Table1[[#This Row],[Date]],"[$-en-US]mmm yyyy")</f>
        <v>May 2024</v>
      </c>
      <c r="K487" s="13" t="str">
        <f>TEXT(Table1[[#This Row],[Date]],"[$-en-US]ddd")</f>
        <v>Wed</v>
      </c>
    </row>
    <row r="488" spans="1:11" x14ac:dyDescent="0.25">
      <c r="A488">
        <v>10</v>
      </c>
      <c r="B488" t="s">
        <v>9</v>
      </c>
      <c r="C488">
        <v>37.72</v>
      </c>
      <c r="D488" t="s">
        <v>27</v>
      </c>
      <c r="E488" t="s">
        <v>11</v>
      </c>
      <c r="F488" t="s">
        <v>30</v>
      </c>
      <c r="G488">
        <v>4</v>
      </c>
      <c r="H488">
        <v>5</v>
      </c>
      <c r="I488" s="13">
        <v>45435</v>
      </c>
      <c r="J488" s="13" t="str">
        <f>TEXT(Table1[[#This Row],[Date]],"[$-en-US]mmm yyyy")</f>
        <v>May 2024</v>
      </c>
      <c r="K488" s="13" t="str">
        <f>TEXT(Table1[[#This Row],[Date]],"[$-en-US]ddd")</f>
        <v>Thu</v>
      </c>
    </row>
    <row r="489" spans="1:11" x14ac:dyDescent="0.25">
      <c r="A489">
        <v>12</v>
      </c>
      <c r="B489" t="s">
        <v>9</v>
      </c>
      <c r="C489">
        <v>23.02</v>
      </c>
      <c r="D489" t="s">
        <v>24</v>
      </c>
      <c r="E489" t="s">
        <v>15</v>
      </c>
      <c r="F489" t="s">
        <v>30</v>
      </c>
      <c r="G489">
        <v>4</v>
      </c>
      <c r="H489">
        <v>5</v>
      </c>
      <c r="I489" s="13">
        <v>45435</v>
      </c>
      <c r="J489" s="13" t="str">
        <f>TEXT(Table1[[#This Row],[Date]],"[$-en-US]mmm yyyy")</f>
        <v>May 2024</v>
      </c>
      <c r="K489" s="13" t="str">
        <f>TEXT(Table1[[#This Row],[Date]],"[$-en-US]ddd")</f>
        <v>Thu</v>
      </c>
    </row>
    <row r="490" spans="1:11" x14ac:dyDescent="0.25">
      <c r="A490">
        <v>15</v>
      </c>
      <c r="B490" t="s">
        <v>9</v>
      </c>
      <c r="C490">
        <v>37.72</v>
      </c>
      <c r="D490" t="s">
        <v>27</v>
      </c>
      <c r="E490" t="s">
        <v>15</v>
      </c>
      <c r="F490" t="s">
        <v>30</v>
      </c>
      <c r="G490">
        <v>4</v>
      </c>
      <c r="H490">
        <v>5</v>
      </c>
      <c r="I490" s="13">
        <v>45435</v>
      </c>
      <c r="J490" s="13" t="str">
        <f>TEXT(Table1[[#This Row],[Date]],"[$-en-US]mmm yyyy")</f>
        <v>May 2024</v>
      </c>
      <c r="K490" s="13" t="str">
        <f>TEXT(Table1[[#This Row],[Date]],"[$-en-US]ddd")</f>
        <v>Thu</v>
      </c>
    </row>
    <row r="491" spans="1:11" x14ac:dyDescent="0.25">
      <c r="A491">
        <v>15</v>
      </c>
      <c r="B491" t="s">
        <v>9</v>
      </c>
      <c r="C491">
        <v>37.72</v>
      </c>
      <c r="D491" t="s">
        <v>27</v>
      </c>
      <c r="E491" t="s">
        <v>15</v>
      </c>
      <c r="F491" t="s">
        <v>30</v>
      </c>
      <c r="G491">
        <v>4</v>
      </c>
      <c r="H491">
        <v>5</v>
      </c>
      <c r="I491" s="13">
        <v>45435</v>
      </c>
      <c r="J491" s="13" t="str">
        <f>TEXT(Table1[[#This Row],[Date]],"[$-en-US]mmm yyyy")</f>
        <v>May 2024</v>
      </c>
      <c r="K491" s="13" t="str">
        <f>TEXT(Table1[[#This Row],[Date]],"[$-en-US]ddd")</f>
        <v>Thu</v>
      </c>
    </row>
    <row r="492" spans="1:11" x14ac:dyDescent="0.25">
      <c r="A492">
        <v>16</v>
      </c>
      <c r="B492" t="s">
        <v>9</v>
      </c>
      <c r="C492">
        <v>37.72</v>
      </c>
      <c r="D492" t="s">
        <v>27</v>
      </c>
      <c r="E492" t="s">
        <v>15</v>
      </c>
      <c r="F492" t="s">
        <v>30</v>
      </c>
      <c r="G492">
        <v>4</v>
      </c>
      <c r="H492">
        <v>5</v>
      </c>
      <c r="I492" s="13">
        <v>45435</v>
      </c>
      <c r="J492" s="13" t="str">
        <f>TEXT(Table1[[#This Row],[Date]],"[$-en-US]mmm yyyy")</f>
        <v>May 2024</v>
      </c>
      <c r="K492" s="13" t="str">
        <f>TEXT(Table1[[#This Row],[Date]],"[$-en-US]ddd")</f>
        <v>Thu</v>
      </c>
    </row>
    <row r="493" spans="1:11" x14ac:dyDescent="0.25">
      <c r="A493">
        <v>16</v>
      </c>
      <c r="B493" t="s">
        <v>9</v>
      </c>
      <c r="C493">
        <v>37.72</v>
      </c>
      <c r="D493" t="s">
        <v>10</v>
      </c>
      <c r="E493" t="s">
        <v>15</v>
      </c>
      <c r="F493" t="s">
        <v>30</v>
      </c>
      <c r="G493">
        <v>4</v>
      </c>
      <c r="H493">
        <v>5</v>
      </c>
      <c r="I493" s="13">
        <v>45435</v>
      </c>
      <c r="J493" s="13" t="str">
        <f>TEXT(Table1[[#This Row],[Date]],"[$-en-US]mmm yyyy")</f>
        <v>May 2024</v>
      </c>
      <c r="K493" s="13" t="str">
        <f>TEXT(Table1[[#This Row],[Date]],"[$-en-US]ddd")</f>
        <v>Thu</v>
      </c>
    </row>
    <row r="494" spans="1:11" x14ac:dyDescent="0.25">
      <c r="A494">
        <v>17</v>
      </c>
      <c r="B494" t="s">
        <v>9</v>
      </c>
      <c r="C494">
        <v>37.72</v>
      </c>
      <c r="D494" t="s">
        <v>27</v>
      </c>
      <c r="E494" t="s">
        <v>18</v>
      </c>
      <c r="F494" t="s">
        <v>30</v>
      </c>
      <c r="G494">
        <v>4</v>
      </c>
      <c r="H494">
        <v>5</v>
      </c>
      <c r="I494" s="13">
        <v>45435</v>
      </c>
      <c r="J494" s="13" t="str">
        <f>TEXT(Table1[[#This Row],[Date]],"[$-en-US]mmm yyyy")</f>
        <v>May 2024</v>
      </c>
      <c r="K494" s="13" t="str">
        <f>TEXT(Table1[[#This Row],[Date]],"[$-en-US]ddd")</f>
        <v>Thu</v>
      </c>
    </row>
    <row r="495" spans="1:11" x14ac:dyDescent="0.25">
      <c r="A495">
        <v>17</v>
      </c>
      <c r="B495" t="s">
        <v>9</v>
      </c>
      <c r="C495">
        <v>37.72</v>
      </c>
      <c r="D495" t="s">
        <v>10</v>
      </c>
      <c r="E495" t="s">
        <v>18</v>
      </c>
      <c r="F495" t="s">
        <v>30</v>
      </c>
      <c r="G495">
        <v>4</v>
      </c>
      <c r="H495">
        <v>5</v>
      </c>
      <c r="I495" s="13">
        <v>45435</v>
      </c>
      <c r="J495" s="13" t="str">
        <f>TEXT(Table1[[#This Row],[Date]],"[$-en-US]mmm yyyy")</f>
        <v>May 2024</v>
      </c>
      <c r="K495" s="13" t="str">
        <f>TEXT(Table1[[#This Row],[Date]],"[$-en-US]ddd")</f>
        <v>Thu</v>
      </c>
    </row>
    <row r="496" spans="1:11" x14ac:dyDescent="0.25">
      <c r="A496">
        <v>19</v>
      </c>
      <c r="B496" t="s">
        <v>9</v>
      </c>
      <c r="C496">
        <v>27.92</v>
      </c>
      <c r="D496" t="s">
        <v>22</v>
      </c>
      <c r="E496" t="s">
        <v>18</v>
      </c>
      <c r="F496" t="s">
        <v>30</v>
      </c>
      <c r="G496">
        <v>4</v>
      </c>
      <c r="H496">
        <v>5</v>
      </c>
      <c r="I496" s="13">
        <v>45435</v>
      </c>
      <c r="J496" s="13" t="str">
        <f>TEXT(Table1[[#This Row],[Date]],"[$-en-US]mmm yyyy")</f>
        <v>May 2024</v>
      </c>
      <c r="K496" s="13" t="str">
        <f>TEXT(Table1[[#This Row],[Date]],"[$-en-US]ddd")</f>
        <v>Thu</v>
      </c>
    </row>
    <row r="497" spans="1:11" x14ac:dyDescent="0.25">
      <c r="A497">
        <v>19</v>
      </c>
      <c r="B497" t="s">
        <v>9</v>
      </c>
      <c r="C497">
        <v>37.72</v>
      </c>
      <c r="D497" t="s">
        <v>27</v>
      </c>
      <c r="E497" t="s">
        <v>18</v>
      </c>
      <c r="F497" t="s">
        <v>30</v>
      </c>
      <c r="G497">
        <v>4</v>
      </c>
      <c r="H497">
        <v>5</v>
      </c>
      <c r="I497" s="13">
        <v>45435</v>
      </c>
      <c r="J497" s="13" t="str">
        <f>TEXT(Table1[[#This Row],[Date]],"[$-en-US]mmm yyyy")</f>
        <v>May 2024</v>
      </c>
      <c r="K497" s="13" t="str">
        <f>TEXT(Table1[[#This Row],[Date]],"[$-en-US]ddd")</f>
        <v>Thu</v>
      </c>
    </row>
    <row r="498" spans="1:11" x14ac:dyDescent="0.25">
      <c r="A498">
        <v>19</v>
      </c>
      <c r="B498" t="s">
        <v>9</v>
      </c>
      <c r="C498">
        <v>37.72</v>
      </c>
      <c r="D498" t="s">
        <v>27</v>
      </c>
      <c r="E498" t="s">
        <v>18</v>
      </c>
      <c r="F498" t="s">
        <v>30</v>
      </c>
      <c r="G498">
        <v>4</v>
      </c>
      <c r="H498">
        <v>5</v>
      </c>
      <c r="I498" s="13">
        <v>45435</v>
      </c>
      <c r="J498" s="13" t="str">
        <f>TEXT(Table1[[#This Row],[Date]],"[$-en-US]mmm yyyy")</f>
        <v>May 2024</v>
      </c>
      <c r="K498" s="13" t="str">
        <f>TEXT(Table1[[#This Row],[Date]],"[$-en-US]ddd")</f>
        <v>Thu</v>
      </c>
    </row>
    <row r="499" spans="1:11" x14ac:dyDescent="0.25">
      <c r="A499">
        <v>19</v>
      </c>
      <c r="B499" t="s">
        <v>9</v>
      </c>
      <c r="C499">
        <v>37.72</v>
      </c>
      <c r="D499" t="s">
        <v>27</v>
      </c>
      <c r="E499" t="s">
        <v>18</v>
      </c>
      <c r="F499" t="s">
        <v>30</v>
      </c>
      <c r="G499">
        <v>4</v>
      </c>
      <c r="H499">
        <v>5</v>
      </c>
      <c r="I499" s="13">
        <v>45435</v>
      </c>
      <c r="J499" s="13" t="str">
        <f>TEXT(Table1[[#This Row],[Date]],"[$-en-US]mmm yyyy")</f>
        <v>May 2024</v>
      </c>
      <c r="K499" s="13" t="str">
        <f>TEXT(Table1[[#This Row],[Date]],"[$-en-US]ddd")</f>
        <v>Thu</v>
      </c>
    </row>
    <row r="500" spans="1:11" x14ac:dyDescent="0.25">
      <c r="A500">
        <v>20</v>
      </c>
      <c r="B500" t="s">
        <v>9</v>
      </c>
      <c r="C500">
        <v>37.72</v>
      </c>
      <c r="D500" t="s">
        <v>27</v>
      </c>
      <c r="E500" t="s">
        <v>18</v>
      </c>
      <c r="F500" t="s">
        <v>30</v>
      </c>
      <c r="G500">
        <v>4</v>
      </c>
      <c r="H500">
        <v>5</v>
      </c>
      <c r="I500" s="13">
        <v>45435</v>
      </c>
      <c r="J500" s="13" t="str">
        <f>TEXT(Table1[[#This Row],[Date]],"[$-en-US]mmm yyyy")</f>
        <v>May 2024</v>
      </c>
      <c r="K500" s="13" t="str">
        <f>TEXT(Table1[[#This Row],[Date]],"[$-en-US]ddd")</f>
        <v>Thu</v>
      </c>
    </row>
    <row r="501" spans="1:11" x14ac:dyDescent="0.25">
      <c r="A501">
        <v>20</v>
      </c>
      <c r="B501" t="s">
        <v>9</v>
      </c>
      <c r="C501">
        <v>37.72</v>
      </c>
      <c r="D501" t="s">
        <v>10</v>
      </c>
      <c r="E501" t="s">
        <v>18</v>
      </c>
      <c r="F501" t="s">
        <v>30</v>
      </c>
      <c r="G501">
        <v>4</v>
      </c>
      <c r="H501">
        <v>5</v>
      </c>
      <c r="I501" s="13">
        <v>45435</v>
      </c>
      <c r="J501" s="13" t="str">
        <f>TEXT(Table1[[#This Row],[Date]],"[$-en-US]mmm yyyy")</f>
        <v>May 2024</v>
      </c>
      <c r="K501" s="13" t="str">
        <f>TEXT(Table1[[#This Row],[Date]],"[$-en-US]ddd")</f>
        <v>Thu</v>
      </c>
    </row>
    <row r="502" spans="1:11" x14ac:dyDescent="0.25">
      <c r="A502">
        <v>22</v>
      </c>
      <c r="B502" t="s">
        <v>9</v>
      </c>
      <c r="C502">
        <v>32.82</v>
      </c>
      <c r="D502" t="s">
        <v>17</v>
      </c>
      <c r="E502" t="s">
        <v>18</v>
      </c>
      <c r="F502" t="s">
        <v>30</v>
      </c>
      <c r="G502">
        <v>4</v>
      </c>
      <c r="H502">
        <v>5</v>
      </c>
      <c r="I502" s="13">
        <v>45435</v>
      </c>
      <c r="J502" s="13" t="str">
        <f>TEXT(Table1[[#This Row],[Date]],"[$-en-US]mmm yyyy")</f>
        <v>May 2024</v>
      </c>
      <c r="K502" s="13" t="str">
        <f>TEXT(Table1[[#This Row],[Date]],"[$-en-US]ddd")</f>
        <v>Thu</v>
      </c>
    </row>
    <row r="503" spans="1:11" x14ac:dyDescent="0.25">
      <c r="A503">
        <v>11</v>
      </c>
      <c r="B503" t="s">
        <v>9</v>
      </c>
      <c r="C503">
        <v>27.92</v>
      </c>
      <c r="D503" t="s">
        <v>22</v>
      </c>
      <c r="E503" t="s">
        <v>11</v>
      </c>
      <c r="F503" t="s">
        <v>30</v>
      </c>
      <c r="G503">
        <v>5</v>
      </c>
      <c r="H503">
        <v>5</v>
      </c>
      <c r="I503" s="13">
        <v>45436</v>
      </c>
      <c r="J503" s="13" t="str">
        <f>TEXT(Table1[[#This Row],[Date]],"[$-en-US]mmm yyyy")</f>
        <v>May 2024</v>
      </c>
      <c r="K503" s="13" t="str">
        <f>TEXT(Table1[[#This Row],[Date]],"[$-en-US]ddd")</f>
        <v>Fri</v>
      </c>
    </row>
    <row r="504" spans="1:11" x14ac:dyDescent="0.25">
      <c r="A504">
        <v>11</v>
      </c>
      <c r="B504" t="s">
        <v>9</v>
      </c>
      <c r="C504">
        <v>27.92</v>
      </c>
      <c r="D504" t="s">
        <v>16</v>
      </c>
      <c r="E504" t="s">
        <v>11</v>
      </c>
      <c r="F504" t="s">
        <v>30</v>
      </c>
      <c r="G504">
        <v>5</v>
      </c>
      <c r="H504">
        <v>5</v>
      </c>
      <c r="I504" s="13">
        <v>45436</v>
      </c>
      <c r="J504" s="13" t="str">
        <f>TEXT(Table1[[#This Row],[Date]],"[$-en-US]mmm yyyy")</f>
        <v>May 2024</v>
      </c>
      <c r="K504" s="13" t="str">
        <f>TEXT(Table1[[#This Row],[Date]],"[$-en-US]ddd")</f>
        <v>Fri</v>
      </c>
    </row>
    <row r="505" spans="1:11" x14ac:dyDescent="0.25">
      <c r="A505">
        <v>11</v>
      </c>
      <c r="B505" t="s">
        <v>9</v>
      </c>
      <c r="C505">
        <v>27.92</v>
      </c>
      <c r="D505" t="s">
        <v>16</v>
      </c>
      <c r="E505" t="s">
        <v>11</v>
      </c>
      <c r="F505" t="s">
        <v>30</v>
      </c>
      <c r="G505">
        <v>5</v>
      </c>
      <c r="H505">
        <v>5</v>
      </c>
      <c r="I505" s="13">
        <v>45436</v>
      </c>
      <c r="J505" s="13" t="str">
        <f>TEXT(Table1[[#This Row],[Date]],"[$-en-US]mmm yyyy")</f>
        <v>May 2024</v>
      </c>
      <c r="K505" s="13" t="str">
        <f>TEXT(Table1[[#This Row],[Date]],"[$-en-US]ddd")</f>
        <v>Fri</v>
      </c>
    </row>
    <row r="506" spans="1:11" x14ac:dyDescent="0.25">
      <c r="A506">
        <v>16</v>
      </c>
      <c r="B506" t="s">
        <v>9</v>
      </c>
      <c r="C506">
        <v>37.72</v>
      </c>
      <c r="D506" t="s">
        <v>14</v>
      </c>
      <c r="E506" t="s">
        <v>15</v>
      </c>
      <c r="F506" t="s">
        <v>30</v>
      </c>
      <c r="G506">
        <v>5</v>
      </c>
      <c r="H506">
        <v>5</v>
      </c>
      <c r="I506" s="13">
        <v>45436</v>
      </c>
      <c r="J506" s="13" t="str">
        <f>TEXT(Table1[[#This Row],[Date]],"[$-en-US]mmm yyyy")</f>
        <v>May 2024</v>
      </c>
      <c r="K506" s="13" t="str">
        <f>TEXT(Table1[[#This Row],[Date]],"[$-en-US]ddd")</f>
        <v>Fri</v>
      </c>
    </row>
    <row r="507" spans="1:11" x14ac:dyDescent="0.25">
      <c r="A507">
        <v>18</v>
      </c>
      <c r="B507" t="s">
        <v>9</v>
      </c>
      <c r="C507">
        <v>27.92</v>
      </c>
      <c r="D507" t="s">
        <v>22</v>
      </c>
      <c r="E507" t="s">
        <v>18</v>
      </c>
      <c r="F507" t="s">
        <v>30</v>
      </c>
      <c r="G507">
        <v>5</v>
      </c>
      <c r="H507">
        <v>5</v>
      </c>
      <c r="I507" s="13">
        <v>45436</v>
      </c>
      <c r="J507" s="13" t="str">
        <f>TEXT(Table1[[#This Row],[Date]],"[$-en-US]mmm yyyy")</f>
        <v>May 2024</v>
      </c>
      <c r="K507" s="13" t="str">
        <f>TEXT(Table1[[#This Row],[Date]],"[$-en-US]ddd")</f>
        <v>Fri</v>
      </c>
    </row>
    <row r="508" spans="1:11" x14ac:dyDescent="0.25">
      <c r="A508">
        <v>18</v>
      </c>
      <c r="B508" t="s">
        <v>9</v>
      </c>
      <c r="C508">
        <v>27.92</v>
      </c>
      <c r="D508" t="s">
        <v>22</v>
      </c>
      <c r="E508" t="s">
        <v>18</v>
      </c>
      <c r="F508" t="s">
        <v>30</v>
      </c>
      <c r="G508">
        <v>5</v>
      </c>
      <c r="H508">
        <v>5</v>
      </c>
      <c r="I508" s="13">
        <v>45436</v>
      </c>
      <c r="J508" s="13" t="str">
        <f>TEXT(Table1[[#This Row],[Date]],"[$-en-US]mmm yyyy")</f>
        <v>May 2024</v>
      </c>
      <c r="K508" s="13" t="str">
        <f>TEXT(Table1[[#This Row],[Date]],"[$-en-US]ddd")</f>
        <v>Fri</v>
      </c>
    </row>
    <row r="509" spans="1:11" x14ac:dyDescent="0.25">
      <c r="A509">
        <v>22</v>
      </c>
      <c r="B509" t="s">
        <v>9</v>
      </c>
      <c r="C509">
        <v>32.82</v>
      </c>
      <c r="D509" t="s">
        <v>17</v>
      </c>
      <c r="E509" t="s">
        <v>18</v>
      </c>
      <c r="F509" t="s">
        <v>30</v>
      </c>
      <c r="G509">
        <v>5</v>
      </c>
      <c r="H509">
        <v>5</v>
      </c>
      <c r="I509" s="13">
        <v>45436</v>
      </c>
      <c r="J509" s="13" t="str">
        <f>TEXT(Table1[[#This Row],[Date]],"[$-en-US]mmm yyyy")</f>
        <v>May 2024</v>
      </c>
      <c r="K509" s="13" t="str">
        <f>TEXT(Table1[[#This Row],[Date]],"[$-en-US]ddd")</f>
        <v>Fri</v>
      </c>
    </row>
    <row r="510" spans="1:11" x14ac:dyDescent="0.25">
      <c r="A510">
        <v>12</v>
      </c>
      <c r="B510" t="s">
        <v>9</v>
      </c>
      <c r="C510">
        <v>37.72</v>
      </c>
      <c r="D510" t="s">
        <v>10</v>
      </c>
      <c r="E510" t="s">
        <v>15</v>
      </c>
      <c r="F510" t="s">
        <v>30</v>
      </c>
      <c r="G510">
        <v>6</v>
      </c>
      <c r="H510">
        <v>5</v>
      </c>
      <c r="I510" s="13">
        <v>45437</v>
      </c>
      <c r="J510" s="13" t="str">
        <f>TEXT(Table1[[#This Row],[Date]],"[$-en-US]mmm yyyy")</f>
        <v>May 2024</v>
      </c>
      <c r="K510" s="13" t="str">
        <f>TEXT(Table1[[#This Row],[Date]],"[$-en-US]ddd")</f>
        <v>Sat</v>
      </c>
    </row>
    <row r="511" spans="1:11" x14ac:dyDescent="0.25">
      <c r="A511">
        <v>12</v>
      </c>
      <c r="B511" t="s">
        <v>9</v>
      </c>
      <c r="C511">
        <v>32.82</v>
      </c>
      <c r="D511" t="s">
        <v>17</v>
      </c>
      <c r="E511" t="s">
        <v>15</v>
      </c>
      <c r="F511" t="s">
        <v>30</v>
      </c>
      <c r="G511">
        <v>6</v>
      </c>
      <c r="H511">
        <v>5</v>
      </c>
      <c r="I511" s="13">
        <v>45437</v>
      </c>
      <c r="J511" s="13" t="str">
        <f>TEXT(Table1[[#This Row],[Date]],"[$-en-US]mmm yyyy")</f>
        <v>May 2024</v>
      </c>
      <c r="K511" s="13" t="str">
        <f>TEXT(Table1[[#This Row],[Date]],"[$-en-US]ddd")</f>
        <v>Sat</v>
      </c>
    </row>
    <row r="512" spans="1:11" x14ac:dyDescent="0.25">
      <c r="A512">
        <v>12</v>
      </c>
      <c r="B512" t="s">
        <v>9</v>
      </c>
      <c r="C512">
        <v>32.82</v>
      </c>
      <c r="D512" t="s">
        <v>17</v>
      </c>
      <c r="E512" t="s">
        <v>15</v>
      </c>
      <c r="F512" t="s">
        <v>30</v>
      </c>
      <c r="G512">
        <v>6</v>
      </c>
      <c r="H512">
        <v>5</v>
      </c>
      <c r="I512" s="13">
        <v>45437</v>
      </c>
      <c r="J512" s="13" t="str">
        <f>TEXT(Table1[[#This Row],[Date]],"[$-en-US]mmm yyyy")</f>
        <v>May 2024</v>
      </c>
      <c r="K512" s="13" t="str">
        <f>TEXT(Table1[[#This Row],[Date]],"[$-en-US]ddd")</f>
        <v>Sat</v>
      </c>
    </row>
    <row r="513" spans="1:11" x14ac:dyDescent="0.25">
      <c r="A513">
        <v>12</v>
      </c>
      <c r="B513" t="s">
        <v>9</v>
      </c>
      <c r="C513">
        <v>32.82</v>
      </c>
      <c r="D513" t="s">
        <v>17</v>
      </c>
      <c r="E513" t="s">
        <v>15</v>
      </c>
      <c r="F513" t="s">
        <v>30</v>
      </c>
      <c r="G513">
        <v>6</v>
      </c>
      <c r="H513">
        <v>5</v>
      </c>
      <c r="I513" s="13">
        <v>45437</v>
      </c>
      <c r="J513" s="13" t="str">
        <f>TEXT(Table1[[#This Row],[Date]],"[$-en-US]mmm yyyy")</f>
        <v>May 2024</v>
      </c>
      <c r="K513" s="13" t="str">
        <f>TEXT(Table1[[#This Row],[Date]],"[$-en-US]ddd")</f>
        <v>Sat</v>
      </c>
    </row>
    <row r="514" spans="1:11" x14ac:dyDescent="0.25">
      <c r="A514">
        <v>16</v>
      </c>
      <c r="B514" t="s">
        <v>9</v>
      </c>
      <c r="C514">
        <v>32.82</v>
      </c>
      <c r="D514" t="s">
        <v>17</v>
      </c>
      <c r="E514" t="s">
        <v>15</v>
      </c>
      <c r="F514" t="s">
        <v>30</v>
      </c>
      <c r="G514">
        <v>6</v>
      </c>
      <c r="H514">
        <v>5</v>
      </c>
      <c r="I514" s="13">
        <v>45437</v>
      </c>
      <c r="J514" s="13" t="str">
        <f>TEXT(Table1[[#This Row],[Date]],"[$-en-US]mmm yyyy")</f>
        <v>May 2024</v>
      </c>
      <c r="K514" s="13" t="str">
        <f>TEXT(Table1[[#This Row],[Date]],"[$-en-US]ddd")</f>
        <v>Sat</v>
      </c>
    </row>
    <row r="515" spans="1:11" x14ac:dyDescent="0.25">
      <c r="A515">
        <v>16</v>
      </c>
      <c r="B515" t="s">
        <v>9</v>
      </c>
      <c r="C515">
        <v>27.92</v>
      </c>
      <c r="D515" t="s">
        <v>16</v>
      </c>
      <c r="E515" t="s">
        <v>15</v>
      </c>
      <c r="F515" t="s">
        <v>30</v>
      </c>
      <c r="G515">
        <v>6</v>
      </c>
      <c r="H515">
        <v>5</v>
      </c>
      <c r="I515" s="13">
        <v>45437</v>
      </c>
      <c r="J515" s="13" t="str">
        <f>TEXT(Table1[[#This Row],[Date]],"[$-en-US]mmm yyyy")</f>
        <v>May 2024</v>
      </c>
      <c r="K515" s="13" t="str">
        <f>TEXT(Table1[[#This Row],[Date]],"[$-en-US]ddd")</f>
        <v>Sat</v>
      </c>
    </row>
    <row r="516" spans="1:11" x14ac:dyDescent="0.25">
      <c r="A516">
        <v>10</v>
      </c>
      <c r="B516" t="s">
        <v>9</v>
      </c>
      <c r="C516">
        <v>37.72</v>
      </c>
      <c r="D516" t="s">
        <v>10</v>
      </c>
      <c r="E516" t="s">
        <v>11</v>
      </c>
      <c r="F516" t="s">
        <v>30</v>
      </c>
      <c r="G516">
        <v>7</v>
      </c>
      <c r="H516">
        <v>5</v>
      </c>
      <c r="I516" s="13">
        <v>45438</v>
      </c>
      <c r="J516" s="13" t="str">
        <f>TEXT(Table1[[#This Row],[Date]],"[$-en-US]mmm yyyy")</f>
        <v>May 2024</v>
      </c>
      <c r="K516" s="13" t="str">
        <f>TEXT(Table1[[#This Row],[Date]],"[$-en-US]ddd")</f>
        <v>Sun</v>
      </c>
    </row>
    <row r="517" spans="1:11" x14ac:dyDescent="0.25">
      <c r="A517">
        <v>14</v>
      </c>
      <c r="B517" t="s">
        <v>9</v>
      </c>
      <c r="C517">
        <v>32.82</v>
      </c>
      <c r="D517" t="s">
        <v>17</v>
      </c>
      <c r="E517" t="s">
        <v>15</v>
      </c>
      <c r="F517" t="s">
        <v>30</v>
      </c>
      <c r="G517">
        <v>7</v>
      </c>
      <c r="H517">
        <v>5</v>
      </c>
      <c r="I517" s="13">
        <v>45438</v>
      </c>
      <c r="J517" s="13" t="str">
        <f>TEXT(Table1[[#This Row],[Date]],"[$-en-US]mmm yyyy")</f>
        <v>May 2024</v>
      </c>
      <c r="K517" s="13" t="str">
        <f>TEXT(Table1[[#This Row],[Date]],"[$-en-US]ddd")</f>
        <v>Sun</v>
      </c>
    </row>
    <row r="518" spans="1:11" x14ac:dyDescent="0.25">
      <c r="A518">
        <v>14</v>
      </c>
      <c r="B518" t="s">
        <v>9</v>
      </c>
      <c r="C518">
        <v>27.92</v>
      </c>
      <c r="D518" t="s">
        <v>22</v>
      </c>
      <c r="E518" t="s">
        <v>15</v>
      </c>
      <c r="F518" t="s">
        <v>30</v>
      </c>
      <c r="G518">
        <v>7</v>
      </c>
      <c r="H518">
        <v>5</v>
      </c>
      <c r="I518" s="13">
        <v>45438</v>
      </c>
      <c r="J518" s="13" t="str">
        <f>TEXT(Table1[[#This Row],[Date]],"[$-en-US]mmm yyyy")</f>
        <v>May 2024</v>
      </c>
      <c r="K518" s="13" t="str">
        <f>TEXT(Table1[[#This Row],[Date]],"[$-en-US]ddd")</f>
        <v>Sun</v>
      </c>
    </row>
    <row r="519" spans="1:11" x14ac:dyDescent="0.25">
      <c r="A519">
        <v>14</v>
      </c>
      <c r="B519" t="s">
        <v>9</v>
      </c>
      <c r="C519">
        <v>32.82</v>
      </c>
      <c r="D519" t="s">
        <v>17</v>
      </c>
      <c r="E519" t="s">
        <v>15</v>
      </c>
      <c r="F519" t="s">
        <v>30</v>
      </c>
      <c r="G519">
        <v>7</v>
      </c>
      <c r="H519">
        <v>5</v>
      </c>
      <c r="I519" s="13">
        <v>45438</v>
      </c>
      <c r="J519" s="13" t="str">
        <f>TEXT(Table1[[#This Row],[Date]],"[$-en-US]mmm yyyy")</f>
        <v>May 2024</v>
      </c>
      <c r="K519" s="13" t="str">
        <f>TEXT(Table1[[#This Row],[Date]],"[$-en-US]ddd")</f>
        <v>Sun</v>
      </c>
    </row>
    <row r="520" spans="1:11" x14ac:dyDescent="0.25">
      <c r="A520">
        <v>17</v>
      </c>
      <c r="B520" t="s">
        <v>9</v>
      </c>
      <c r="C520">
        <v>37.72</v>
      </c>
      <c r="D520" t="s">
        <v>27</v>
      </c>
      <c r="E520" t="s">
        <v>18</v>
      </c>
      <c r="F520" t="s">
        <v>30</v>
      </c>
      <c r="G520">
        <v>7</v>
      </c>
      <c r="H520">
        <v>5</v>
      </c>
      <c r="I520" s="13">
        <v>45438</v>
      </c>
      <c r="J520" s="13" t="str">
        <f>TEXT(Table1[[#This Row],[Date]],"[$-en-US]mmm yyyy")</f>
        <v>May 2024</v>
      </c>
      <c r="K520" s="13" t="str">
        <f>TEXT(Table1[[#This Row],[Date]],"[$-en-US]ddd")</f>
        <v>Sun</v>
      </c>
    </row>
    <row r="521" spans="1:11" x14ac:dyDescent="0.25">
      <c r="A521">
        <v>18</v>
      </c>
      <c r="B521" t="s">
        <v>9</v>
      </c>
      <c r="C521">
        <v>37.72</v>
      </c>
      <c r="D521" t="s">
        <v>14</v>
      </c>
      <c r="E521" t="s">
        <v>18</v>
      </c>
      <c r="F521" t="s">
        <v>30</v>
      </c>
      <c r="G521">
        <v>7</v>
      </c>
      <c r="H521">
        <v>5</v>
      </c>
      <c r="I521" s="13">
        <v>45438</v>
      </c>
      <c r="J521" s="13" t="str">
        <f>TEXT(Table1[[#This Row],[Date]],"[$-en-US]mmm yyyy")</f>
        <v>May 2024</v>
      </c>
      <c r="K521" s="13" t="str">
        <f>TEXT(Table1[[#This Row],[Date]],"[$-en-US]ddd")</f>
        <v>Sun</v>
      </c>
    </row>
    <row r="522" spans="1:11" x14ac:dyDescent="0.25">
      <c r="A522">
        <v>18</v>
      </c>
      <c r="B522" t="s">
        <v>9</v>
      </c>
      <c r="C522">
        <v>37.72</v>
      </c>
      <c r="D522" t="s">
        <v>14</v>
      </c>
      <c r="E522" t="s">
        <v>18</v>
      </c>
      <c r="F522" t="s">
        <v>30</v>
      </c>
      <c r="G522">
        <v>7</v>
      </c>
      <c r="H522">
        <v>5</v>
      </c>
      <c r="I522" s="13">
        <v>45438</v>
      </c>
      <c r="J522" s="13" t="str">
        <f>TEXT(Table1[[#This Row],[Date]],"[$-en-US]mmm yyyy")</f>
        <v>May 2024</v>
      </c>
      <c r="K522" s="13" t="str">
        <f>TEXT(Table1[[#This Row],[Date]],"[$-en-US]ddd")</f>
        <v>Sun</v>
      </c>
    </row>
    <row r="523" spans="1:11" x14ac:dyDescent="0.25">
      <c r="A523">
        <v>18</v>
      </c>
      <c r="B523" t="s">
        <v>9</v>
      </c>
      <c r="C523">
        <v>27.92</v>
      </c>
      <c r="D523" t="s">
        <v>16</v>
      </c>
      <c r="E523" t="s">
        <v>18</v>
      </c>
      <c r="F523" t="s">
        <v>30</v>
      </c>
      <c r="G523">
        <v>7</v>
      </c>
      <c r="H523">
        <v>5</v>
      </c>
      <c r="I523" s="13">
        <v>45438</v>
      </c>
      <c r="J523" s="13" t="str">
        <f>TEXT(Table1[[#This Row],[Date]],"[$-en-US]mmm yyyy")</f>
        <v>May 2024</v>
      </c>
      <c r="K523" s="13" t="str">
        <f>TEXT(Table1[[#This Row],[Date]],"[$-en-US]ddd")</f>
        <v>Sun</v>
      </c>
    </row>
    <row r="524" spans="1:11" x14ac:dyDescent="0.25">
      <c r="A524">
        <v>18</v>
      </c>
      <c r="B524" t="s">
        <v>9</v>
      </c>
      <c r="C524">
        <v>37.72</v>
      </c>
      <c r="D524" t="s">
        <v>10</v>
      </c>
      <c r="E524" t="s">
        <v>18</v>
      </c>
      <c r="F524" t="s">
        <v>30</v>
      </c>
      <c r="G524">
        <v>7</v>
      </c>
      <c r="H524">
        <v>5</v>
      </c>
      <c r="I524" s="13">
        <v>45438</v>
      </c>
      <c r="J524" s="13" t="str">
        <f>TEXT(Table1[[#This Row],[Date]],"[$-en-US]mmm yyyy")</f>
        <v>May 2024</v>
      </c>
      <c r="K524" s="13" t="str">
        <f>TEXT(Table1[[#This Row],[Date]],"[$-en-US]ddd")</f>
        <v>Sun</v>
      </c>
    </row>
    <row r="525" spans="1:11" x14ac:dyDescent="0.25">
      <c r="A525">
        <v>20</v>
      </c>
      <c r="B525" t="s">
        <v>9</v>
      </c>
      <c r="C525">
        <v>37.72</v>
      </c>
      <c r="D525" t="s">
        <v>14</v>
      </c>
      <c r="E525" t="s">
        <v>18</v>
      </c>
      <c r="F525" t="s">
        <v>30</v>
      </c>
      <c r="G525">
        <v>7</v>
      </c>
      <c r="H525">
        <v>5</v>
      </c>
      <c r="I525" s="13">
        <v>45438</v>
      </c>
      <c r="J525" s="13" t="str">
        <f>TEXT(Table1[[#This Row],[Date]],"[$-en-US]mmm yyyy")</f>
        <v>May 2024</v>
      </c>
      <c r="K525" s="13" t="str">
        <f>TEXT(Table1[[#This Row],[Date]],"[$-en-US]ddd")</f>
        <v>Sun</v>
      </c>
    </row>
    <row r="526" spans="1:11" x14ac:dyDescent="0.25">
      <c r="A526">
        <v>21</v>
      </c>
      <c r="B526" t="s">
        <v>9</v>
      </c>
      <c r="C526">
        <v>37.72</v>
      </c>
      <c r="D526" t="s">
        <v>27</v>
      </c>
      <c r="E526" t="s">
        <v>18</v>
      </c>
      <c r="F526" t="s">
        <v>30</v>
      </c>
      <c r="G526">
        <v>7</v>
      </c>
      <c r="H526">
        <v>5</v>
      </c>
      <c r="I526" s="13">
        <v>45438</v>
      </c>
      <c r="J526" s="13" t="str">
        <f>TEXT(Table1[[#This Row],[Date]],"[$-en-US]mmm yyyy")</f>
        <v>May 2024</v>
      </c>
      <c r="K526" s="13" t="str">
        <f>TEXT(Table1[[#This Row],[Date]],"[$-en-US]ddd")</f>
        <v>Sun</v>
      </c>
    </row>
    <row r="527" spans="1:11" x14ac:dyDescent="0.25">
      <c r="A527">
        <v>21</v>
      </c>
      <c r="B527" t="s">
        <v>9</v>
      </c>
      <c r="C527">
        <v>27.92</v>
      </c>
      <c r="D527" t="s">
        <v>22</v>
      </c>
      <c r="E527" t="s">
        <v>18</v>
      </c>
      <c r="F527" t="s">
        <v>30</v>
      </c>
      <c r="G527">
        <v>7</v>
      </c>
      <c r="H527">
        <v>5</v>
      </c>
      <c r="I527" s="13">
        <v>45438</v>
      </c>
      <c r="J527" s="13" t="str">
        <f>TEXT(Table1[[#This Row],[Date]],"[$-en-US]mmm yyyy")</f>
        <v>May 2024</v>
      </c>
      <c r="K527" s="13" t="str">
        <f>TEXT(Table1[[#This Row],[Date]],"[$-en-US]ddd")</f>
        <v>Sun</v>
      </c>
    </row>
    <row r="528" spans="1:11" x14ac:dyDescent="0.25">
      <c r="A528">
        <v>21</v>
      </c>
      <c r="B528" t="s">
        <v>9</v>
      </c>
      <c r="C528">
        <v>37.72</v>
      </c>
      <c r="D528" t="s">
        <v>27</v>
      </c>
      <c r="E528" t="s">
        <v>18</v>
      </c>
      <c r="F528" t="s">
        <v>30</v>
      </c>
      <c r="G528">
        <v>7</v>
      </c>
      <c r="H528">
        <v>5</v>
      </c>
      <c r="I528" s="13">
        <v>45438</v>
      </c>
      <c r="J528" s="13" t="str">
        <f>TEXT(Table1[[#This Row],[Date]],"[$-en-US]mmm yyyy")</f>
        <v>May 2024</v>
      </c>
      <c r="K528" s="13" t="str">
        <f>TEXT(Table1[[#This Row],[Date]],"[$-en-US]ddd")</f>
        <v>Sun</v>
      </c>
    </row>
    <row r="529" spans="1:11" x14ac:dyDescent="0.25">
      <c r="A529">
        <v>21</v>
      </c>
      <c r="B529" t="s">
        <v>9</v>
      </c>
      <c r="C529">
        <v>37.72</v>
      </c>
      <c r="D529" t="s">
        <v>10</v>
      </c>
      <c r="E529" t="s">
        <v>18</v>
      </c>
      <c r="F529" t="s">
        <v>30</v>
      </c>
      <c r="G529">
        <v>7</v>
      </c>
      <c r="H529">
        <v>5</v>
      </c>
      <c r="I529" s="13">
        <v>45438</v>
      </c>
      <c r="J529" s="13" t="str">
        <f>TEXT(Table1[[#This Row],[Date]],"[$-en-US]mmm yyyy")</f>
        <v>May 2024</v>
      </c>
      <c r="K529" s="13" t="str">
        <f>TEXT(Table1[[#This Row],[Date]],"[$-en-US]ddd")</f>
        <v>Sun</v>
      </c>
    </row>
    <row r="530" spans="1:11" x14ac:dyDescent="0.25">
      <c r="A530">
        <v>21</v>
      </c>
      <c r="B530" t="s">
        <v>9</v>
      </c>
      <c r="C530">
        <v>37.72</v>
      </c>
      <c r="D530" t="s">
        <v>27</v>
      </c>
      <c r="E530" t="s">
        <v>18</v>
      </c>
      <c r="F530" t="s">
        <v>30</v>
      </c>
      <c r="G530">
        <v>7</v>
      </c>
      <c r="H530">
        <v>5</v>
      </c>
      <c r="I530" s="13">
        <v>45438</v>
      </c>
      <c r="J530" s="13" t="str">
        <f>TEXT(Table1[[#This Row],[Date]],"[$-en-US]mmm yyyy")</f>
        <v>May 2024</v>
      </c>
      <c r="K530" s="13" t="str">
        <f>TEXT(Table1[[#This Row],[Date]],"[$-en-US]ddd")</f>
        <v>Sun</v>
      </c>
    </row>
    <row r="531" spans="1:11" x14ac:dyDescent="0.25">
      <c r="A531">
        <v>11</v>
      </c>
      <c r="B531" t="s">
        <v>9</v>
      </c>
      <c r="C531">
        <v>27.92</v>
      </c>
      <c r="D531" t="s">
        <v>16</v>
      </c>
      <c r="E531" t="s">
        <v>11</v>
      </c>
      <c r="F531" t="s">
        <v>30</v>
      </c>
      <c r="G531">
        <v>1</v>
      </c>
      <c r="H531">
        <v>5</v>
      </c>
      <c r="I531" s="13">
        <v>45439</v>
      </c>
      <c r="J531" s="13" t="str">
        <f>TEXT(Table1[[#This Row],[Date]],"[$-en-US]mmm yyyy")</f>
        <v>May 2024</v>
      </c>
      <c r="K531" s="13" t="str">
        <f>TEXT(Table1[[#This Row],[Date]],"[$-en-US]ddd")</f>
        <v>Mon</v>
      </c>
    </row>
    <row r="532" spans="1:11" x14ac:dyDescent="0.25">
      <c r="A532">
        <v>14</v>
      </c>
      <c r="B532" t="s">
        <v>9</v>
      </c>
      <c r="C532">
        <v>32.82</v>
      </c>
      <c r="D532" t="s">
        <v>17</v>
      </c>
      <c r="E532" t="s">
        <v>15</v>
      </c>
      <c r="F532" t="s">
        <v>30</v>
      </c>
      <c r="G532">
        <v>1</v>
      </c>
      <c r="H532">
        <v>5</v>
      </c>
      <c r="I532" s="13">
        <v>45439</v>
      </c>
      <c r="J532" s="13" t="str">
        <f>TEXT(Table1[[#This Row],[Date]],"[$-en-US]mmm yyyy")</f>
        <v>May 2024</v>
      </c>
      <c r="K532" s="13" t="str">
        <f>TEXT(Table1[[#This Row],[Date]],"[$-en-US]ddd")</f>
        <v>Mon</v>
      </c>
    </row>
    <row r="533" spans="1:11" x14ac:dyDescent="0.25">
      <c r="A533">
        <v>14</v>
      </c>
      <c r="B533" t="s">
        <v>9</v>
      </c>
      <c r="C533">
        <v>37.72</v>
      </c>
      <c r="D533" t="s">
        <v>19</v>
      </c>
      <c r="E533" t="s">
        <v>15</v>
      </c>
      <c r="F533" t="s">
        <v>30</v>
      </c>
      <c r="G533">
        <v>1</v>
      </c>
      <c r="H533">
        <v>5</v>
      </c>
      <c r="I533" s="13">
        <v>45439</v>
      </c>
      <c r="J533" s="13" t="str">
        <f>TEXT(Table1[[#This Row],[Date]],"[$-en-US]mmm yyyy")</f>
        <v>May 2024</v>
      </c>
      <c r="K533" s="13" t="str">
        <f>TEXT(Table1[[#This Row],[Date]],"[$-en-US]ddd")</f>
        <v>Mon</v>
      </c>
    </row>
    <row r="534" spans="1:11" x14ac:dyDescent="0.25">
      <c r="A534">
        <v>15</v>
      </c>
      <c r="B534" t="s">
        <v>9</v>
      </c>
      <c r="C534">
        <v>27.92</v>
      </c>
      <c r="D534" t="s">
        <v>16</v>
      </c>
      <c r="E534" t="s">
        <v>15</v>
      </c>
      <c r="F534" t="s">
        <v>30</v>
      </c>
      <c r="G534">
        <v>1</v>
      </c>
      <c r="H534">
        <v>5</v>
      </c>
      <c r="I534" s="13">
        <v>45439</v>
      </c>
      <c r="J534" s="13" t="str">
        <f>TEXT(Table1[[#This Row],[Date]],"[$-en-US]mmm yyyy")</f>
        <v>May 2024</v>
      </c>
      <c r="K534" s="13" t="str">
        <f>TEXT(Table1[[#This Row],[Date]],"[$-en-US]ddd")</f>
        <v>Mon</v>
      </c>
    </row>
    <row r="535" spans="1:11" x14ac:dyDescent="0.25">
      <c r="A535">
        <v>15</v>
      </c>
      <c r="B535" t="s">
        <v>9</v>
      </c>
      <c r="C535">
        <v>27.92</v>
      </c>
      <c r="D535" t="s">
        <v>16</v>
      </c>
      <c r="E535" t="s">
        <v>15</v>
      </c>
      <c r="F535" t="s">
        <v>30</v>
      </c>
      <c r="G535">
        <v>1</v>
      </c>
      <c r="H535">
        <v>5</v>
      </c>
      <c r="I535" s="13">
        <v>45439</v>
      </c>
      <c r="J535" s="13" t="str">
        <f>TEXT(Table1[[#This Row],[Date]],"[$-en-US]mmm yyyy")</f>
        <v>May 2024</v>
      </c>
      <c r="K535" s="13" t="str">
        <f>TEXT(Table1[[#This Row],[Date]],"[$-en-US]ddd")</f>
        <v>Mon</v>
      </c>
    </row>
    <row r="536" spans="1:11" x14ac:dyDescent="0.25">
      <c r="A536">
        <v>17</v>
      </c>
      <c r="B536" t="s">
        <v>9</v>
      </c>
      <c r="C536">
        <v>37.72</v>
      </c>
      <c r="D536" t="s">
        <v>10</v>
      </c>
      <c r="E536" t="s">
        <v>18</v>
      </c>
      <c r="F536" t="s">
        <v>30</v>
      </c>
      <c r="G536">
        <v>1</v>
      </c>
      <c r="H536">
        <v>5</v>
      </c>
      <c r="I536" s="13">
        <v>45439</v>
      </c>
      <c r="J536" s="13" t="str">
        <f>TEXT(Table1[[#This Row],[Date]],"[$-en-US]mmm yyyy")</f>
        <v>May 2024</v>
      </c>
      <c r="K536" s="13" t="str">
        <f>TEXT(Table1[[#This Row],[Date]],"[$-en-US]ddd")</f>
        <v>Mon</v>
      </c>
    </row>
    <row r="537" spans="1:11" x14ac:dyDescent="0.25">
      <c r="A537">
        <v>18</v>
      </c>
      <c r="B537" t="s">
        <v>9</v>
      </c>
      <c r="C537">
        <v>27.92</v>
      </c>
      <c r="D537" t="s">
        <v>16</v>
      </c>
      <c r="E537" t="s">
        <v>18</v>
      </c>
      <c r="F537" t="s">
        <v>30</v>
      </c>
      <c r="G537">
        <v>1</v>
      </c>
      <c r="H537">
        <v>5</v>
      </c>
      <c r="I537" s="13">
        <v>45439</v>
      </c>
      <c r="J537" s="13" t="str">
        <f>TEXT(Table1[[#This Row],[Date]],"[$-en-US]mmm yyyy")</f>
        <v>May 2024</v>
      </c>
      <c r="K537" s="13" t="str">
        <f>TEXT(Table1[[#This Row],[Date]],"[$-en-US]ddd")</f>
        <v>Mon</v>
      </c>
    </row>
    <row r="538" spans="1:11" x14ac:dyDescent="0.25">
      <c r="A538">
        <v>19</v>
      </c>
      <c r="B538" t="s">
        <v>9</v>
      </c>
      <c r="C538">
        <v>37.72</v>
      </c>
      <c r="D538" t="s">
        <v>10</v>
      </c>
      <c r="E538" t="s">
        <v>18</v>
      </c>
      <c r="F538" t="s">
        <v>30</v>
      </c>
      <c r="G538">
        <v>1</v>
      </c>
      <c r="H538">
        <v>5</v>
      </c>
      <c r="I538" s="13">
        <v>45439</v>
      </c>
      <c r="J538" s="13" t="str">
        <f>TEXT(Table1[[#This Row],[Date]],"[$-en-US]mmm yyyy")</f>
        <v>May 2024</v>
      </c>
      <c r="K538" s="13" t="str">
        <f>TEXT(Table1[[#This Row],[Date]],"[$-en-US]ddd")</f>
        <v>Mon</v>
      </c>
    </row>
    <row r="539" spans="1:11" x14ac:dyDescent="0.25">
      <c r="A539">
        <v>19</v>
      </c>
      <c r="B539" t="s">
        <v>9</v>
      </c>
      <c r="C539">
        <v>37.72</v>
      </c>
      <c r="D539" t="s">
        <v>10</v>
      </c>
      <c r="E539" t="s">
        <v>18</v>
      </c>
      <c r="F539" t="s">
        <v>30</v>
      </c>
      <c r="G539">
        <v>1</v>
      </c>
      <c r="H539">
        <v>5</v>
      </c>
      <c r="I539" s="13">
        <v>45439</v>
      </c>
      <c r="J539" s="13" t="str">
        <f>TEXT(Table1[[#This Row],[Date]],"[$-en-US]mmm yyyy")</f>
        <v>May 2024</v>
      </c>
      <c r="K539" s="13" t="str">
        <f>TEXT(Table1[[#This Row],[Date]],"[$-en-US]ddd")</f>
        <v>Mon</v>
      </c>
    </row>
    <row r="540" spans="1:11" x14ac:dyDescent="0.25">
      <c r="A540">
        <v>21</v>
      </c>
      <c r="B540" t="s">
        <v>9</v>
      </c>
      <c r="C540">
        <v>32.82</v>
      </c>
      <c r="D540" t="s">
        <v>17</v>
      </c>
      <c r="E540" t="s">
        <v>18</v>
      </c>
      <c r="F540" t="s">
        <v>30</v>
      </c>
      <c r="G540">
        <v>1</v>
      </c>
      <c r="H540">
        <v>5</v>
      </c>
      <c r="I540" s="13">
        <v>45439</v>
      </c>
      <c r="J540" s="13" t="str">
        <f>TEXT(Table1[[#This Row],[Date]],"[$-en-US]mmm yyyy")</f>
        <v>May 2024</v>
      </c>
      <c r="K540" s="13" t="str">
        <f>TEXT(Table1[[#This Row],[Date]],"[$-en-US]ddd")</f>
        <v>Mon</v>
      </c>
    </row>
    <row r="541" spans="1:11" x14ac:dyDescent="0.25">
      <c r="A541">
        <v>21</v>
      </c>
      <c r="B541" t="s">
        <v>9</v>
      </c>
      <c r="C541">
        <v>37.72</v>
      </c>
      <c r="D541" t="s">
        <v>27</v>
      </c>
      <c r="E541" t="s">
        <v>18</v>
      </c>
      <c r="F541" t="s">
        <v>30</v>
      </c>
      <c r="G541">
        <v>1</v>
      </c>
      <c r="H541">
        <v>5</v>
      </c>
      <c r="I541" s="13">
        <v>45439</v>
      </c>
      <c r="J541" s="13" t="str">
        <f>TEXT(Table1[[#This Row],[Date]],"[$-en-US]mmm yyyy")</f>
        <v>May 2024</v>
      </c>
      <c r="K541" s="13" t="str">
        <f>TEXT(Table1[[#This Row],[Date]],"[$-en-US]ddd")</f>
        <v>Mon</v>
      </c>
    </row>
    <row r="542" spans="1:11" x14ac:dyDescent="0.25">
      <c r="A542">
        <v>8</v>
      </c>
      <c r="B542" t="s">
        <v>9</v>
      </c>
      <c r="C542">
        <v>32.82</v>
      </c>
      <c r="D542" t="s">
        <v>17</v>
      </c>
      <c r="E542" t="s">
        <v>11</v>
      </c>
      <c r="F542" t="s">
        <v>30</v>
      </c>
      <c r="G542">
        <v>2</v>
      </c>
      <c r="H542">
        <v>5</v>
      </c>
      <c r="I542" s="13">
        <v>45440</v>
      </c>
      <c r="J542" s="13" t="str">
        <f>TEXT(Table1[[#This Row],[Date]],"[$-en-US]mmm yyyy")</f>
        <v>May 2024</v>
      </c>
      <c r="K542" s="13" t="str">
        <f>TEXT(Table1[[#This Row],[Date]],"[$-en-US]ddd")</f>
        <v>Tue</v>
      </c>
    </row>
    <row r="543" spans="1:11" x14ac:dyDescent="0.25">
      <c r="A543">
        <v>9</v>
      </c>
      <c r="B543" t="s">
        <v>9</v>
      </c>
      <c r="C543">
        <v>32.82</v>
      </c>
      <c r="D543" t="s">
        <v>17</v>
      </c>
      <c r="E543" t="s">
        <v>11</v>
      </c>
      <c r="F543" t="s">
        <v>30</v>
      </c>
      <c r="G543">
        <v>2</v>
      </c>
      <c r="H543">
        <v>5</v>
      </c>
      <c r="I543" s="13">
        <v>45440</v>
      </c>
      <c r="J543" s="13" t="str">
        <f>TEXT(Table1[[#This Row],[Date]],"[$-en-US]mmm yyyy")</f>
        <v>May 2024</v>
      </c>
      <c r="K543" s="13" t="str">
        <f>TEXT(Table1[[#This Row],[Date]],"[$-en-US]ddd")</f>
        <v>Tue</v>
      </c>
    </row>
    <row r="544" spans="1:11" x14ac:dyDescent="0.25">
      <c r="A544">
        <v>11</v>
      </c>
      <c r="B544" t="s">
        <v>9</v>
      </c>
      <c r="C544">
        <v>37.72</v>
      </c>
      <c r="D544" t="s">
        <v>27</v>
      </c>
      <c r="E544" t="s">
        <v>11</v>
      </c>
      <c r="F544" t="s">
        <v>30</v>
      </c>
      <c r="G544">
        <v>2</v>
      </c>
      <c r="H544">
        <v>5</v>
      </c>
      <c r="I544" s="13">
        <v>45440</v>
      </c>
      <c r="J544" s="13" t="str">
        <f>TEXT(Table1[[#This Row],[Date]],"[$-en-US]mmm yyyy")</f>
        <v>May 2024</v>
      </c>
      <c r="K544" s="13" t="str">
        <f>TEXT(Table1[[#This Row],[Date]],"[$-en-US]ddd")</f>
        <v>Tue</v>
      </c>
    </row>
    <row r="545" spans="1:11" x14ac:dyDescent="0.25">
      <c r="A545">
        <v>13</v>
      </c>
      <c r="B545" t="s">
        <v>9</v>
      </c>
      <c r="C545">
        <v>37.72</v>
      </c>
      <c r="D545" t="s">
        <v>27</v>
      </c>
      <c r="E545" t="s">
        <v>15</v>
      </c>
      <c r="F545" t="s">
        <v>30</v>
      </c>
      <c r="G545">
        <v>2</v>
      </c>
      <c r="H545">
        <v>5</v>
      </c>
      <c r="I545" s="13">
        <v>45440</v>
      </c>
      <c r="J545" s="13" t="str">
        <f>TEXT(Table1[[#This Row],[Date]],"[$-en-US]mmm yyyy")</f>
        <v>May 2024</v>
      </c>
      <c r="K545" s="13" t="str">
        <f>TEXT(Table1[[#This Row],[Date]],"[$-en-US]ddd")</f>
        <v>Tue</v>
      </c>
    </row>
    <row r="546" spans="1:11" x14ac:dyDescent="0.25">
      <c r="A546">
        <v>14</v>
      </c>
      <c r="B546" t="s">
        <v>9</v>
      </c>
      <c r="C546">
        <v>37.72</v>
      </c>
      <c r="D546" t="s">
        <v>19</v>
      </c>
      <c r="E546" t="s">
        <v>15</v>
      </c>
      <c r="F546" t="s">
        <v>30</v>
      </c>
      <c r="G546">
        <v>2</v>
      </c>
      <c r="H546">
        <v>5</v>
      </c>
      <c r="I546" s="13">
        <v>45440</v>
      </c>
      <c r="J546" s="13" t="str">
        <f>TEXT(Table1[[#This Row],[Date]],"[$-en-US]mmm yyyy")</f>
        <v>May 2024</v>
      </c>
      <c r="K546" s="13" t="str">
        <f>TEXT(Table1[[#This Row],[Date]],"[$-en-US]ddd")</f>
        <v>Tue</v>
      </c>
    </row>
    <row r="547" spans="1:11" x14ac:dyDescent="0.25">
      <c r="A547">
        <v>16</v>
      </c>
      <c r="B547" t="s">
        <v>9</v>
      </c>
      <c r="C547">
        <v>27.92</v>
      </c>
      <c r="D547" t="s">
        <v>22</v>
      </c>
      <c r="E547" t="s">
        <v>15</v>
      </c>
      <c r="F547" t="s">
        <v>30</v>
      </c>
      <c r="G547">
        <v>2</v>
      </c>
      <c r="H547">
        <v>5</v>
      </c>
      <c r="I547" s="13">
        <v>45440</v>
      </c>
      <c r="J547" s="13" t="str">
        <f>TEXT(Table1[[#This Row],[Date]],"[$-en-US]mmm yyyy")</f>
        <v>May 2024</v>
      </c>
      <c r="K547" s="13" t="str">
        <f>TEXT(Table1[[#This Row],[Date]],"[$-en-US]ddd")</f>
        <v>Tue</v>
      </c>
    </row>
    <row r="548" spans="1:11" x14ac:dyDescent="0.25">
      <c r="A548">
        <v>19</v>
      </c>
      <c r="B548" t="s">
        <v>9</v>
      </c>
      <c r="C548">
        <v>27.92</v>
      </c>
      <c r="D548" t="s">
        <v>16</v>
      </c>
      <c r="E548" t="s">
        <v>18</v>
      </c>
      <c r="F548" t="s">
        <v>30</v>
      </c>
      <c r="G548">
        <v>2</v>
      </c>
      <c r="H548">
        <v>5</v>
      </c>
      <c r="I548" s="13">
        <v>45440</v>
      </c>
      <c r="J548" s="13" t="str">
        <f>TEXT(Table1[[#This Row],[Date]],"[$-en-US]mmm yyyy")</f>
        <v>May 2024</v>
      </c>
      <c r="K548" s="13" t="str">
        <f>TEXT(Table1[[#This Row],[Date]],"[$-en-US]ddd")</f>
        <v>Tue</v>
      </c>
    </row>
    <row r="549" spans="1:11" x14ac:dyDescent="0.25">
      <c r="A549">
        <v>19</v>
      </c>
      <c r="B549" t="s">
        <v>9</v>
      </c>
      <c r="C549">
        <v>37.72</v>
      </c>
      <c r="D549" t="s">
        <v>10</v>
      </c>
      <c r="E549" t="s">
        <v>18</v>
      </c>
      <c r="F549" t="s">
        <v>30</v>
      </c>
      <c r="G549">
        <v>2</v>
      </c>
      <c r="H549">
        <v>5</v>
      </c>
      <c r="I549" s="13">
        <v>45440</v>
      </c>
      <c r="J549" s="13" t="str">
        <f>TEXT(Table1[[#This Row],[Date]],"[$-en-US]mmm yyyy")</f>
        <v>May 2024</v>
      </c>
      <c r="K549" s="13" t="str">
        <f>TEXT(Table1[[#This Row],[Date]],"[$-en-US]ddd")</f>
        <v>Tue</v>
      </c>
    </row>
    <row r="550" spans="1:11" x14ac:dyDescent="0.25">
      <c r="A550">
        <v>20</v>
      </c>
      <c r="B550" t="s">
        <v>9</v>
      </c>
      <c r="C550">
        <v>32.82</v>
      </c>
      <c r="D550" t="s">
        <v>17</v>
      </c>
      <c r="E550" t="s">
        <v>18</v>
      </c>
      <c r="F550" t="s">
        <v>30</v>
      </c>
      <c r="G550">
        <v>2</v>
      </c>
      <c r="H550">
        <v>5</v>
      </c>
      <c r="I550" s="13">
        <v>45440</v>
      </c>
      <c r="J550" s="13" t="str">
        <f>TEXT(Table1[[#This Row],[Date]],"[$-en-US]mmm yyyy")</f>
        <v>May 2024</v>
      </c>
      <c r="K550" s="13" t="str">
        <f>TEXT(Table1[[#This Row],[Date]],"[$-en-US]ddd")</f>
        <v>Tue</v>
      </c>
    </row>
    <row r="551" spans="1:11" x14ac:dyDescent="0.25">
      <c r="A551">
        <v>20</v>
      </c>
      <c r="B551" t="s">
        <v>9</v>
      </c>
      <c r="C551">
        <v>27.92</v>
      </c>
      <c r="D551" t="s">
        <v>16</v>
      </c>
      <c r="E551" t="s">
        <v>18</v>
      </c>
      <c r="F551" t="s">
        <v>30</v>
      </c>
      <c r="G551">
        <v>2</v>
      </c>
      <c r="H551">
        <v>5</v>
      </c>
      <c r="I551" s="13">
        <v>45440</v>
      </c>
      <c r="J551" s="13" t="str">
        <f>TEXT(Table1[[#This Row],[Date]],"[$-en-US]mmm yyyy")</f>
        <v>May 2024</v>
      </c>
      <c r="K551" s="13" t="str">
        <f>TEXT(Table1[[#This Row],[Date]],"[$-en-US]ddd")</f>
        <v>Tue</v>
      </c>
    </row>
    <row r="552" spans="1:11" x14ac:dyDescent="0.25">
      <c r="A552">
        <v>9</v>
      </c>
      <c r="B552" t="s">
        <v>9</v>
      </c>
      <c r="C552">
        <v>37.72</v>
      </c>
      <c r="D552" t="s">
        <v>10</v>
      </c>
      <c r="E552" t="s">
        <v>11</v>
      </c>
      <c r="F552" t="s">
        <v>30</v>
      </c>
      <c r="G552">
        <v>3</v>
      </c>
      <c r="H552">
        <v>5</v>
      </c>
      <c r="I552" s="13">
        <v>45441</v>
      </c>
      <c r="J552" s="13" t="str">
        <f>TEXT(Table1[[#This Row],[Date]],"[$-en-US]mmm yyyy")</f>
        <v>May 2024</v>
      </c>
      <c r="K552" s="13" t="str">
        <f>TEXT(Table1[[#This Row],[Date]],"[$-en-US]ddd")</f>
        <v>Wed</v>
      </c>
    </row>
    <row r="553" spans="1:11" x14ac:dyDescent="0.25">
      <c r="A553">
        <v>11</v>
      </c>
      <c r="B553" t="s">
        <v>9</v>
      </c>
      <c r="C553">
        <v>37.72</v>
      </c>
      <c r="D553" t="s">
        <v>14</v>
      </c>
      <c r="E553" t="s">
        <v>11</v>
      </c>
      <c r="F553" t="s">
        <v>30</v>
      </c>
      <c r="G553">
        <v>3</v>
      </c>
      <c r="H553">
        <v>5</v>
      </c>
      <c r="I553" s="13">
        <v>45441</v>
      </c>
      <c r="J553" s="13" t="str">
        <f>TEXT(Table1[[#This Row],[Date]],"[$-en-US]mmm yyyy")</f>
        <v>May 2024</v>
      </c>
      <c r="K553" s="13" t="str">
        <f>TEXT(Table1[[#This Row],[Date]],"[$-en-US]ddd")</f>
        <v>Wed</v>
      </c>
    </row>
    <row r="554" spans="1:11" x14ac:dyDescent="0.25">
      <c r="A554">
        <v>15</v>
      </c>
      <c r="B554" t="s">
        <v>9</v>
      </c>
      <c r="C554">
        <v>27.92</v>
      </c>
      <c r="D554" t="s">
        <v>16</v>
      </c>
      <c r="E554" t="s">
        <v>15</v>
      </c>
      <c r="F554" t="s">
        <v>30</v>
      </c>
      <c r="G554">
        <v>3</v>
      </c>
      <c r="H554">
        <v>5</v>
      </c>
      <c r="I554" s="13">
        <v>45441</v>
      </c>
      <c r="J554" s="13" t="str">
        <f>TEXT(Table1[[#This Row],[Date]],"[$-en-US]mmm yyyy")</f>
        <v>May 2024</v>
      </c>
      <c r="K554" s="13" t="str">
        <f>TEXT(Table1[[#This Row],[Date]],"[$-en-US]ddd")</f>
        <v>Wed</v>
      </c>
    </row>
    <row r="555" spans="1:11" x14ac:dyDescent="0.25">
      <c r="A555">
        <v>15</v>
      </c>
      <c r="B555" t="s">
        <v>9</v>
      </c>
      <c r="C555">
        <v>37.72</v>
      </c>
      <c r="D555" t="s">
        <v>10</v>
      </c>
      <c r="E555" t="s">
        <v>15</v>
      </c>
      <c r="F555" t="s">
        <v>30</v>
      </c>
      <c r="G555">
        <v>3</v>
      </c>
      <c r="H555">
        <v>5</v>
      </c>
      <c r="I555" s="13">
        <v>45441</v>
      </c>
      <c r="J555" s="13" t="str">
        <f>TEXT(Table1[[#This Row],[Date]],"[$-en-US]mmm yyyy")</f>
        <v>May 2024</v>
      </c>
      <c r="K555" s="13" t="str">
        <f>TEXT(Table1[[#This Row],[Date]],"[$-en-US]ddd")</f>
        <v>Wed</v>
      </c>
    </row>
    <row r="556" spans="1:11" x14ac:dyDescent="0.25">
      <c r="A556">
        <v>15</v>
      </c>
      <c r="B556" t="s">
        <v>9</v>
      </c>
      <c r="C556">
        <v>37.72</v>
      </c>
      <c r="D556" t="s">
        <v>27</v>
      </c>
      <c r="E556" t="s">
        <v>15</v>
      </c>
      <c r="F556" t="s">
        <v>30</v>
      </c>
      <c r="G556">
        <v>3</v>
      </c>
      <c r="H556">
        <v>5</v>
      </c>
      <c r="I556" s="13">
        <v>45441</v>
      </c>
      <c r="J556" s="13" t="str">
        <f>TEXT(Table1[[#This Row],[Date]],"[$-en-US]mmm yyyy")</f>
        <v>May 2024</v>
      </c>
      <c r="K556" s="13" t="str">
        <f>TEXT(Table1[[#This Row],[Date]],"[$-en-US]ddd")</f>
        <v>Wed</v>
      </c>
    </row>
    <row r="557" spans="1:11" x14ac:dyDescent="0.25">
      <c r="A557">
        <v>16</v>
      </c>
      <c r="B557" t="s">
        <v>9</v>
      </c>
      <c r="C557">
        <v>37.72</v>
      </c>
      <c r="D557" t="s">
        <v>10</v>
      </c>
      <c r="E557" t="s">
        <v>15</v>
      </c>
      <c r="F557" t="s">
        <v>30</v>
      </c>
      <c r="G557">
        <v>3</v>
      </c>
      <c r="H557">
        <v>5</v>
      </c>
      <c r="I557" s="13">
        <v>45441</v>
      </c>
      <c r="J557" s="13" t="str">
        <f>TEXT(Table1[[#This Row],[Date]],"[$-en-US]mmm yyyy")</f>
        <v>May 2024</v>
      </c>
      <c r="K557" s="13" t="str">
        <f>TEXT(Table1[[#This Row],[Date]],"[$-en-US]ddd")</f>
        <v>Wed</v>
      </c>
    </row>
    <row r="558" spans="1:11" x14ac:dyDescent="0.25">
      <c r="A558">
        <v>18</v>
      </c>
      <c r="B558" t="s">
        <v>9</v>
      </c>
      <c r="C558">
        <v>27.92</v>
      </c>
      <c r="D558" t="s">
        <v>22</v>
      </c>
      <c r="E558" t="s">
        <v>18</v>
      </c>
      <c r="F558" t="s">
        <v>30</v>
      </c>
      <c r="G558">
        <v>3</v>
      </c>
      <c r="H558">
        <v>5</v>
      </c>
      <c r="I558" s="13">
        <v>45441</v>
      </c>
      <c r="J558" s="13" t="str">
        <f>TEXT(Table1[[#This Row],[Date]],"[$-en-US]mmm yyyy")</f>
        <v>May 2024</v>
      </c>
      <c r="K558" s="13" t="str">
        <f>TEXT(Table1[[#This Row],[Date]],"[$-en-US]ddd")</f>
        <v>Wed</v>
      </c>
    </row>
    <row r="559" spans="1:11" x14ac:dyDescent="0.25">
      <c r="A559">
        <v>18</v>
      </c>
      <c r="B559" t="s">
        <v>9</v>
      </c>
      <c r="C559">
        <v>37.72</v>
      </c>
      <c r="D559" t="s">
        <v>10</v>
      </c>
      <c r="E559" t="s">
        <v>18</v>
      </c>
      <c r="F559" t="s">
        <v>30</v>
      </c>
      <c r="G559">
        <v>3</v>
      </c>
      <c r="H559">
        <v>5</v>
      </c>
      <c r="I559" s="13">
        <v>45441</v>
      </c>
      <c r="J559" s="13" t="str">
        <f>TEXT(Table1[[#This Row],[Date]],"[$-en-US]mmm yyyy")</f>
        <v>May 2024</v>
      </c>
      <c r="K559" s="13" t="str">
        <f>TEXT(Table1[[#This Row],[Date]],"[$-en-US]ddd")</f>
        <v>Wed</v>
      </c>
    </row>
    <row r="560" spans="1:11" x14ac:dyDescent="0.25">
      <c r="A560">
        <v>20</v>
      </c>
      <c r="B560" t="s">
        <v>9</v>
      </c>
      <c r="C560">
        <v>37.72</v>
      </c>
      <c r="D560" t="s">
        <v>14</v>
      </c>
      <c r="E560" t="s">
        <v>18</v>
      </c>
      <c r="F560" t="s">
        <v>30</v>
      </c>
      <c r="G560">
        <v>3</v>
      </c>
      <c r="H560">
        <v>5</v>
      </c>
      <c r="I560" s="13">
        <v>45441</v>
      </c>
      <c r="J560" s="13" t="str">
        <f>TEXT(Table1[[#This Row],[Date]],"[$-en-US]mmm yyyy")</f>
        <v>May 2024</v>
      </c>
      <c r="K560" s="13" t="str">
        <f>TEXT(Table1[[#This Row],[Date]],"[$-en-US]ddd")</f>
        <v>Wed</v>
      </c>
    </row>
    <row r="561" spans="1:11" x14ac:dyDescent="0.25">
      <c r="A561">
        <v>20</v>
      </c>
      <c r="B561" t="s">
        <v>9</v>
      </c>
      <c r="C561">
        <v>37.72</v>
      </c>
      <c r="D561" t="s">
        <v>19</v>
      </c>
      <c r="E561" t="s">
        <v>18</v>
      </c>
      <c r="F561" t="s">
        <v>30</v>
      </c>
      <c r="G561">
        <v>3</v>
      </c>
      <c r="H561">
        <v>5</v>
      </c>
      <c r="I561" s="13">
        <v>45441</v>
      </c>
      <c r="J561" s="13" t="str">
        <f>TEXT(Table1[[#This Row],[Date]],"[$-en-US]mmm yyyy")</f>
        <v>May 2024</v>
      </c>
      <c r="K561" s="13" t="str">
        <f>TEXT(Table1[[#This Row],[Date]],"[$-en-US]ddd")</f>
        <v>Wed</v>
      </c>
    </row>
    <row r="562" spans="1:11" x14ac:dyDescent="0.25">
      <c r="A562">
        <v>8</v>
      </c>
      <c r="B562" t="s">
        <v>9</v>
      </c>
      <c r="C562">
        <v>37.72</v>
      </c>
      <c r="D562" t="s">
        <v>27</v>
      </c>
      <c r="E562" t="s">
        <v>11</v>
      </c>
      <c r="F562" t="s">
        <v>30</v>
      </c>
      <c r="G562">
        <v>4</v>
      </c>
      <c r="H562">
        <v>5</v>
      </c>
      <c r="I562" s="13">
        <v>45442</v>
      </c>
      <c r="J562" s="13" t="str">
        <f>TEXT(Table1[[#This Row],[Date]],"[$-en-US]mmm yyyy")</f>
        <v>May 2024</v>
      </c>
      <c r="K562" s="13" t="str">
        <f>TEXT(Table1[[#This Row],[Date]],"[$-en-US]ddd")</f>
        <v>Thu</v>
      </c>
    </row>
    <row r="563" spans="1:11" x14ac:dyDescent="0.25">
      <c r="A563">
        <v>8</v>
      </c>
      <c r="B563" t="s">
        <v>9</v>
      </c>
      <c r="C563">
        <v>37.72</v>
      </c>
      <c r="D563" t="s">
        <v>10</v>
      </c>
      <c r="E563" t="s">
        <v>11</v>
      </c>
      <c r="F563" t="s">
        <v>30</v>
      </c>
      <c r="G563">
        <v>4</v>
      </c>
      <c r="H563">
        <v>5</v>
      </c>
      <c r="I563" s="13">
        <v>45442</v>
      </c>
      <c r="J563" s="13" t="str">
        <f>TEXT(Table1[[#This Row],[Date]],"[$-en-US]mmm yyyy")</f>
        <v>May 2024</v>
      </c>
      <c r="K563" s="13" t="str">
        <f>TEXT(Table1[[#This Row],[Date]],"[$-en-US]ddd")</f>
        <v>Thu</v>
      </c>
    </row>
    <row r="564" spans="1:11" x14ac:dyDescent="0.25">
      <c r="A564">
        <v>8</v>
      </c>
      <c r="B564" t="s">
        <v>9</v>
      </c>
      <c r="C564">
        <v>32.82</v>
      </c>
      <c r="D564" t="s">
        <v>17</v>
      </c>
      <c r="E564" t="s">
        <v>11</v>
      </c>
      <c r="F564" t="s">
        <v>30</v>
      </c>
      <c r="G564">
        <v>4</v>
      </c>
      <c r="H564">
        <v>5</v>
      </c>
      <c r="I564" s="13">
        <v>45442</v>
      </c>
      <c r="J564" s="13" t="str">
        <f>TEXT(Table1[[#This Row],[Date]],"[$-en-US]mmm yyyy")</f>
        <v>May 2024</v>
      </c>
      <c r="K564" s="13" t="str">
        <f>TEXT(Table1[[#This Row],[Date]],"[$-en-US]ddd")</f>
        <v>Thu</v>
      </c>
    </row>
    <row r="565" spans="1:11" x14ac:dyDescent="0.25">
      <c r="A565">
        <v>9</v>
      </c>
      <c r="B565" t="s">
        <v>9</v>
      </c>
      <c r="C565">
        <v>37.72</v>
      </c>
      <c r="D565" t="s">
        <v>10</v>
      </c>
      <c r="E565" t="s">
        <v>11</v>
      </c>
      <c r="F565" t="s">
        <v>30</v>
      </c>
      <c r="G565">
        <v>4</v>
      </c>
      <c r="H565">
        <v>5</v>
      </c>
      <c r="I565" s="13">
        <v>45442</v>
      </c>
      <c r="J565" s="13" t="str">
        <f>TEXT(Table1[[#This Row],[Date]],"[$-en-US]mmm yyyy")</f>
        <v>May 2024</v>
      </c>
      <c r="K565" s="13" t="str">
        <f>TEXT(Table1[[#This Row],[Date]],"[$-en-US]ddd")</f>
        <v>Thu</v>
      </c>
    </row>
    <row r="566" spans="1:11" x14ac:dyDescent="0.25">
      <c r="A566">
        <v>14</v>
      </c>
      <c r="B566" t="s">
        <v>9</v>
      </c>
      <c r="C566">
        <v>32.82</v>
      </c>
      <c r="D566" t="s">
        <v>17</v>
      </c>
      <c r="E566" t="s">
        <v>15</v>
      </c>
      <c r="F566" t="s">
        <v>30</v>
      </c>
      <c r="G566">
        <v>4</v>
      </c>
      <c r="H566">
        <v>5</v>
      </c>
      <c r="I566" s="13">
        <v>45442</v>
      </c>
      <c r="J566" s="13" t="str">
        <f>TEXT(Table1[[#This Row],[Date]],"[$-en-US]mmm yyyy")</f>
        <v>May 2024</v>
      </c>
      <c r="K566" s="13" t="str">
        <f>TEXT(Table1[[#This Row],[Date]],"[$-en-US]ddd")</f>
        <v>Thu</v>
      </c>
    </row>
    <row r="567" spans="1:11" x14ac:dyDescent="0.25">
      <c r="A567">
        <v>15</v>
      </c>
      <c r="B567" t="s">
        <v>9</v>
      </c>
      <c r="C567">
        <v>23.02</v>
      </c>
      <c r="D567" t="s">
        <v>24</v>
      </c>
      <c r="E567" t="s">
        <v>15</v>
      </c>
      <c r="F567" t="s">
        <v>30</v>
      </c>
      <c r="G567">
        <v>4</v>
      </c>
      <c r="H567">
        <v>5</v>
      </c>
      <c r="I567" s="13">
        <v>45442</v>
      </c>
      <c r="J567" s="13" t="str">
        <f>TEXT(Table1[[#This Row],[Date]],"[$-en-US]mmm yyyy")</f>
        <v>May 2024</v>
      </c>
      <c r="K567" s="13" t="str">
        <f>TEXT(Table1[[#This Row],[Date]],"[$-en-US]ddd")</f>
        <v>Thu</v>
      </c>
    </row>
    <row r="568" spans="1:11" x14ac:dyDescent="0.25">
      <c r="A568">
        <v>15</v>
      </c>
      <c r="B568" t="s">
        <v>9</v>
      </c>
      <c r="C568">
        <v>23.02</v>
      </c>
      <c r="D568" t="s">
        <v>24</v>
      </c>
      <c r="E568" t="s">
        <v>15</v>
      </c>
      <c r="F568" t="s">
        <v>30</v>
      </c>
      <c r="G568">
        <v>4</v>
      </c>
      <c r="H568">
        <v>5</v>
      </c>
      <c r="I568" s="13">
        <v>45442</v>
      </c>
      <c r="J568" s="13" t="str">
        <f>TEXT(Table1[[#This Row],[Date]],"[$-en-US]mmm yyyy")</f>
        <v>May 2024</v>
      </c>
      <c r="K568" s="13" t="str">
        <f>TEXT(Table1[[#This Row],[Date]],"[$-en-US]ddd")</f>
        <v>Thu</v>
      </c>
    </row>
    <row r="569" spans="1:11" x14ac:dyDescent="0.25">
      <c r="A569">
        <v>19</v>
      </c>
      <c r="B569" t="s">
        <v>9</v>
      </c>
      <c r="C569">
        <v>37.72</v>
      </c>
      <c r="D569" t="s">
        <v>27</v>
      </c>
      <c r="E569" t="s">
        <v>18</v>
      </c>
      <c r="F569" t="s">
        <v>30</v>
      </c>
      <c r="G569">
        <v>4</v>
      </c>
      <c r="H569">
        <v>5</v>
      </c>
      <c r="I569" s="13">
        <v>45442</v>
      </c>
      <c r="J569" s="13" t="str">
        <f>TEXT(Table1[[#This Row],[Date]],"[$-en-US]mmm yyyy")</f>
        <v>May 2024</v>
      </c>
      <c r="K569" s="13" t="str">
        <f>TEXT(Table1[[#This Row],[Date]],"[$-en-US]ddd")</f>
        <v>Thu</v>
      </c>
    </row>
    <row r="570" spans="1:11" x14ac:dyDescent="0.25">
      <c r="A570">
        <v>20</v>
      </c>
      <c r="B570" t="s">
        <v>9</v>
      </c>
      <c r="C570">
        <v>37.72</v>
      </c>
      <c r="D570" t="s">
        <v>10</v>
      </c>
      <c r="E570" t="s">
        <v>18</v>
      </c>
      <c r="F570" t="s">
        <v>30</v>
      </c>
      <c r="G570">
        <v>4</v>
      </c>
      <c r="H570">
        <v>5</v>
      </c>
      <c r="I570" s="13">
        <v>45442</v>
      </c>
      <c r="J570" s="13" t="str">
        <f>TEXT(Table1[[#This Row],[Date]],"[$-en-US]mmm yyyy")</f>
        <v>May 2024</v>
      </c>
      <c r="K570" s="13" t="str">
        <f>TEXT(Table1[[#This Row],[Date]],"[$-en-US]ddd")</f>
        <v>Thu</v>
      </c>
    </row>
    <row r="571" spans="1:11" x14ac:dyDescent="0.25">
      <c r="A571">
        <v>20</v>
      </c>
      <c r="B571" t="s">
        <v>9</v>
      </c>
      <c r="C571">
        <v>37.72</v>
      </c>
      <c r="D571" t="s">
        <v>14</v>
      </c>
      <c r="E571" t="s">
        <v>18</v>
      </c>
      <c r="F571" t="s">
        <v>30</v>
      </c>
      <c r="G571">
        <v>4</v>
      </c>
      <c r="H571">
        <v>5</v>
      </c>
      <c r="I571" s="13">
        <v>45442</v>
      </c>
      <c r="J571" s="13" t="str">
        <f>TEXT(Table1[[#This Row],[Date]],"[$-en-US]mmm yyyy")</f>
        <v>May 2024</v>
      </c>
      <c r="K571" s="13" t="str">
        <f>TEXT(Table1[[#This Row],[Date]],"[$-en-US]ddd")</f>
        <v>Thu</v>
      </c>
    </row>
    <row r="572" spans="1:11" x14ac:dyDescent="0.25">
      <c r="A572">
        <v>20</v>
      </c>
      <c r="B572" t="s">
        <v>9</v>
      </c>
      <c r="C572">
        <v>32.82</v>
      </c>
      <c r="D572" t="s">
        <v>17</v>
      </c>
      <c r="E572" t="s">
        <v>18</v>
      </c>
      <c r="F572" t="s">
        <v>30</v>
      </c>
      <c r="G572">
        <v>4</v>
      </c>
      <c r="H572">
        <v>5</v>
      </c>
      <c r="I572" s="13">
        <v>45442</v>
      </c>
      <c r="J572" s="13" t="str">
        <f>TEXT(Table1[[#This Row],[Date]],"[$-en-US]mmm yyyy")</f>
        <v>May 2024</v>
      </c>
      <c r="K572" s="13" t="str">
        <f>TEXT(Table1[[#This Row],[Date]],"[$-en-US]ddd")</f>
        <v>Thu</v>
      </c>
    </row>
    <row r="573" spans="1:11" x14ac:dyDescent="0.25">
      <c r="A573">
        <v>7</v>
      </c>
      <c r="B573" t="s">
        <v>9</v>
      </c>
      <c r="C573">
        <v>32.82</v>
      </c>
      <c r="D573" t="s">
        <v>17</v>
      </c>
      <c r="E573" t="s">
        <v>11</v>
      </c>
      <c r="F573" t="s">
        <v>30</v>
      </c>
      <c r="G573">
        <v>5</v>
      </c>
      <c r="H573">
        <v>5</v>
      </c>
      <c r="I573" s="13">
        <v>45443</v>
      </c>
      <c r="J573" s="13" t="str">
        <f>TEXT(Table1[[#This Row],[Date]],"[$-en-US]mmm yyyy")</f>
        <v>May 2024</v>
      </c>
      <c r="K573" s="13" t="str">
        <f>TEXT(Table1[[#This Row],[Date]],"[$-en-US]ddd")</f>
        <v>Fri</v>
      </c>
    </row>
    <row r="574" spans="1:11" x14ac:dyDescent="0.25">
      <c r="A574">
        <v>9</v>
      </c>
      <c r="B574" t="s">
        <v>9</v>
      </c>
      <c r="C574">
        <v>37.72</v>
      </c>
      <c r="D574" t="s">
        <v>10</v>
      </c>
      <c r="E574" t="s">
        <v>11</v>
      </c>
      <c r="F574" t="s">
        <v>30</v>
      </c>
      <c r="G574">
        <v>5</v>
      </c>
      <c r="H574">
        <v>5</v>
      </c>
      <c r="I574" s="13">
        <v>45443</v>
      </c>
      <c r="J574" s="13" t="str">
        <f>TEXT(Table1[[#This Row],[Date]],"[$-en-US]mmm yyyy")</f>
        <v>May 2024</v>
      </c>
      <c r="K574" s="13" t="str">
        <f>TEXT(Table1[[#This Row],[Date]],"[$-en-US]ddd")</f>
        <v>Fri</v>
      </c>
    </row>
    <row r="575" spans="1:11" x14ac:dyDescent="0.25">
      <c r="A575">
        <v>10</v>
      </c>
      <c r="B575" t="s">
        <v>9</v>
      </c>
      <c r="C575">
        <v>37.72</v>
      </c>
      <c r="D575" t="s">
        <v>14</v>
      </c>
      <c r="E575" t="s">
        <v>11</v>
      </c>
      <c r="F575" t="s">
        <v>30</v>
      </c>
      <c r="G575">
        <v>5</v>
      </c>
      <c r="H575">
        <v>5</v>
      </c>
      <c r="I575" s="13">
        <v>45443</v>
      </c>
      <c r="J575" s="13" t="str">
        <f>TEXT(Table1[[#This Row],[Date]],"[$-en-US]mmm yyyy")</f>
        <v>May 2024</v>
      </c>
      <c r="K575" s="13" t="str">
        <f>TEXT(Table1[[#This Row],[Date]],"[$-en-US]ddd")</f>
        <v>Fri</v>
      </c>
    </row>
    <row r="576" spans="1:11" x14ac:dyDescent="0.25">
      <c r="A576">
        <v>10</v>
      </c>
      <c r="B576" t="s">
        <v>9</v>
      </c>
      <c r="C576">
        <v>37.72</v>
      </c>
      <c r="D576" t="s">
        <v>19</v>
      </c>
      <c r="E576" t="s">
        <v>11</v>
      </c>
      <c r="F576" t="s">
        <v>30</v>
      </c>
      <c r="G576">
        <v>5</v>
      </c>
      <c r="H576">
        <v>5</v>
      </c>
      <c r="I576" s="13">
        <v>45443</v>
      </c>
      <c r="J576" s="13" t="str">
        <f>TEXT(Table1[[#This Row],[Date]],"[$-en-US]mmm yyyy")</f>
        <v>May 2024</v>
      </c>
      <c r="K576" s="13" t="str">
        <f>TEXT(Table1[[#This Row],[Date]],"[$-en-US]ddd")</f>
        <v>Fri</v>
      </c>
    </row>
    <row r="577" spans="1:11" x14ac:dyDescent="0.25">
      <c r="A577">
        <v>14</v>
      </c>
      <c r="B577" t="s">
        <v>9</v>
      </c>
      <c r="C577">
        <v>32.82</v>
      </c>
      <c r="D577" t="s">
        <v>17</v>
      </c>
      <c r="E577" t="s">
        <v>15</v>
      </c>
      <c r="F577" t="s">
        <v>30</v>
      </c>
      <c r="G577">
        <v>5</v>
      </c>
      <c r="H577">
        <v>5</v>
      </c>
      <c r="I577" s="13">
        <v>45443</v>
      </c>
      <c r="J577" s="13" t="str">
        <f>TEXT(Table1[[#This Row],[Date]],"[$-en-US]mmm yyyy")</f>
        <v>May 2024</v>
      </c>
      <c r="K577" s="13" t="str">
        <f>TEXT(Table1[[#This Row],[Date]],"[$-en-US]ddd")</f>
        <v>Fri</v>
      </c>
    </row>
    <row r="578" spans="1:11" x14ac:dyDescent="0.25">
      <c r="A578">
        <v>18</v>
      </c>
      <c r="B578" t="s">
        <v>9</v>
      </c>
      <c r="C578">
        <v>37.72</v>
      </c>
      <c r="D578" t="s">
        <v>10</v>
      </c>
      <c r="E578" t="s">
        <v>18</v>
      </c>
      <c r="F578" t="s">
        <v>30</v>
      </c>
      <c r="G578">
        <v>5</v>
      </c>
      <c r="H578">
        <v>5</v>
      </c>
      <c r="I578" s="13">
        <v>45443</v>
      </c>
      <c r="J578" s="13" t="str">
        <f>TEXT(Table1[[#This Row],[Date]],"[$-en-US]mmm yyyy")</f>
        <v>May 2024</v>
      </c>
      <c r="K578" s="13" t="str">
        <f>TEXT(Table1[[#This Row],[Date]],"[$-en-US]ddd")</f>
        <v>Fri</v>
      </c>
    </row>
    <row r="579" spans="1:11" x14ac:dyDescent="0.25">
      <c r="A579">
        <v>18</v>
      </c>
      <c r="B579" t="s">
        <v>9</v>
      </c>
      <c r="C579">
        <v>37.72</v>
      </c>
      <c r="D579" t="s">
        <v>10</v>
      </c>
      <c r="E579" t="s">
        <v>18</v>
      </c>
      <c r="F579" t="s">
        <v>30</v>
      </c>
      <c r="G579">
        <v>5</v>
      </c>
      <c r="H579">
        <v>5</v>
      </c>
      <c r="I579" s="13">
        <v>45443</v>
      </c>
      <c r="J579" s="13" t="str">
        <f>TEXT(Table1[[#This Row],[Date]],"[$-en-US]mmm yyyy")</f>
        <v>May 2024</v>
      </c>
      <c r="K579" s="13" t="str">
        <f>TEXT(Table1[[#This Row],[Date]],"[$-en-US]ddd")</f>
        <v>Fri</v>
      </c>
    </row>
    <row r="580" spans="1:11" x14ac:dyDescent="0.25">
      <c r="A580">
        <v>20</v>
      </c>
      <c r="B580" t="s">
        <v>9</v>
      </c>
      <c r="C580">
        <v>37.72</v>
      </c>
      <c r="D580" t="s">
        <v>27</v>
      </c>
      <c r="E580" t="s">
        <v>18</v>
      </c>
      <c r="F580" t="s">
        <v>30</v>
      </c>
      <c r="G580">
        <v>5</v>
      </c>
      <c r="H580">
        <v>5</v>
      </c>
      <c r="I580" s="13">
        <v>45443</v>
      </c>
      <c r="J580" s="13" t="str">
        <f>TEXT(Table1[[#This Row],[Date]],"[$-en-US]mmm yyyy")</f>
        <v>May 2024</v>
      </c>
      <c r="K580" s="13" t="str">
        <f>TEXT(Table1[[#This Row],[Date]],"[$-en-US]ddd")</f>
        <v>Fri</v>
      </c>
    </row>
    <row r="581" spans="1:11" x14ac:dyDescent="0.25">
      <c r="A581">
        <v>20</v>
      </c>
      <c r="B581" t="s">
        <v>9</v>
      </c>
      <c r="C581">
        <v>32.82</v>
      </c>
      <c r="D581" t="s">
        <v>17</v>
      </c>
      <c r="E581" t="s">
        <v>18</v>
      </c>
      <c r="F581" t="s">
        <v>30</v>
      </c>
      <c r="G581">
        <v>5</v>
      </c>
      <c r="H581">
        <v>5</v>
      </c>
      <c r="I581" s="13">
        <v>45443</v>
      </c>
      <c r="J581" s="13" t="str">
        <f>TEXT(Table1[[#This Row],[Date]],"[$-en-US]mmm yyyy")</f>
        <v>May 2024</v>
      </c>
      <c r="K581" s="13" t="str">
        <f>TEXT(Table1[[#This Row],[Date]],"[$-en-US]ddd")</f>
        <v>Fri</v>
      </c>
    </row>
    <row r="582" spans="1:11" x14ac:dyDescent="0.25">
      <c r="A582">
        <v>20</v>
      </c>
      <c r="B582" t="s">
        <v>9</v>
      </c>
      <c r="C582">
        <v>37.72</v>
      </c>
      <c r="D582" t="s">
        <v>10</v>
      </c>
      <c r="E582" t="s">
        <v>18</v>
      </c>
      <c r="F582" t="s">
        <v>30</v>
      </c>
      <c r="G582">
        <v>5</v>
      </c>
      <c r="H582">
        <v>5</v>
      </c>
      <c r="I582" s="13">
        <v>45443</v>
      </c>
      <c r="J582" s="13" t="str">
        <f>TEXT(Table1[[#This Row],[Date]],"[$-en-US]mmm yyyy")</f>
        <v>May 2024</v>
      </c>
      <c r="K582" s="13" t="str">
        <f>TEXT(Table1[[#This Row],[Date]],"[$-en-US]ddd")</f>
        <v>Fri</v>
      </c>
    </row>
    <row r="583" spans="1:11" x14ac:dyDescent="0.25">
      <c r="A583">
        <v>22</v>
      </c>
      <c r="B583" t="s">
        <v>9</v>
      </c>
      <c r="C583">
        <v>37.72</v>
      </c>
      <c r="D583" t="s">
        <v>27</v>
      </c>
      <c r="E583" t="s">
        <v>18</v>
      </c>
      <c r="F583" t="s">
        <v>30</v>
      </c>
      <c r="G583">
        <v>5</v>
      </c>
      <c r="H583">
        <v>5</v>
      </c>
      <c r="I583" s="13">
        <v>45443</v>
      </c>
      <c r="J583" s="13" t="str">
        <f>TEXT(Table1[[#This Row],[Date]],"[$-en-US]mmm yyyy")</f>
        <v>May 2024</v>
      </c>
      <c r="K583" s="13" t="str">
        <f>TEXT(Table1[[#This Row],[Date]],"[$-en-US]ddd")</f>
        <v>Fri</v>
      </c>
    </row>
    <row r="584" spans="1:11" x14ac:dyDescent="0.25">
      <c r="A584">
        <v>22</v>
      </c>
      <c r="B584" t="s">
        <v>9</v>
      </c>
      <c r="C584">
        <v>32.82</v>
      </c>
      <c r="D584" t="s">
        <v>17</v>
      </c>
      <c r="E584" t="s">
        <v>18</v>
      </c>
      <c r="F584" t="s">
        <v>30</v>
      </c>
      <c r="G584">
        <v>5</v>
      </c>
      <c r="H584">
        <v>5</v>
      </c>
      <c r="I584" s="13">
        <v>45443</v>
      </c>
      <c r="J584" s="13" t="str">
        <f>TEXT(Table1[[#This Row],[Date]],"[$-en-US]mmm yyyy")</f>
        <v>May 2024</v>
      </c>
      <c r="K584" s="13" t="str">
        <f>TEXT(Table1[[#This Row],[Date]],"[$-en-US]ddd")</f>
        <v>Fri</v>
      </c>
    </row>
    <row r="585" spans="1:11" x14ac:dyDescent="0.25">
      <c r="A585">
        <v>22</v>
      </c>
      <c r="B585" t="s">
        <v>9</v>
      </c>
      <c r="C585">
        <v>27.92</v>
      </c>
      <c r="D585" t="s">
        <v>22</v>
      </c>
      <c r="E585" t="s">
        <v>18</v>
      </c>
      <c r="F585" t="s">
        <v>30</v>
      </c>
      <c r="G585">
        <v>5</v>
      </c>
      <c r="H585">
        <v>5</v>
      </c>
      <c r="I585" s="13">
        <v>45443</v>
      </c>
      <c r="J585" s="13" t="str">
        <f>TEXT(Table1[[#This Row],[Date]],"[$-en-US]mmm yyyy")</f>
        <v>May 2024</v>
      </c>
      <c r="K585" s="13" t="str">
        <f>TEXT(Table1[[#This Row],[Date]],"[$-en-US]ddd")</f>
        <v>Fri</v>
      </c>
    </row>
    <row r="586" spans="1:11" x14ac:dyDescent="0.25">
      <c r="A586">
        <v>8</v>
      </c>
      <c r="B586" t="s">
        <v>9</v>
      </c>
      <c r="C586">
        <v>27.92</v>
      </c>
      <c r="D586" t="s">
        <v>22</v>
      </c>
      <c r="E586" t="s">
        <v>11</v>
      </c>
      <c r="F586" t="s">
        <v>31</v>
      </c>
      <c r="G586">
        <v>6</v>
      </c>
      <c r="H586">
        <v>6</v>
      </c>
      <c r="I586" s="13">
        <v>45444</v>
      </c>
      <c r="J586" s="13" t="str">
        <f>TEXT(Table1[[#This Row],[Date]],"[$-en-US]mmm yyyy")</f>
        <v>Jun 2024</v>
      </c>
      <c r="K586" s="13" t="str">
        <f>TEXT(Table1[[#This Row],[Date]],"[$-en-US]ddd")</f>
        <v>Sat</v>
      </c>
    </row>
    <row r="587" spans="1:11" x14ac:dyDescent="0.25">
      <c r="A587">
        <v>9</v>
      </c>
      <c r="B587" t="s">
        <v>9</v>
      </c>
      <c r="C587">
        <v>37.72</v>
      </c>
      <c r="D587" t="s">
        <v>10</v>
      </c>
      <c r="E587" t="s">
        <v>11</v>
      </c>
      <c r="F587" t="s">
        <v>31</v>
      </c>
      <c r="G587">
        <v>6</v>
      </c>
      <c r="H587">
        <v>6</v>
      </c>
      <c r="I587" s="13">
        <v>45444</v>
      </c>
      <c r="J587" s="13" t="str">
        <f>TEXT(Table1[[#This Row],[Date]],"[$-en-US]mmm yyyy")</f>
        <v>Jun 2024</v>
      </c>
      <c r="K587" s="13" t="str">
        <f>TEXT(Table1[[#This Row],[Date]],"[$-en-US]ddd")</f>
        <v>Sat</v>
      </c>
    </row>
    <row r="588" spans="1:11" x14ac:dyDescent="0.25">
      <c r="A588">
        <v>11</v>
      </c>
      <c r="B588" t="s">
        <v>9</v>
      </c>
      <c r="C588">
        <v>37.72</v>
      </c>
      <c r="D588" t="s">
        <v>10</v>
      </c>
      <c r="E588" t="s">
        <v>11</v>
      </c>
      <c r="F588" t="s">
        <v>31</v>
      </c>
      <c r="G588">
        <v>6</v>
      </c>
      <c r="H588">
        <v>6</v>
      </c>
      <c r="I588" s="13">
        <v>45444</v>
      </c>
      <c r="J588" s="13" t="str">
        <f>TEXT(Table1[[#This Row],[Date]],"[$-en-US]mmm yyyy")</f>
        <v>Jun 2024</v>
      </c>
      <c r="K588" s="13" t="str">
        <f>TEXT(Table1[[#This Row],[Date]],"[$-en-US]ddd")</f>
        <v>Sat</v>
      </c>
    </row>
    <row r="589" spans="1:11" x14ac:dyDescent="0.25">
      <c r="A589">
        <v>14</v>
      </c>
      <c r="B589" t="s">
        <v>9</v>
      </c>
      <c r="C589">
        <v>32.82</v>
      </c>
      <c r="D589" t="s">
        <v>17</v>
      </c>
      <c r="E589" t="s">
        <v>15</v>
      </c>
      <c r="F589" t="s">
        <v>31</v>
      </c>
      <c r="G589">
        <v>6</v>
      </c>
      <c r="H589">
        <v>6</v>
      </c>
      <c r="I589" s="13">
        <v>45444</v>
      </c>
      <c r="J589" s="13" t="str">
        <f>TEXT(Table1[[#This Row],[Date]],"[$-en-US]mmm yyyy")</f>
        <v>Jun 2024</v>
      </c>
      <c r="K589" s="13" t="str">
        <f>TEXT(Table1[[#This Row],[Date]],"[$-en-US]ddd")</f>
        <v>Sat</v>
      </c>
    </row>
    <row r="590" spans="1:11" x14ac:dyDescent="0.25">
      <c r="A590">
        <v>18</v>
      </c>
      <c r="B590" t="s">
        <v>9</v>
      </c>
      <c r="C590">
        <v>32.82</v>
      </c>
      <c r="D590" t="s">
        <v>17</v>
      </c>
      <c r="E590" t="s">
        <v>18</v>
      </c>
      <c r="F590" t="s">
        <v>31</v>
      </c>
      <c r="G590">
        <v>6</v>
      </c>
      <c r="H590">
        <v>6</v>
      </c>
      <c r="I590" s="13">
        <v>45444</v>
      </c>
      <c r="J590" s="13" t="str">
        <f>TEXT(Table1[[#This Row],[Date]],"[$-en-US]mmm yyyy")</f>
        <v>Jun 2024</v>
      </c>
      <c r="K590" s="13" t="str">
        <f>TEXT(Table1[[#This Row],[Date]],"[$-en-US]ddd")</f>
        <v>Sat</v>
      </c>
    </row>
    <row r="591" spans="1:11" x14ac:dyDescent="0.25">
      <c r="A591">
        <v>18</v>
      </c>
      <c r="B591" t="s">
        <v>9</v>
      </c>
      <c r="C591">
        <v>32.82</v>
      </c>
      <c r="D591" t="s">
        <v>17</v>
      </c>
      <c r="E591" t="s">
        <v>18</v>
      </c>
      <c r="F591" t="s">
        <v>31</v>
      </c>
      <c r="G591">
        <v>6</v>
      </c>
      <c r="H591">
        <v>6</v>
      </c>
      <c r="I591" s="13">
        <v>45444</v>
      </c>
      <c r="J591" s="13" t="str">
        <f>TEXT(Table1[[#This Row],[Date]],"[$-en-US]mmm yyyy")</f>
        <v>Jun 2024</v>
      </c>
      <c r="K591" s="13" t="str">
        <f>TEXT(Table1[[#This Row],[Date]],"[$-en-US]ddd")</f>
        <v>Sat</v>
      </c>
    </row>
    <row r="592" spans="1:11" x14ac:dyDescent="0.25">
      <c r="A592">
        <v>20</v>
      </c>
      <c r="B592" t="s">
        <v>9</v>
      </c>
      <c r="C592">
        <v>37.72</v>
      </c>
      <c r="D592" t="s">
        <v>27</v>
      </c>
      <c r="E592" t="s">
        <v>18</v>
      </c>
      <c r="F592" t="s">
        <v>31</v>
      </c>
      <c r="G592">
        <v>6</v>
      </c>
      <c r="H592">
        <v>6</v>
      </c>
      <c r="I592" s="13">
        <v>45444</v>
      </c>
      <c r="J592" s="13" t="str">
        <f>TEXT(Table1[[#This Row],[Date]],"[$-en-US]mmm yyyy")</f>
        <v>Jun 2024</v>
      </c>
      <c r="K592" s="13" t="str">
        <f>TEXT(Table1[[#This Row],[Date]],"[$-en-US]ddd")</f>
        <v>Sat</v>
      </c>
    </row>
    <row r="593" spans="1:11" x14ac:dyDescent="0.25">
      <c r="A593">
        <v>20</v>
      </c>
      <c r="B593" t="s">
        <v>9</v>
      </c>
      <c r="C593">
        <v>37.72</v>
      </c>
      <c r="D593" t="s">
        <v>27</v>
      </c>
      <c r="E593" t="s">
        <v>18</v>
      </c>
      <c r="F593" t="s">
        <v>31</v>
      </c>
      <c r="G593">
        <v>6</v>
      </c>
      <c r="H593">
        <v>6</v>
      </c>
      <c r="I593" s="13">
        <v>45444</v>
      </c>
      <c r="J593" s="13" t="str">
        <f>TEXT(Table1[[#This Row],[Date]],"[$-en-US]mmm yyyy")</f>
        <v>Jun 2024</v>
      </c>
      <c r="K593" s="13" t="str">
        <f>TEXT(Table1[[#This Row],[Date]],"[$-en-US]ddd")</f>
        <v>Sat</v>
      </c>
    </row>
    <row r="594" spans="1:11" x14ac:dyDescent="0.25">
      <c r="A594">
        <v>20</v>
      </c>
      <c r="B594" t="s">
        <v>9</v>
      </c>
      <c r="C594">
        <v>37.72</v>
      </c>
      <c r="D594" t="s">
        <v>19</v>
      </c>
      <c r="E594" t="s">
        <v>18</v>
      </c>
      <c r="F594" t="s">
        <v>31</v>
      </c>
      <c r="G594">
        <v>6</v>
      </c>
      <c r="H594">
        <v>6</v>
      </c>
      <c r="I594" s="13">
        <v>45444</v>
      </c>
      <c r="J594" s="13" t="str">
        <f>TEXT(Table1[[#This Row],[Date]],"[$-en-US]mmm yyyy")</f>
        <v>Jun 2024</v>
      </c>
      <c r="K594" s="13" t="str">
        <f>TEXT(Table1[[#This Row],[Date]],"[$-en-US]ddd")</f>
        <v>Sat</v>
      </c>
    </row>
    <row r="595" spans="1:11" x14ac:dyDescent="0.25">
      <c r="A595">
        <v>21</v>
      </c>
      <c r="B595" t="s">
        <v>9</v>
      </c>
      <c r="C595">
        <v>32.82</v>
      </c>
      <c r="D595" t="s">
        <v>17</v>
      </c>
      <c r="E595" t="s">
        <v>18</v>
      </c>
      <c r="F595" t="s">
        <v>31</v>
      </c>
      <c r="G595">
        <v>6</v>
      </c>
      <c r="H595">
        <v>6</v>
      </c>
      <c r="I595" s="13">
        <v>45444</v>
      </c>
      <c r="J595" s="13" t="str">
        <f>TEXT(Table1[[#This Row],[Date]],"[$-en-US]mmm yyyy")</f>
        <v>Jun 2024</v>
      </c>
      <c r="K595" s="13" t="str">
        <f>TEXT(Table1[[#This Row],[Date]],"[$-en-US]ddd")</f>
        <v>Sat</v>
      </c>
    </row>
    <row r="596" spans="1:11" x14ac:dyDescent="0.25">
      <c r="A596">
        <v>20</v>
      </c>
      <c r="B596" t="s">
        <v>9</v>
      </c>
      <c r="C596">
        <v>37.72</v>
      </c>
      <c r="D596" t="s">
        <v>10</v>
      </c>
      <c r="E596" t="s">
        <v>18</v>
      </c>
      <c r="F596" t="s">
        <v>31</v>
      </c>
      <c r="G596">
        <v>7</v>
      </c>
      <c r="H596">
        <v>6</v>
      </c>
      <c r="I596" s="13">
        <v>45445</v>
      </c>
      <c r="J596" s="13" t="str">
        <f>TEXT(Table1[[#This Row],[Date]],"[$-en-US]mmm yyyy")</f>
        <v>Jun 2024</v>
      </c>
      <c r="K596" s="13" t="str">
        <f>TEXT(Table1[[#This Row],[Date]],"[$-en-US]ddd")</f>
        <v>Sun</v>
      </c>
    </row>
    <row r="597" spans="1:11" x14ac:dyDescent="0.25">
      <c r="A597">
        <v>20</v>
      </c>
      <c r="B597" t="s">
        <v>9</v>
      </c>
      <c r="C597">
        <v>32.82</v>
      </c>
      <c r="D597" t="s">
        <v>17</v>
      </c>
      <c r="E597" t="s">
        <v>18</v>
      </c>
      <c r="F597" t="s">
        <v>31</v>
      </c>
      <c r="G597">
        <v>7</v>
      </c>
      <c r="H597">
        <v>6</v>
      </c>
      <c r="I597" s="13">
        <v>45445</v>
      </c>
      <c r="J597" s="13" t="str">
        <f>TEXT(Table1[[#This Row],[Date]],"[$-en-US]mmm yyyy")</f>
        <v>Jun 2024</v>
      </c>
      <c r="K597" s="13" t="str">
        <f>TEXT(Table1[[#This Row],[Date]],"[$-en-US]ddd")</f>
        <v>Sun</v>
      </c>
    </row>
    <row r="598" spans="1:11" x14ac:dyDescent="0.25">
      <c r="A598">
        <v>20</v>
      </c>
      <c r="B598" t="s">
        <v>9</v>
      </c>
      <c r="C598">
        <v>37.72</v>
      </c>
      <c r="D598" t="s">
        <v>27</v>
      </c>
      <c r="E598" t="s">
        <v>18</v>
      </c>
      <c r="F598" t="s">
        <v>31</v>
      </c>
      <c r="G598">
        <v>7</v>
      </c>
      <c r="H598">
        <v>6</v>
      </c>
      <c r="I598" s="13">
        <v>45445</v>
      </c>
      <c r="J598" s="13" t="str">
        <f>TEXT(Table1[[#This Row],[Date]],"[$-en-US]mmm yyyy")</f>
        <v>Jun 2024</v>
      </c>
      <c r="K598" s="13" t="str">
        <f>TEXT(Table1[[#This Row],[Date]],"[$-en-US]ddd")</f>
        <v>Sun</v>
      </c>
    </row>
    <row r="599" spans="1:11" x14ac:dyDescent="0.25">
      <c r="A599">
        <v>21</v>
      </c>
      <c r="B599" t="s">
        <v>9</v>
      </c>
      <c r="C599">
        <v>32.82</v>
      </c>
      <c r="D599" t="s">
        <v>17</v>
      </c>
      <c r="E599" t="s">
        <v>18</v>
      </c>
      <c r="F599" t="s">
        <v>31</v>
      </c>
      <c r="G599">
        <v>7</v>
      </c>
      <c r="H599">
        <v>6</v>
      </c>
      <c r="I599" s="13">
        <v>45445</v>
      </c>
      <c r="J599" s="13" t="str">
        <f>TEXT(Table1[[#This Row],[Date]],"[$-en-US]mmm yyyy")</f>
        <v>Jun 2024</v>
      </c>
      <c r="K599" s="13" t="str">
        <f>TEXT(Table1[[#This Row],[Date]],"[$-en-US]ddd")</f>
        <v>Sun</v>
      </c>
    </row>
    <row r="600" spans="1:11" x14ac:dyDescent="0.25">
      <c r="A600">
        <v>21</v>
      </c>
      <c r="B600" t="s">
        <v>9</v>
      </c>
      <c r="C600">
        <v>37.72</v>
      </c>
      <c r="D600" t="s">
        <v>10</v>
      </c>
      <c r="E600" t="s">
        <v>18</v>
      </c>
      <c r="F600" t="s">
        <v>31</v>
      </c>
      <c r="G600">
        <v>7</v>
      </c>
      <c r="H600">
        <v>6</v>
      </c>
      <c r="I600" s="13">
        <v>45445</v>
      </c>
      <c r="J600" s="13" t="str">
        <f>TEXT(Table1[[#This Row],[Date]],"[$-en-US]mmm yyyy")</f>
        <v>Jun 2024</v>
      </c>
      <c r="K600" s="13" t="str">
        <f>TEXT(Table1[[#This Row],[Date]],"[$-en-US]ddd")</f>
        <v>Sun</v>
      </c>
    </row>
    <row r="601" spans="1:11" x14ac:dyDescent="0.25">
      <c r="A601">
        <v>10</v>
      </c>
      <c r="B601" t="s">
        <v>9</v>
      </c>
      <c r="C601">
        <v>37.72</v>
      </c>
      <c r="D601" t="s">
        <v>10</v>
      </c>
      <c r="E601" t="s">
        <v>11</v>
      </c>
      <c r="F601" t="s">
        <v>31</v>
      </c>
      <c r="G601">
        <v>1</v>
      </c>
      <c r="H601">
        <v>6</v>
      </c>
      <c r="I601" s="13">
        <v>45446</v>
      </c>
      <c r="J601" s="13" t="str">
        <f>TEXT(Table1[[#This Row],[Date]],"[$-en-US]mmm yyyy")</f>
        <v>Jun 2024</v>
      </c>
      <c r="K601" s="13" t="str">
        <f>TEXT(Table1[[#This Row],[Date]],"[$-en-US]ddd")</f>
        <v>Mon</v>
      </c>
    </row>
    <row r="602" spans="1:11" x14ac:dyDescent="0.25">
      <c r="A602">
        <v>10</v>
      </c>
      <c r="B602" t="s">
        <v>9</v>
      </c>
      <c r="C602">
        <v>37.72</v>
      </c>
      <c r="D602" t="s">
        <v>10</v>
      </c>
      <c r="E602" t="s">
        <v>11</v>
      </c>
      <c r="F602" t="s">
        <v>31</v>
      </c>
      <c r="G602">
        <v>1</v>
      </c>
      <c r="H602">
        <v>6</v>
      </c>
      <c r="I602" s="13">
        <v>45446</v>
      </c>
      <c r="J602" s="13" t="str">
        <f>TEXT(Table1[[#This Row],[Date]],"[$-en-US]mmm yyyy")</f>
        <v>Jun 2024</v>
      </c>
      <c r="K602" s="13" t="str">
        <f>TEXT(Table1[[#This Row],[Date]],"[$-en-US]ddd")</f>
        <v>Mon</v>
      </c>
    </row>
    <row r="603" spans="1:11" x14ac:dyDescent="0.25">
      <c r="A603">
        <v>14</v>
      </c>
      <c r="B603" t="s">
        <v>9</v>
      </c>
      <c r="C603">
        <v>37.72</v>
      </c>
      <c r="D603" t="s">
        <v>27</v>
      </c>
      <c r="E603" t="s">
        <v>15</v>
      </c>
      <c r="F603" t="s">
        <v>31</v>
      </c>
      <c r="G603">
        <v>1</v>
      </c>
      <c r="H603">
        <v>6</v>
      </c>
      <c r="I603" s="13">
        <v>45446</v>
      </c>
      <c r="J603" s="13" t="str">
        <f>TEXT(Table1[[#This Row],[Date]],"[$-en-US]mmm yyyy")</f>
        <v>Jun 2024</v>
      </c>
      <c r="K603" s="13" t="str">
        <f>TEXT(Table1[[#This Row],[Date]],"[$-en-US]ddd")</f>
        <v>Mon</v>
      </c>
    </row>
    <row r="604" spans="1:11" x14ac:dyDescent="0.25">
      <c r="A604">
        <v>14</v>
      </c>
      <c r="B604" t="s">
        <v>9</v>
      </c>
      <c r="C604">
        <v>32.82</v>
      </c>
      <c r="D604" t="s">
        <v>17</v>
      </c>
      <c r="E604" t="s">
        <v>15</v>
      </c>
      <c r="F604" t="s">
        <v>31</v>
      </c>
      <c r="G604">
        <v>1</v>
      </c>
      <c r="H604">
        <v>6</v>
      </c>
      <c r="I604" s="13">
        <v>45446</v>
      </c>
      <c r="J604" s="13" t="str">
        <f>TEXT(Table1[[#This Row],[Date]],"[$-en-US]mmm yyyy")</f>
        <v>Jun 2024</v>
      </c>
      <c r="K604" s="13" t="str">
        <f>TEXT(Table1[[#This Row],[Date]],"[$-en-US]ddd")</f>
        <v>Mon</v>
      </c>
    </row>
    <row r="605" spans="1:11" x14ac:dyDescent="0.25">
      <c r="A605">
        <v>14</v>
      </c>
      <c r="B605" t="s">
        <v>9</v>
      </c>
      <c r="C605">
        <v>37.72</v>
      </c>
      <c r="D605" t="s">
        <v>10</v>
      </c>
      <c r="E605" t="s">
        <v>15</v>
      </c>
      <c r="F605" t="s">
        <v>31</v>
      </c>
      <c r="G605">
        <v>1</v>
      </c>
      <c r="H605">
        <v>6</v>
      </c>
      <c r="I605" s="13">
        <v>45446</v>
      </c>
      <c r="J605" s="13" t="str">
        <f>TEXT(Table1[[#This Row],[Date]],"[$-en-US]mmm yyyy")</f>
        <v>Jun 2024</v>
      </c>
      <c r="K605" s="13" t="str">
        <f>TEXT(Table1[[#This Row],[Date]],"[$-en-US]ddd")</f>
        <v>Mon</v>
      </c>
    </row>
    <row r="606" spans="1:11" x14ac:dyDescent="0.25">
      <c r="A606">
        <v>9</v>
      </c>
      <c r="B606" t="s">
        <v>9</v>
      </c>
      <c r="C606">
        <v>27.92</v>
      </c>
      <c r="D606" t="s">
        <v>22</v>
      </c>
      <c r="E606" t="s">
        <v>11</v>
      </c>
      <c r="F606" t="s">
        <v>31</v>
      </c>
      <c r="G606">
        <v>2</v>
      </c>
      <c r="H606">
        <v>6</v>
      </c>
      <c r="I606" s="13">
        <v>45447</v>
      </c>
      <c r="J606" s="13" t="str">
        <f>TEXT(Table1[[#This Row],[Date]],"[$-en-US]mmm yyyy")</f>
        <v>Jun 2024</v>
      </c>
      <c r="K606" s="13" t="str">
        <f>TEXT(Table1[[#This Row],[Date]],"[$-en-US]ddd")</f>
        <v>Tue</v>
      </c>
    </row>
    <row r="607" spans="1:11" x14ac:dyDescent="0.25">
      <c r="A607">
        <v>10</v>
      </c>
      <c r="B607" t="s">
        <v>9</v>
      </c>
      <c r="C607">
        <v>32.82</v>
      </c>
      <c r="D607" t="s">
        <v>17</v>
      </c>
      <c r="E607" t="s">
        <v>11</v>
      </c>
      <c r="F607" t="s">
        <v>31</v>
      </c>
      <c r="G607">
        <v>2</v>
      </c>
      <c r="H607">
        <v>6</v>
      </c>
      <c r="I607" s="13">
        <v>45447</v>
      </c>
      <c r="J607" s="13" t="str">
        <f>TEXT(Table1[[#This Row],[Date]],"[$-en-US]mmm yyyy")</f>
        <v>Jun 2024</v>
      </c>
      <c r="K607" s="13" t="str">
        <f>TEXT(Table1[[#This Row],[Date]],"[$-en-US]ddd")</f>
        <v>Tue</v>
      </c>
    </row>
    <row r="608" spans="1:11" x14ac:dyDescent="0.25">
      <c r="A608">
        <v>12</v>
      </c>
      <c r="B608" t="s">
        <v>9</v>
      </c>
      <c r="C608">
        <v>37.72</v>
      </c>
      <c r="D608" t="s">
        <v>10</v>
      </c>
      <c r="E608" t="s">
        <v>15</v>
      </c>
      <c r="F608" t="s">
        <v>31</v>
      </c>
      <c r="G608">
        <v>2</v>
      </c>
      <c r="H608">
        <v>6</v>
      </c>
      <c r="I608" s="13">
        <v>45447</v>
      </c>
      <c r="J608" s="13" t="str">
        <f>TEXT(Table1[[#This Row],[Date]],"[$-en-US]mmm yyyy")</f>
        <v>Jun 2024</v>
      </c>
      <c r="K608" s="13" t="str">
        <f>TEXT(Table1[[#This Row],[Date]],"[$-en-US]ddd")</f>
        <v>Tue</v>
      </c>
    </row>
    <row r="609" spans="1:11" x14ac:dyDescent="0.25">
      <c r="A609">
        <v>12</v>
      </c>
      <c r="B609" t="s">
        <v>9</v>
      </c>
      <c r="C609">
        <v>37.72</v>
      </c>
      <c r="D609" t="s">
        <v>14</v>
      </c>
      <c r="E609" t="s">
        <v>15</v>
      </c>
      <c r="F609" t="s">
        <v>31</v>
      </c>
      <c r="G609">
        <v>2</v>
      </c>
      <c r="H609">
        <v>6</v>
      </c>
      <c r="I609" s="13">
        <v>45447</v>
      </c>
      <c r="J609" s="13" t="str">
        <f>TEXT(Table1[[#This Row],[Date]],"[$-en-US]mmm yyyy")</f>
        <v>Jun 2024</v>
      </c>
      <c r="K609" s="13" t="str">
        <f>TEXT(Table1[[#This Row],[Date]],"[$-en-US]ddd")</f>
        <v>Tue</v>
      </c>
    </row>
    <row r="610" spans="1:11" x14ac:dyDescent="0.25">
      <c r="A610">
        <v>15</v>
      </c>
      <c r="B610" t="s">
        <v>9</v>
      </c>
      <c r="C610">
        <v>37.72</v>
      </c>
      <c r="D610" t="s">
        <v>10</v>
      </c>
      <c r="E610" t="s">
        <v>15</v>
      </c>
      <c r="F610" t="s">
        <v>31</v>
      </c>
      <c r="G610">
        <v>2</v>
      </c>
      <c r="H610">
        <v>6</v>
      </c>
      <c r="I610" s="13">
        <v>45447</v>
      </c>
      <c r="J610" s="13" t="str">
        <f>TEXT(Table1[[#This Row],[Date]],"[$-en-US]mmm yyyy")</f>
        <v>Jun 2024</v>
      </c>
      <c r="K610" s="13" t="str">
        <f>TEXT(Table1[[#This Row],[Date]],"[$-en-US]ddd")</f>
        <v>Tue</v>
      </c>
    </row>
    <row r="611" spans="1:11" x14ac:dyDescent="0.25">
      <c r="A611">
        <v>17</v>
      </c>
      <c r="B611" t="s">
        <v>9</v>
      </c>
      <c r="C611">
        <v>27.92</v>
      </c>
      <c r="D611" t="s">
        <v>22</v>
      </c>
      <c r="E611" t="s">
        <v>18</v>
      </c>
      <c r="F611" t="s">
        <v>31</v>
      </c>
      <c r="G611">
        <v>2</v>
      </c>
      <c r="H611">
        <v>6</v>
      </c>
      <c r="I611" s="13">
        <v>45447</v>
      </c>
      <c r="J611" s="13" t="str">
        <f>TEXT(Table1[[#This Row],[Date]],"[$-en-US]mmm yyyy")</f>
        <v>Jun 2024</v>
      </c>
      <c r="K611" s="13" t="str">
        <f>TEXT(Table1[[#This Row],[Date]],"[$-en-US]ddd")</f>
        <v>Tue</v>
      </c>
    </row>
    <row r="612" spans="1:11" x14ac:dyDescent="0.25">
      <c r="A612">
        <v>17</v>
      </c>
      <c r="B612" t="s">
        <v>9</v>
      </c>
      <c r="C612">
        <v>37.72</v>
      </c>
      <c r="D612" t="s">
        <v>27</v>
      </c>
      <c r="E612" t="s">
        <v>18</v>
      </c>
      <c r="F612" t="s">
        <v>31</v>
      </c>
      <c r="G612">
        <v>2</v>
      </c>
      <c r="H612">
        <v>6</v>
      </c>
      <c r="I612" s="13">
        <v>45447</v>
      </c>
      <c r="J612" s="13" t="str">
        <f>TEXT(Table1[[#This Row],[Date]],"[$-en-US]mmm yyyy")</f>
        <v>Jun 2024</v>
      </c>
      <c r="K612" s="13" t="str">
        <f>TEXT(Table1[[#This Row],[Date]],"[$-en-US]ddd")</f>
        <v>Tue</v>
      </c>
    </row>
    <row r="613" spans="1:11" x14ac:dyDescent="0.25">
      <c r="A613">
        <v>20</v>
      </c>
      <c r="B613" t="s">
        <v>9</v>
      </c>
      <c r="C613">
        <v>37.72</v>
      </c>
      <c r="D613" t="s">
        <v>14</v>
      </c>
      <c r="E613" t="s">
        <v>18</v>
      </c>
      <c r="F613" t="s">
        <v>31</v>
      </c>
      <c r="G613">
        <v>2</v>
      </c>
      <c r="H613">
        <v>6</v>
      </c>
      <c r="I613" s="13">
        <v>45447</v>
      </c>
      <c r="J613" s="13" t="str">
        <f>TEXT(Table1[[#This Row],[Date]],"[$-en-US]mmm yyyy")</f>
        <v>Jun 2024</v>
      </c>
      <c r="K613" s="13" t="str">
        <f>TEXT(Table1[[#This Row],[Date]],"[$-en-US]ddd")</f>
        <v>Tue</v>
      </c>
    </row>
    <row r="614" spans="1:11" x14ac:dyDescent="0.25">
      <c r="A614">
        <v>20</v>
      </c>
      <c r="B614" t="s">
        <v>9</v>
      </c>
      <c r="C614">
        <v>37.72</v>
      </c>
      <c r="D614" t="s">
        <v>27</v>
      </c>
      <c r="E614" t="s">
        <v>18</v>
      </c>
      <c r="F614" t="s">
        <v>31</v>
      </c>
      <c r="G614">
        <v>2</v>
      </c>
      <c r="H614">
        <v>6</v>
      </c>
      <c r="I614" s="13">
        <v>45447</v>
      </c>
      <c r="J614" s="13" t="str">
        <f>TEXT(Table1[[#This Row],[Date]],"[$-en-US]mmm yyyy")</f>
        <v>Jun 2024</v>
      </c>
      <c r="K614" s="13" t="str">
        <f>TEXT(Table1[[#This Row],[Date]],"[$-en-US]ddd")</f>
        <v>Tue</v>
      </c>
    </row>
    <row r="615" spans="1:11" x14ac:dyDescent="0.25">
      <c r="A615">
        <v>21</v>
      </c>
      <c r="B615" t="s">
        <v>9</v>
      </c>
      <c r="C615">
        <v>27.92</v>
      </c>
      <c r="D615" t="s">
        <v>22</v>
      </c>
      <c r="E615" t="s">
        <v>18</v>
      </c>
      <c r="F615" t="s">
        <v>31</v>
      </c>
      <c r="G615">
        <v>2</v>
      </c>
      <c r="H615">
        <v>6</v>
      </c>
      <c r="I615" s="13">
        <v>45447</v>
      </c>
      <c r="J615" s="13" t="str">
        <f>TEXT(Table1[[#This Row],[Date]],"[$-en-US]mmm yyyy")</f>
        <v>Jun 2024</v>
      </c>
      <c r="K615" s="13" t="str">
        <f>TEXT(Table1[[#This Row],[Date]],"[$-en-US]ddd")</f>
        <v>Tue</v>
      </c>
    </row>
    <row r="616" spans="1:11" x14ac:dyDescent="0.25">
      <c r="A616">
        <v>21</v>
      </c>
      <c r="B616" t="s">
        <v>9</v>
      </c>
      <c r="C616">
        <v>32.82</v>
      </c>
      <c r="D616" t="s">
        <v>17</v>
      </c>
      <c r="E616" t="s">
        <v>18</v>
      </c>
      <c r="F616" t="s">
        <v>31</v>
      </c>
      <c r="G616">
        <v>2</v>
      </c>
      <c r="H616">
        <v>6</v>
      </c>
      <c r="I616" s="13">
        <v>45447</v>
      </c>
      <c r="J616" s="13" t="str">
        <f>TEXT(Table1[[#This Row],[Date]],"[$-en-US]mmm yyyy")</f>
        <v>Jun 2024</v>
      </c>
      <c r="K616" s="13" t="str">
        <f>TEXT(Table1[[#This Row],[Date]],"[$-en-US]ddd")</f>
        <v>Tue</v>
      </c>
    </row>
    <row r="617" spans="1:11" x14ac:dyDescent="0.25">
      <c r="A617">
        <v>21</v>
      </c>
      <c r="B617" t="s">
        <v>9</v>
      </c>
      <c r="C617">
        <v>32.82</v>
      </c>
      <c r="D617" t="s">
        <v>17</v>
      </c>
      <c r="E617" t="s">
        <v>18</v>
      </c>
      <c r="F617" t="s">
        <v>31</v>
      </c>
      <c r="G617">
        <v>2</v>
      </c>
      <c r="H617">
        <v>6</v>
      </c>
      <c r="I617" s="13">
        <v>45447</v>
      </c>
      <c r="J617" s="13" t="str">
        <f>TEXT(Table1[[#This Row],[Date]],"[$-en-US]mmm yyyy")</f>
        <v>Jun 2024</v>
      </c>
      <c r="K617" s="13" t="str">
        <f>TEXT(Table1[[#This Row],[Date]],"[$-en-US]ddd")</f>
        <v>Tue</v>
      </c>
    </row>
    <row r="618" spans="1:11" x14ac:dyDescent="0.25">
      <c r="A618">
        <v>21</v>
      </c>
      <c r="B618" t="s">
        <v>9</v>
      </c>
      <c r="C618">
        <v>32.82</v>
      </c>
      <c r="D618" t="s">
        <v>17</v>
      </c>
      <c r="E618" t="s">
        <v>18</v>
      </c>
      <c r="F618" t="s">
        <v>31</v>
      </c>
      <c r="G618">
        <v>2</v>
      </c>
      <c r="H618">
        <v>6</v>
      </c>
      <c r="I618" s="13">
        <v>45447</v>
      </c>
      <c r="J618" s="13" t="str">
        <f>TEXT(Table1[[#This Row],[Date]],"[$-en-US]mmm yyyy")</f>
        <v>Jun 2024</v>
      </c>
      <c r="K618" s="13" t="str">
        <f>TEXT(Table1[[#This Row],[Date]],"[$-en-US]ddd")</f>
        <v>Tue</v>
      </c>
    </row>
    <row r="619" spans="1:11" x14ac:dyDescent="0.25">
      <c r="A619">
        <v>21</v>
      </c>
      <c r="B619" t="s">
        <v>9</v>
      </c>
      <c r="C619">
        <v>32.82</v>
      </c>
      <c r="D619" t="s">
        <v>17</v>
      </c>
      <c r="E619" t="s">
        <v>18</v>
      </c>
      <c r="F619" t="s">
        <v>31</v>
      </c>
      <c r="G619">
        <v>2</v>
      </c>
      <c r="H619">
        <v>6</v>
      </c>
      <c r="I619" s="13">
        <v>45447</v>
      </c>
      <c r="J619" s="13" t="str">
        <f>TEXT(Table1[[#This Row],[Date]],"[$-en-US]mmm yyyy")</f>
        <v>Jun 2024</v>
      </c>
      <c r="K619" s="13" t="str">
        <f>TEXT(Table1[[#This Row],[Date]],"[$-en-US]ddd")</f>
        <v>Tue</v>
      </c>
    </row>
    <row r="620" spans="1:11" x14ac:dyDescent="0.25">
      <c r="A620">
        <v>8</v>
      </c>
      <c r="B620" t="s">
        <v>9</v>
      </c>
      <c r="C620">
        <v>37.72</v>
      </c>
      <c r="D620" t="s">
        <v>27</v>
      </c>
      <c r="E620" t="s">
        <v>11</v>
      </c>
      <c r="F620" t="s">
        <v>31</v>
      </c>
      <c r="G620">
        <v>3</v>
      </c>
      <c r="H620">
        <v>6</v>
      </c>
      <c r="I620" s="13">
        <v>45448</v>
      </c>
      <c r="J620" s="13" t="str">
        <f>TEXT(Table1[[#This Row],[Date]],"[$-en-US]mmm yyyy")</f>
        <v>Jun 2024</v>
      </c>
      <c r="K620" s="13" t="str">
        <f>TEXT(Table1[[#This Row],[Date]],"[$-en-US]ddd")</f>
        <v>Wed</v>
      </c>
    </row>
    <row r="621" spans="1:11" x14ac:dyDescent="0.25">
      <c r="A621">
        <v>8</v>
      </c>
      <c r="B621" t="s">
        <v>9</v>
      </c>
      <c r="C621">
        <v>37.72</v>
      </c>
      <c r="D621" t="s">
        <v>27</v>
      </c>
      <c r="E621" t="s">
        <v>11</v>
      </c>
      <c r="F621" t="s">
        <v>31</v>
      </c>
      <c r="G621">
        <v>3</v>
      </c>
      <c r="H621">
        <v>6</v>
      </c>
      <c r="I621" s="13">
        <v>45448</v>
      </c>
      <c r="J621" s="13" t="str">
        <f>TEXT(Table1[[#This Row],[Date]],"[$-en-US]mmm yyyy")</f>
        <v>Jun 2024</v>
      </c>
      <c r="K621" s="13" t="str">
        <f>TEXT(Table1[[#This Row],[Date]],"[$-en-US]ddd")</f>
        <v>Wed</v>
      </c>
    </row>
    <row r="622" spans="1:11" x14ac:dyDescent="0.25">
      <c r="A622">
        <v>9</v>
      </c>
      <c r="B622" t="s">
        <v>9</v>
      </c>
      <c r="C622">
        <v>27.92</v>
      </c>
      <c r="D622" t="s">
        <v>16</v>
      </c>
      <c r="E622" t="s">
        <v>11</v>
      </c>
      <c r="F622" t="s">
        <v>31</v>
      </c>
      <c r="G622">
        <v>3</v>
      </c>
      <c r="H622">
        <v>6</v>
      </c>
      <c r="I622" s="13">
        <v>45448</v>
      </c>
      <c r="J622" s="13" t="str">
        <f>TEXT(Table1[[#This Row],[Date]],"[$-en-US]mmm yyyy")</f>
        <v>Jun 2024</v>
      </c>
      <c r="K622" s="13" t="str">
        <f>TEXT(Table1[[#This Row],[Date]],"[$-en-US]ddd")</f>
        <v>Wed</v>
      </c>
    </row>
    <row r="623" spans="1:11" x14ac:dyDescent="0.25">
      <c r="A623">
        <v>10</v>
      </c>
      <c r="B623" t="s">
        <v>9</v>
      </c>
      <c r="C623">
        <v>37.72</v>
      </c>
      <c r="D623" t="s">
        <v>10</v>
      </c>
      <c r="E623" t="s">
        <v>11</v>
      </c>
      <c r="F623" t="s">
        <v>31</v>
      </c>
      <c r="G623">
        <v>3</v>
      </c>
      <c r="H623">
        <v>6</v>
      </c>
      <c r="I623" s="13">
        <v>45448</v>
      </c>
      <c r="J623" s="13" t="str">
        <f>TEXT(Table1[[#This Row],[Date]],"[$-en-US]mmm yyyy")</f>
        <v>Jun 2024</v>
      </c>
      <c r="K623" s="13" t="str">
        <f>TEXT(Table1[[#This Row],[Date]],"[$-en-US]ddd")</f>
        <v>Wed</v>
      </c>
    </row>
    <row r="624" spans="1:11" x14ac:dyDescent="0.25">
      <c r="A624">
        <v>10</v>
      </c>
      <c r="B624" t="s">
        <v>9</v>
      </c>
      <c r="C624">
        <v>32.82</v>
      </c>
      <c r="D624" t="s">
        <v>17</v>
      </c>
      <c r="E624" t="s">
        <v>11</v>
      </c>
      <c r="F624" t="s">
        <v>31</v>
      </c>
      <c r="G624">
        <v>3</v>
      </c>
      <c r="H624">
        <v>6</v>
      </c>
      <c r="I624" s="13">
        <v>45448</v>
      </c>
      <c r="J624" s="13" t="str">
        <f>TEXT(Table1[[#This Row],[Date]],"[$-en-US]mmm yyyy")</f>
        <v>Jun 2024</v>
      </c>
      <c r="K624" s="13" t="str">
        <f>TEXT(Table1[[#This Row],[Date]],"[$-en-US]ddd")</f>
        <v>Wed</v>
      </c>
    </row>
    <row r="625" spans="1:11" x14ac:dyDescent="0.25">
      <c r="A625">
        <v>19</v>
      </c>
      <c r="B625" t="s">
        <v>9</v>
      </c>
      <c r="C625">
        <v>32.82</v>
      </c>
      <c r="D625" t="s">
        <v>17</v>
      </c>
      <c r="E625" t="s">
        <v>18</v>
      </c>
      <c r="F625" t="s">
        <v>31</v>
      </c>
      <c r="G625">
        <v>3</v>
      </c>
      <c r="H625">
        <v>6</v>
      </c>
      <c r="I625" s="13">
        <v>45448</v>
      </c>
      <c r="J625" s="13" t="str">
        <f>TEXT(Table1[[#This Row],[Date]],"[$-en-US]mmm yyyy")</f>
        <v>Jun 2024</v>
      </c>
      <c r="K625" s="13" t="str">
        <f>TEXT(Table1[[#This Row],[Date]],"[$-en-US]ddd")</f>
        <v>Wed</v>
      </c>
    </row>
    <row r="626" spans="1:11" x14ac:dyDescent="0.25">
      <c r="A626">
        <v>19</v>
      </c>
      <c r="B626" t="s">
        <v>9</v>
      </c>
      <c r="C626">
        <v>37.72</v>
      </c>
      <c r="D626" t="s">
        <v>10</v>
      </c>
      <c r="E626" t="s">
        <v>18</v>
      </c>
      <c r="F626" t="s">
        <v>31</v>
      </c>
      <c r="G626">
        <v>3</v>
      </c>
      <c r="H626">
        <v>6</v>
      </c>
      <c r="I626" s="13">
        <v>45448</v>
      </c>
      <c r="J626" s="13" t="str">
        <f>TEXT(Table1[[#This Row],[Date]],"[$-en-US]mmm yyyy")</f>
        <v>Jun 2024</v>
      </c>
      <c r="K626" s="13" t="str">
        <f>TEXT(Table1[[#This Row],[Date]],"[$-en-US]ddd")</f>
        <v>Wed</v>
      </c>
    </row>
    <row r="627" spans="1:11" x14ac:dyDescent="0.25">
      <c r="A627">
        <v>20</v>
      </c>
      <c r="B627" t="s">
        <v>9</v>
      </c>
      <c r="C627">
        <v>37.72</v>
      </c>
      <c r="D627" t="s">
        <v>19</v>
      </c>
      <c r="E627" t="s">
        <v>18</v>
      </c>
      <c r="F627" t="s">
        <v>31</v>
      </c>
      <c r="G627">
        <v>3</v>
      </c>
      <c r="H627">
        <v>6</v>
      </c>
      <c r="I627" s="13">
        <v>45448</v>
      </c>
      <c r="J627" s="13" t="str">
        <f>TEXT(Table1[[#This Row],[Date]],"[$-en-US]mmm yyyy")</f>
        <v>Jun 2024</v>
      </c>
      <c r="K627" s="13" t="str">
        <f>TEXT(Table1[[#This Row],[Date]],"[$-en-US]ddd")</f>
        <v>Wed</v>
      </c>
    </row>
    <row r="628" spans="1:11" x14ac:dyDescent="0.25">
      <c r="A628">
        <v>20</v>
      </c>
      <c r="B628" t="s">
        <v>9</v>
      </c>
      <c r="C628">
        <v>27.92</v>
      </c>
      <c r="D628" t="s">
        <v>22</v>
      </c>
      <c r="E628" t="s">
        <v>18</v>
      </c>
      <c r="F628" t="s">
        <v>31</v>
      </c>
      <c r="G628">
        <v>3</v>
      </c>
      <c r="H628">
        <v>6</v>
      </c>
      <c r="I628" s="13">
        <v>45448</v>
      </c>
      <c r="J628" s="13" t="str">
        <f>TEXT(Table1[[#This Row],[Date]],"[$-en-US]mmm yyyy")</f>
        <v>Jun 2024</v>
      </c>
      <c r="K628" s="13" t="str">
        <f>TEXT(Table1[[#This Row],[Date]],"[$-en-US]ddd")</f>
        <v>Wed</v>
      </c>
    </row>
    <row r="629" spans="1:11" x14ac:dyDescent="0.25">
      <c r="A629">
        <v>8</v>
      </c>
      <c r="B629" t="s">
        <v>9</v>
      </c>
      <c r="C629">
        <v>32.82</v>
      </c>
      <c r="D629" t="s">
        <v>17</v>
      </c>
      <c r="E629" t="s">
        <v>11</v>
      </c>
      <c r="F629" t="s">
        <v>31</v>
      </c>
      <c r="G629">
        <v>4</v>
      </c>
      <c r="H629">
        <v>6</v>
      </c>
      <c r="I629" s="13">
        <v>45449</v>
      </c>
      <c r="J629" s="13" t="str">
        <f>TEXT(Table1[[#This Row],[Date]],"[$-en-US]mmm yyyy")</f>
        <v>Jun 2024</v>
      </c>
      <c r="K629" s="13" t="str">
        <f>TEXT(Table1[[#This Row],[Date]],"[$-en-US]ddd")</f>
        <v>Thu</v>
      </c>
    </row>
    <row r="630" spans="1:11" x14ac:dyDescent="0.25">
      <c r="A630">
        <v>8</v>
      </c>
      <c r="B630" t="s">
        <v>9</v>
      </c>
      <c r="C630">
        <v>32.82</v>
      </c>
      <c r="D630" t="s">
        <v>17</v>
      </c>
      <c r="E630" t="s">
        <v>11</v>
      </c>
      <c r="F630" t="s">
        <v>31</v>
      </c>
      <c r="G630">
        <v>4</v>
      </c>
      <c r="H630">
        <v>6</v>
      </c>
      <c r="I630" s="13">
        <v>45449</v>
      </c>
      <c r="J630" s="13" t="str">
        <f>TEXT(Table1[[#This Row],[Date]],"[$-en-US]mmm yyyy")</f>
        <v>Jun 2024</v>
      </c>
      <c r="K630" s="13" t="str">
        <f>TEXT(Table1[[#This Row],[Date]],"[$-en-US]ddd")</f>
        <v>Thu</v>
      </c>
    </row>
    <row r="631" spans="1:11" x14ac:dyDescent="0.25">
      <c r="A631">
        <v>10</v>
      </c>
      <c r="B631" t="s">
        <v>9</v>
      </c>
      <c r="C631">
        <v>37.72</v>
      </c>
      <c r="D631" t="s">
        <v>10</v>
      </c>
      <c r="E631" t="s">
        <v>11</v>
      </c>
      <c r="F631" t="s">
        <v>31</v>
      </c>
      <c r="G631">
        <v>4</v>
      </c>
      <c r="H631">
        <v>6</v>
      </c>
      <c r="I631" s="13">
        <v>45449</v>
      </c>
      <c r="J631" s="13" t="str">
        <f>TEXT(Table1[[#This Row],[Date]],"[$-en-US]mmm yyyy")</f>
        <v>Jun 2024</v>
      </c>
      <c r="K631" s="13" t="str">
        <f>TEXT(Table1[[#This Row],[Date]],"[$-en-US]ddd")</f>
        <v>Thu</v>
      </c>
    </row>
    <row r="632" spans="1:11" x14ac:dyDescent="0.25">
      <c r="A632">
        <v>12</v>
      </c>
      <c r="B632" t="s">
        <v>9</v>
      </c>
      <c r="C632">
        <v>27.92</v>
      </c>
      <c r="D632" t="s">
        <v>16</v>
      </c>
      <c r="E632" t="s">
        <v>15</v>
      </c>
      <c r="F632" t="s">
        <v>31</v>
      </c>
      <c r="G632">
        <v>4</v>
      </c>
      <c r="H632">
        <v>6</v>
      </c>
      <c r="I632" s="13">
        <v>45449</v>
      </c>
      <c r="J632" s="13" t="str">
        <f>TEXT(Table1[[#This Row],[Date]],"[$-en-US]mmm yyyy")</f>
        <v>Jun 2024</v>
      </c>
      <c r="K632" s="13" t="str">
        <f>TEXT(Table1[[#This Row],[Date]],"[$-en-US]ddd")</f>
        <v>Thu</v>
      </c>
    </row>
    <row r="633" spans="1:11" x14ac:dyDescent="0.25">
      <c r="A633">
        <v>15</v>
      </c>
      <c r="B633" t="s">
        <v>9</v>
      </c>
      <c r="C633">
        <v>32.82</v>
      </c>
      <c r="D633" t="s">
        <v>17</v>
      </c>
      <c r="E633" t="s">
        <v>15</v>
      </c>
      <c r="F633" t="s">
        <v>31</v>
      </c>
      <c r="G633">
        <v>4</v>
      </c>
      <c r="H633">
        <v>6</v>
      </c>
      <c r="I633" s="13">
        <v>45449</v>
      </c>
      <c r="J633" s="13" t="str">
        <f>TEXT(Table1[[#This Row],[Date]],"[$-en-US]mmm yyyy")</f>
        <v>Jun 2024</v>
      </c>
      <c r="K633" s="13" t="str">
        <f>TEXT(Table1[[#This Row],[Date]],"[$-en-US]ddd")</f>
        <v>Thu</v>
      </c>
    </row>
    <row r="634" spans="1:11" x14ac:dyDescent="0.25">
      <c r="A634">
        <v>15</v>
      </c>
      <c r="B634" t="s">
        <v>9</v>
      </c>
      <c r="C634">
        <v>37.72</v>
      </c>
      <c r="D634" t="s">
        <v>27</v>
      </c>
      <c r="E634" t="s">
        <v>15</v>
      </c>
      <c r="F634" t="s">
        <v>31</v>
      </c>
      <c r="G634">
        <v>4</v>
      </c>
      <c r="H634">
        <v>6</v>
      </c>
      <c r="I634" s="13">
        <v>45449</v>
      </c>
      <c r="J634" s="13" t="str">
        <f>TEXT(Table1[[#This Row],[Date]],"[$-en-US]mmm yyyy")</f>
        <v>Jun 2024</v>
      </c>
      <c r="K634" s="13" t="str">
        <f>TEXT(Table1[[#This Row],[Date]],"[$-en-US]ddd")</f>
        <v>Thu</v>
      </c>
    </row>
    <row r="635" spans="1:11" x14ac:dyDescent="0.25">
      <c r="A635">
        <v>21</v>
      </c>
      <c r="B635" t="s">
        <v>9</v>
      </c>
      <c r="C635">
        <v>37.72</v>
      </c>
      <c r="D635" t="s">
        <v>10</v>
      </c>
      <c r="E635" t="s">
        <v>18</v>
      </c>
      <c r="F635" t="s">
        <v>31</v>
      </c>
      <c r="G635">
        <v>4</v>
      </c>
      <c r="H635">
        <v>6</v>
      </c>
      <c r="I635" s="13">
        <v>45449</v>
      </c>
      <c r="J635" s="13" t="str">
        <f>TEXT(Table1[[#This Row],[Date]],"[$-en-US]mmm yyyy")</f>
        <v>Jun 2024</v>
      </c>
      <c r="K635" s="13" t="str">
        <f>TEXT(Table1[[#This Row],[Date]],"[$-en-US]ddd")</f>
        <v>Thu</v>
      </c>
    </row>
    <row r="636" spans="1:11" x14ac:dyDescent="0.25">
      <c r="A636">
        <v>21</v>
      </c>
      <c r="B636" t="s">
        <v>9</v>
      </c>
      <c r="C636">
        <v>37.72</v>
      </c>
      <c r="D636" t="s">
        <v>10</v>
      </c>
      <c r="E636" t="s">
        <v>18</v>
      </c>
      <c r="F636" t="s">
        <v>31</v>
      </c>
      <c r="G636">
        <v>4</v>
      </c>
      <c r="H636">
        <v>6</v>
      </c>
      <c r="I636" s="13">
        <v>45449</v>
      </c>
      <c r="J636" s="13" t="str">
        <f>TEXT(Table1[[#This Row],[Date]],"[$-en-US]mmm yyyy")</f>
        <v>Jun 2024</v>
      </c>
      <c r="K636" s="13" t="str">
        <f>TEXT(Table1[[#This Row],[Date]],"[$-en-US]ddd")</f>
        <v>Thu</v>
      </c>
    </row>
    <row r="637" spans="1:11" x14ac:dyDescent="0.25">
      <c r="A637">
        <v>21</v>
      </c>
      <c r="B637" t="s">
        <v>9</v>
      </c>
      <c r="C637">
        <v>37.72</v>
      </c>
      <c r="D637" t="s">
        <v>27</v>
      </c>
      <c r="E637" t="s">
        <v>18</v>
      </c>
      <c r="F637" t="s">
        <v>31</v>
      </c>
      <c r="G637">
        <v>4</v>
      </c>
      <c r="H637">
        <v>6</v>
      </c>
      <c r="I637" s="13">
        <v>45449</v>
      </c>
      <c r="J637" s="13" t="str">
        <f>TEXT(Table1[[#This Row],[Date]],"[$-en-US]mmm yyyy")</f>
        <v>Jun 2024</v>
      </c>
      <c r="K637" s="13" t="str">
        <f>TEXT(Table1[[#This Row],[Date]],"[$-en-US]ddd")</f>
        <v>Thu</v>
      </c>
    </row>
    <row r="638" spans="1:11" x14ac:dyDescent="0.25">
      <c r="A638">
        <v>21</v>
      </c>
      <c r="B638" t="s">
        <v>9</v>
      </c>
      <c r="C638">
        <v>32.82</v>
      </c>
      <c r="D638" t="s">
        <v>17</v>
      </c>
      <c r="E638" t="s">
        <v>18</v>
      </c>
      <c r="F638" t="s">
        <v>31</v>
      </c>
      <c r="G638">
        <v>4</v>
      </c>
      <c r="H638">
        <v>6</v>
      </c>
      <c r="I638" s="13">
        <v>45449</v>
      </c>
      <c r="J638" s="13" t="str">
        <f>TEXT(Table1[[#This Row],[Date]],"[$-en-US]mmm yyyy")</f>
        <v>Jun 2024</v>
      </c>
      <c r="K638" s="13" t="str">
        <f>TEXT(Table1[[#This Row],[Date]],"[$-en-US]ddd")</f>
        <v>Thu</v>
      </c>
    </row>
    <row r="639" spans="1:11" x14ac:dyDescent="0.25">
      <c r="A639">
        <v>21</v>
      </c>
      <c r="B639" t="s">
        <v>9</v>
      </c>
      <c r="C639">
        <v>37.72</v>
      </c>
      <c r="D639" t="s">
        <v>10</v>
      </c>
      <c r="E639" t="s">
        <v>18</v>
      </c>
      <c r="F639" t="s">
        <v>31</v>
      </c>
      <c r="G639">
        <v>4</v>
      </c>
      <c r="H639">
        <v>6</v>
      </c>
      <c r="I639" s="13">
        <v>45449</v>
      </c>
      <c r="J639" s="13" t="str">
        <f>TEXT(Table1[[#This Row],[Date]],"[$-en-US]mmm yyyy")</f>
        <v>Jun 2024</v>
      </c>
      <c r="K639" s="13" t="str">
        <f>TEXT(Table1[[#This Row],[Date]],"[$-en-US]ddd")</f>
        <v>Thu</v>
      </c>
    </row>
    <row r="640" spans="1:11" x14ac:dyDescent="0.25">
      <c r="A640">
        <v>8</v>
      </c>
      <c r="B640" t="s">
        <v>9</v>
      </c>
      <c r="C640">
        <v>37.72</v>
      </c>
      <c r="D640" t="s">
        <v>27</v>
      </c>
      <c r="E640" t="s">
        <v>11</v>
      </c>
      <c r="F640" t="s">
        <v>31</v>
      </c>
      <c r="G640">
        <v>5</v>
      </c>
      <c r="H640">
        <v>6</v>
      </c>
      <c r="I640" s="13">
        <v>45450</v>
      </c>
      <c r="J640" s="13" t="str">
        <f>TEXT(Table1[[#This Row],[Date]],"[$-en-US]mmm yyyy")</f>
        <v>Jun 2024</v>
      </c>
      <c r="K640" s="13" t="str">
        <f>TEXT(Table1[[#This Row],[Date]],"[$-en-US]ddd")</f>
        <v>Fri</v>
      </c>
    </row>
    <row r="641" spans="1:11" x14ac:dyDescent="0.25">
      <c r="A641">
        <v>10</v>
      </c>
      <c r="B641" t="s">
        <v>9</v>
      </c>
      <c r="C641">
        <v>23.02</v>
      </c>
      <c r="D641" t="s">
        <v>24</v>
      </c>
      <c r="E641" t="s">
        <v>11</v>
      </c>
      <c r="F641" t="s">
        <v>31</v>
      </c>
      <c r="G641">
        <v>5</v>
      </c>
      <c r="H641">
        <v>6</v>
      </c>
      <c r="I641" s="13">
        <v>45450</v>
      </c>
      <c r="J641" s="13" t="str">
        <f>TEXT(Table1[[#This Row],[Date]],"[$-en-US]mmm yyyy")</f>
        <v>Jun 2024</v>
      </c>
      <c r="K641" s="13" t="str">
        <f>TEXT(Table1[[#This Row],[Date]],"[$-en-US]ddd")</f>
        <v>Fri</v>
      </c>
    </row>
    <row r="642" spans="1:11" x14ac:dyDescent="0.25">
      <c r="A642">
        <v>13</v>
      </c>
      <c r="B642" t="s">
        <v>9</v>
      </c>
      <c r="C642">
        <v>32.82</v>
      </c>
      <c r="D642" t="s">
        <v>17</v>
      </c>
      <c r="E642" t="s">
        <v>15</v>
      </c>
      <c r="F642" t="s">
        <v>31</v>
      </c>
      <c r="G642">
        <v>5</v>
      </c>
      <c r="H642">
        <v>6</v>
      </c>
      <c r="I642" s="13">
        <v>45450</v>
      </c>
      <c r="J642" s="13" t="str">
        <f>TEXT(Table1[[#This Row],[Date]],"[$-en-US]mmm yyyy")</f>
        <v>Jun 2024</v>
      </c>
      <c r="K642" s="13" t="str">
        <f>TEXT(Table1[[#This Row],[Date]],"[$-en-US]ddd")</f>
        <v>Fri</v>
      </c>
    </row>
    <row r="643" spans="1:11" x14ac:dyDescent="0.25">
      <c r="A643">
        <v>16</v>
      </c>
      <c r="B643" t="s">
        <v>9</v>
      </c>
      <c r="C643">
        <v>27.92</v>
      </c>
      <c r="D643" t="s">
        <v>22</v>
      </c>
      <c r="E643" t="s">
        <v>15</v>
      </c>
      <c r="F643" t="s">
        <v>31</v>
      </c>
      <c r="G643">
        <v>5</v>
      </c>
      <c r="H643">
        <v>6</v>
      </c>
      <c r="I643" s="13">
        <v>45450</v>
      </c>
      <c r="J643" s="13" t="str">
        <f>TEXT(Table1[[#This Row],[Date]],"[$-en-US]mmm yyyy")</f>
        <v>Jun 2024</v>
      </c>
      <c r="K643" s="13" t="str">
        <f>TEXT(Table1[[#This Row],[Date]],"[$-en-US]ddd")</f>
        <v>Fri</v>
      </c>
    </row>
    <row r="644" spans="1:11" x14ac:dyDescent="0.25">
      <c r="A644">
        <v>16</v>
      </c>
      <c r="B644" t="s">
        <v>9</v>
      </c>
      <c r="C644">
        <v>27.92</v>
      </c>
      <c r="D644" t="s">
        <v>22</v>
      </c>
      <c r="E644" t="s">
        <v>15</v>
      </c>
      <c r="F644" t="s">
        <v>31</v>
      </c>
      <c r="G644">
        <v>5</v>
      </c>
      <c r="H644">
        <v>6</v>
      </c>
      <c r="I644" s="13">
        <v>45450</v>
      </c>
      <c r="J644" s="13" t="str">
        <f>TEXT(Table1[[#This Row],[Date]],"[$-en-US]mmm yyyy")</f>
        <v>Jun 2024</v>
      </c>
      <c r="K644" s="13" t="str">
        <f>TEXT(Table1[[#This Row],[Date]],"[$-en-US]ddd")</f>
        <v>Fri</v>
      </c>
    </row>
    <row r="645" spans="1:11" x14ac:dyDescent="0.25">
      <c r="A645">
        <v>9</v>
      </c>
      <c r="B645" t="s">
        <v>9</v>
      </c>
      <c r="C645">
        <v>27.92</v>
      </c>
      <c r="D645" t="s">
        <v>22</v>
      </c>
      <c r="E645" t="s">
        <v>11</v>
      </c>
      <c r="F645" t="s">
        <v>31</v>
      </c>
      <c r="G645">
        <v>6</v>
      </c>
      <c r="H645">
        <v>6</v>
      </c>
      <c r="I645" s="13">
        <v>45451</v>
      </c>
      <c r="J645" s="13" t="str">
        <f>TEXT(Table1[[#This Row],[Date]],"[$-en-US]mmm yyyy")</f>
        <v>Jun 2024</v>
      </c>
      <c r="K645" s="13" t="str">
        <f>TEXT(Table1[[#This Row],[Date]],"[$-en-US]ddd")</f>
        <v>Sat</v>
      </c>
    </row>
    <row r="646" spans="1:11" x14ac:dyDescent="0.25">
      <c r="A646">
        <v>9</v>
      </c>
      <c r="B646" t="s">
        <v>9</v>
      </c>
      <c r="C646">
        <v>32.82</v>
      </c>
      <c r="D646" t="s">
        <v>17</v>
      </c>
      <c r="E646" t="s">
        <v>11</v>
      </c>
      <c r="F646" t="s">
        <v>31</v>
      </c>
      <c r="G646">
        <v>6</v>
      </c>
      <c r="H646">
        <v>6</v>
      </c>
      <c r="I646" s="13">
        <v>45451</v>
      </c>
      <c r="J646" s="13" t="str">
        <f>TEXT(Table1[[#This Row],[Date]],"[$-en-US]mmm yyyy")</f>
        <v>Jun 2024</v>
      </c>
      <c r="K646" s="13" t="str">
        <f>TEXT(Table1[[#This Row],[Date]],"[$-en-US]ddd")</f>
        <v>Sat</v>
      </c>
    </row>
    <row r="647" spans="1:11" x14ac:dyDescent="0.25">
      <c r="A647">
        <v>20</v>
      </c>
      <c r="B647" t="s">
        <v>9</v>
      </c>
      <c r="C647">
        <v>37.72</v>
      </c>
      <c r="D647" t="s">
        <v>27</v>
      </c>
      <c r="E647" t="s">
        <v>18</v>
      </c>
      <c r="F647" t="s">
        <v>31</v>
      </c>
      <c r="G647">
        <v>6</v>
      </c>
      <c r="H647">
        <v>6</v>
      </c>
      <c r="I647" s="13">
        <v>45451</v>
      </c>
      <c r="J647" s="13" t="str">
        <f>TEXT(Table1[[#This Row],[Date]],"[$-en-US]mmm yyyy")</f>
        <v>Jun 2024</v>
      </c>
      <c r="K647" s="13" t="str">
        <f>TEXT(Table1[[#This Row],[Date]],"[$-en-US]ddd")</f>
        <v>Sat</v>
      </c>
    </row>
    <row r="648" spans="1:11" x14ac:dyDescent="0.25">
      <c r="A648">
        <v>20</v>
      </c>
      <c r="B648" t="s">
        <v>9</v>
      </c>
      <c r="C648">
        <v>37.72</v>
      </c>
      <c r="D648" t="s">
        <v>27</v>
      </c>
      <c r="E648" t="s">
        <v>18</v>
      </c>
      <c r="F648" t="s">
        <v>31</v>
      </c>
      <c r="G648">
        <v>6</v>
      </c>
      <c r="H648">
        <v>6</v>
      </c>
      <c r="I648" s="13">
        <v>45451</v>
      </c>
      <c r="J648" s="13" t="str">
        <f>TEXT(Table1[[#This Row],[Date]],"[$-en-US]mmm yyyy")</f>
        <v>Jun 2024</v>
      </c>
      <c r="K648" s="13" t="str">
        <f>TEXT(Table1[[#This Row],[Date]],"[$-en-US]ddd")</f>
        <v>Sat</v>
      </c>
    </row>
    <row r="649" spans="1:11" x14ac:dyDescent="0.25">
      <c r="A649">
        <v>8</v>
      </c>
      <c r="B649" t="s">
        <v>9</v>
      </c>
      <c r="C649">
        <v>37.72</v>
      </c>
      <c r="D649" t="s">
        <v>10</v>
      </c>
      <c r="E649" t="s">
        <v>11</v>
      </c>
      <c r="F649" t="s">
        <v>31</v>
      </c>
      <c r="G649">
        <v>7</v>
      </c>
      <c r="H649">
        <v>6</v>
      </c>
      <c r="I649" s="13">
        <v>45452</v>
      </c>
      <c r="J649" s="13" t="str">
        <f>TEXT(Table1[[#This Row],[Date]],"[$-en-US]mmm yyyy")</f>
        <v>Jun 2024</v>
      </c>
      <c r="K649" s="13" t="str">
        <f>TEXT(Table1[[#This Row],[Date]],"[$-en-US]ddd")</f>
        <v>Sun</v>
      </c>
    </row>
    <row r="650" spans="1:11" x14ac:dyDescent="0.25">
      <c r="A650">
        <v>10</v>
      </c>
      <c r="B650" t="s">
        <v>9</v>
      </c>
      <c r="C650">
        <v>37.72</v>
      </c>
      <c r="D650" t="s">
        <v>10</v>
      </c>
      <c r="E650" t="s">
        <v>11</v>
      </c>
      <c r="F650" t="s">
        <v>31</v>
      </c>
      <c r="G650">
        <v>7</v>
      </c>
      <c r="H650">
        <v>6</v>
      </c>
      <c r="I650" s="13">
        <v>45452</v>
      </c>
      <c r="J650" s="13" t="str">
        <f>TEXT(Table1[[#This Row],[Date]],"[$-en-US]mmm yyyy")</f>
        <v>Jun 2024</v>
      </c>
      <c r="K650" s="13" t="str">
        <f>TEXT(Table1[[#This Row],[Date]],"[$-en-US]ddd")</f>
        <v>Sun</v>
      </c>
    </row>
    <row r="651" spans="1:11" x14ac:dyDescent="0.25">
      <c r="A651">
        <v>10</v>
      </c>
      <c r="B651" t="s">
        <v>9</v>
      </c>
      <c r="C651">
        <v>37.72</v>
      </c>
      <c r="D651" t="s">
        <v>27</v>
      </c>
      <c r="E651" t="s">
        <v>11</v>
      </c>
      <c r="F651" t="s">
        <v>31</v>
      </c>
      <c r="G651">
        <v>7</v>
      </c>
      <c r="H651">
        <v>6</v>
      </c>
      <c r="I651" s="13">
        <v>45452</v>
      </c>
      <c r="J651" s="13" t="str">
        <f>TEXT(Table1[[#This Row],[Date]],"[$-en-US]mmm yyyy")</f>
        <v>Jun 2024</v>
      </c>
      <c r="K651" s="13" t="str">
        <f>TEXT(Table1[[#This Row],[Date]],"[$-en-US]ddd")</f>
        <v>Sun</v>
      </c>
    </row>
    <row r="652" spans="1:11" x14ac:dyDescent="0.25">
      <c r="A652">
        <v>11</v>
      </c>
      <c r="B652" t="s">
        <v>9</v>
      </c>
      <c r="C652">
        <v>27.92</v>
      </c>
      <c r="D652" t="s">
        <v>22</v>
      </c>
      <c r="E652" t="s">
        <v>11</v>
      </c>
      <c r="F652" t="s">
        <v>31</v>
      </c>
      <c r="G652">
        <v>7</v>
      </c>
      <c r="H652">
        <v>6</v>
      </c>
      <c r="I652" s="13">
        <v>45452</v>
      </c>
      <c r="J652" s="13" t="str">
        <f>TEXT(Table1[[#This Row],[Date]],"[$-en-US]mmm yyyy")</f>
        <v>Jun 2024</v>
      </c>
      <c r="K652" s="13" t="str">
        <f>TEXT(Table1[[#This Row],[Date]],"[$-en-US]ddd")</f>
        <v>Sun</v>
      </c>
    </row>
    <row r="653" spans="1:11" x14ac:dyDescent="0.25">
      <c r="A653">
        <v>11</v>
      </c>
      <c r="B653" t="s">
        <v>9</v>
      </c>
      <c r="C653">
        <v>23.02</v>
      </c>
      <c r="D653" t="s">
        <v>24</v>
      </c>
      <c r="E653" t="s">
        <v>11</v>
      </c>
      <c r="F653" t="s">
        <v>31</v>
      </c>
      <c r="G653">
        <v>7</v>
      </c>
      <c r="H653">
        <v>6</v>
      </c>
      <c r="I653" s="13">
        <v>45452</v>
      </c>
      <c r="J653" s="13" t="str">
        <f>TEXT(Table1[[#This Row],[Date]],"[$-en-US]mmm yyyy")</f>
        <v>Jun 2024</v>
      </c>
      <c r="K653" s="13" t="str">
        <f>TEXT(Table1[[#This Row],[Date]],"[$-en-US]ddd")</f>
        <v>Sun</v>
      </c>
    </row>
    <row r="654" spans="1:11" x14ac:dyDescent="0.25">
      <c r="A654">
        <v>11</v>
      </c>
      <c r="B654" t="s">
        <v>9</v>
      </c>
      <c r="C654">
        <v>37.72</v>
      </c>
      <c r="D654" t="s">
        <v>27</v>
      </c>
      <c r="E654" t="s">
        <v>11</v>
      </c>
      <c r="F654" t="s">
        <v>31</v>
      </c>
      <c r="G654">
        <v>7</v>
      </c>
      <c r="H654">
        <v>6</v>
      </c>
      <c r="I654" s="13">
        <v>45452</v>
      </c>
      <c r="J654" s="13" t="str">
        <f>TEXT(Table1[[#This Row],[Date]],"[$-en-US]mmm yyyy")</f>
        <v>Jun 2024</v>
      </c>
      <c r="K654" s="13" t="str">
        <f>TEXT(Table1[[#This Row],[Date]],"[$-en-US]ddd")</f>
        <v>Sun</v>
      </c>
    </row>
    <row r="655" spans="1:11" x14ac:dyDescent="0.25">
      <c r="A655">
        <v>12</v>
      </c>
      <c r="B655" t="s">
        <v>9</v>
      </c>
      <c r="C655">
        <v>32.82</v>
      </c>
      <c r="D655" t="s">
        <v>17</v>
      </c>
      <c r="E655" t="s">
        <v>15</v>
      </c>
      <c r="F655" t="s">
        <v>31</v>
      </c>
      <c r="G655">
        <v>7</v>
      </c>
      <c r="H655">
        <v>6</v>
      </c>
      <c r="I655" s="13">
        <v>45452</v>
      </c>
      <c r="J655" s="13" t="str">
        <f>TEXT(Table1[[#This Row],[Date]],"[$-en-US]mmm yyyy")</f>
        <v>Jun 2024</v>
      </c>
      <c r="K655" s="13" t="str">
        <f>TEXT(Table1[[#This Row],[Date]],"[$-en-US]ddd")</f>
        <v>Sun</v>
      </c>
    </row>
    <row r="656" spans="1:11" x14ac:dyDescent="0.25">
      <c r="A656">
        <v>12</v>
      </c>
      <c r="B656" t="s">
        <v>9</v>
      </c>
      <c r="C656">
        <v>37.72</v>
      </c>
      <c r="D656" t="s">
        <v>10</v>
      </c>
      <c r="E656" t="s">
        <v>15</v>
      </c>
      <c r="F656" t="s">
        <v>31</v>
      </c>
      <c r="G656">
        <v>7</v>
      </c>
      <c r="H656">
        <v>6</v>
      </c>
      <c r="I656" s="13">
        <v>45452</v>
      </c>
      <c r="J656" s="13" t="str">
        <f>TEXT(Table1[[#This Row],[Date]],"[$-en-US]mmm yyyy")</f>
        <v>Jun 2024</v>
      </c>
      <c r="K656" s="13" t="str">
        <f>TEXT(Table1[[#This Row],[Date]],"[$-en-US]ddd")</f>
        <v>Sun</v>
      </c>
    </row>
    <row r="657" spans="1:11" x14ac:dyDescent="0.25">
      <c r="A657">
        <v>12</v>
      </c>
      <c r="B657" t="s">
        <v>9</v>
      </c>
      <c r="C657">
        <v>37.72</v>
      </c>
      <c r="D657" t="s">
        <v>10</v>
      </c>
      <c r="E657" t="s">
        <v>15</v>
      </c>
      <c r="F657" t="s">
        <v>31</v>
      </c>
      <c r="G657">
        <v>7</v>
      </c>
      <c r="H657">
        <v>6</v>
      </c>
      <c r="I657" s="13">
        <v>45452</v>
      </c>
      <c r="J657" s="13" t="str">
        <f>TEXT(Table1[[#This Row],[Date]],"[$-en-US]mmm yyyy")</f>
        <v>Jun 2024</v>
      </c>
      <c r="K657" s="13" t="str">
        <f>TEXT(Table1[[#This Row],[Date]],"[$-en-US]ddd")</f>
        <v>Sun</v>
      </c>
    </row>
    <row r="658" spans="1:11" x14ac:dyDescent="0.25">
      <c r="A658">
        <v>15</v>
      </c>
      <c r="B658" t="s">
        <v>9</v>
      </c>
      <c r="C658">
        <v>27.92</v>
      </c>
      <c r="D658" t="s">
        <v>22</v>
      </c>
      <c r="E658" t="s">
        <v>15</v>
      </c>
      <c r="F658" t="s">
        <v>31</v>
      </c>
      <c r="G658">
        <v>7</v>
      </c>
      <c r="H658">
        <v>6</v>
      </c>
      <c r="I658" s="13">
        <v>45452</v>
      </c>
      <c r="J658" s="13" t="str">
        <f>TEXT(Table1[[#This Row],[Date]],"[$-en-US]mmm yyyy")</f>
        <v>Jun 2024</v>
      </c>
      <c r="K658" s="13" t="str">
        <f>TEXT(Table1[[#This Row],[Date]],"[$-en-US]ddd")</f>
        <v>Sun</v>
      </c>
    </row>
    <row r="659" spans="1:11" x14ac:dyDescent="0.25">
      <c r="A659">
        <v>16</v>
      </c>
      <c r="B659" t="s">
        <v>9</v>
      </c>
      <c r="C659">
        <v>37.72</v>
      </c>
      <c r="D659" t="s">
        <v>27</v>
      </c>
      <c r="E659" t="s">
        <v>15</v>
      </c>
      <c r="F659" t="s">
        <v>31</v>
      </c>
      <c r="G659">
        <v>7</v>
      </c>
      <c r="H659">
        <v>6</v>
      </c>
      <c r="I659" s="13">
        <v>45452</v>
      </c>
      <c r="J659" s="13" t="str">
        <f>TEXT(Table1[[#This Row],[Date]],"[$-en-US]mmm yyyy")</f>
        <v>Jun 2024</v>
      </c>
      <c r="K659" s="13" t="str">
        <f>TEXT(Table1[[#This Row],[Date]],"[$-en-US]ddd")</f>
        <v>Sun</v>
      </c>
    </row>
    <row r="660" spans="1:11" x14ac:dyDescent="0.25">
      <c r="A660">
        <v>19</v>
      </c>
      <c r="B660" t="s">
        <v>9</v>
      </c>
      <c r="C660">
        <v>32.82</v>
      </c>
      <c r="D660" t="s">
        <v>17</v>
      </c>
      <c r="E660" t="s">
        <v>18</v>
      </c>
      <c r="F660" t="s">
        <v>31</v>
      </c>
      <c r="G660">
        <v>7</v>
      </c>
      <c r="H660">
        <v>6</v>
      </c>
      <c r="I660" s="13">
        <v>45452</v>
      </c>
      <c r="J660" s="13" t="str">
        <f>TEXT(Table1[[#This Row],[Date]],"[$-en-US]mmm yyyy")</f>
        <v>Jun 2024</v>
      </c>
      <c r="K660" s="13" t="str">
        <f>TEXT(Table1[[#This Row],[Date]],"[$-en-US]ddd")</f>
        <v>Sun</v>
      </c>
    </row>
    <row r="661" spans="1:11" x14ac:dyDescent="0.25">
      <c r="A661">
        <v>21</v>
      </c>
      <c r="B661" t="s">
        <v>9</v>
      </c>
      <c r="C661">
        <v>27.92</v>
      </c>
      <c r="D661" t="s">
        <v>16</v>
      </c>
      <c r="E661" t="s">
        <v>18</v>
      </c>
      <c r="F661" t="s">
        <v>31</v>
      </c>
      <c r="G661">
        <v>7</v>
      </c>
      <c r="H661">
        <v>6</v>
      </c>
      <c r="I661" s="13">
        <v>45452</v>
      </c>
      <c r="J661" s="13" t="str">
        <f>TEXT(Table1[[#This Row],[Date]],"[$-en-US]mmm yyyy")</f>
        <v>Jun 2024</v>
      </c>
      <c r="K661" s="13" t="str">
        <f>TEXT(Table1[[#This Row],[Date]],"[$-en-US]ddd")</f>
        <v>Sun</v>
      </c>
    </row>
    <row r="662" spans="1:11" x14ac:dyDescent="0.25">
      <c r="A662">
        <v>12</v>
      </c>
      <c r="B662" t="s">
        <v>9</v>
      </c>
      <c r="C662">
        <v>37.72</v>
      </c>
      <c r="D662" t="s">
        <v>27</v>
      </c>
      <c r="E662" t="s">
        <v>15</v>
      </c>
      <c r="F662" t="s">
        <v>31</v>
      </c>
      <c r="G662">
        <v>1</v>
      </c>
      <c r="H662">
        <v>6</v>
      </c>
      <c r="I662" s="13">
        <v>45453</v>
      </c>
      <c r="J662" s="13" t="str">
        <f>TEXT(Table1[[#This Row],[Date]],"[$-en-US]mmm yyyy")</f>
        <v>Jun 2024</v>
      </c>
      <c r="K662" s="13" t="str">
        <f>TEXT(Table1[[#This Row],[Date]],"[$-en-US]ddd")</f>
        <v>Mon</v>
      </c>
    </row>
    <row r="663" spans="1:11" x14ac:dyDescent="0.25">
      <c r="A663">
        <v>12</v>
      </c>
      <c r="B663" t="s">
        <v>9</v>
      </c>
      <c r="C663">
        <v>37.72</v>
      </c>
      <c r="D663" t="s">
        <v>10</v>
      </c>
      <c r="E663" t="s">
        <v>15</v>
      </c>
      <c r="F663" t="s">
        <v>31</v>
      </c>
      <c r="G663">
        <v>1</v>
      </c>
      <c r="H663">
        <v>6</v>
      </c>
      <c r="I663" s="13">
        <v>45453</v>
      </c>
      <c r="J663" s="13" t="str">
        <f>TEXT(Table1[[#This Row],[Date]],"[$-en-US]mmm yyyy")</f>
        <v>Jun 2024</v>
      </c>
      <c r="K663" s="13" t="str">
        <f>TEXT(Table1[[#This Row],[Date]],"[$-en-US]ddd")</f>
        <v>Mon</v>
      </c>
    </row>
    <row r="664" spans="1:11" x14ac:dyDescent="0.25">
      <c r="A664">
        <v>19</v>
      </c>
      <c r="B664" t="s">
        <v>9</v>
      </c>
      <c r="C664">
        <v>37.72</v>
      </c>
      <c r="D664" t="s">
        <v>14</v>
      </c>
      <c r="E664" t="s">
        <v>18</v>
      </c>
      <c r="F664" t="s">
        <v>31</v>
      </c>
      <c r="G664">
        <v>1</v>
      </c>
      <c r="H664">
        <v>6</v>
      </c>
      <c r="I664" s="13">
        <v>45453</v>
      </c>
      <c r="J664" s="13" t="str">
        <f>TEXT(Table1[[#This Row],[Date]],"[$-en-US]mmm yyyy")</f>
        <v>Jun 2024</v>
      </c>
      <c r="K664" s="13" t="str">
        <f>TEXT(Table1[[#This Row],[Date]],"[$-en-US]ddd")</f>
        <v>Mon</v>
      </c>
    </row>
    <row r="665" spans="1:11" x14ac:dyDescent="0.25">
      <c r="A665">
        <v>19</v>
      </c>
      <c r="B665" t="s">
        <v>9</v>
      </c>
      <c r="C665">
        <v>37.72</v>
      </c>
      <c r="D665" t="s">
        <v>14</v>
      </c>
      <c r="E665" t="s">
        <v>18</v>
      </c>
      <c r="F665" t="s">
        <v>31</v>
      </c>
      <c r="G665">
        <v>1</v>
      </c>
      <c r="H665">
        <v>6</v>
      </c>
      <c r="I665" s="13">
        <v>45453</v>
      </c>
      <c r="J665" s="13" t="str">
        <f>TEXT(Table1[[#This Row],[Date]],"[$-en-US]mmm yyyy")</f>
        <v>Jun 2024</v>
      </c>
      <c r="K665" s="13" t="str">
        <f>TEXT(Table1[[#This Row],[Date]],"[$-en-US]ddd")</f>
        <v>Mon</v>
      </c>
    </row>
    <row r="666" spans="1:11" x14ac:dyDescent="0.25">
      <c r="A666">
        <v>19</v>
      </c>
      <c r="B666" t="s">
        <v>9</v>
      </c>
      <c r="C666">
        <v>37.72</v>
      </c>
      <c r="D666" t="s">
        <v>10</v>
      </c>
      <c r="E666" t="s">
        <v>18</v>
      </c>
      <c r="F666" t="s">
        <v>31</v>
      </c>
      <c r="G666">
        <v>1</v>
      </c>
      <c r="H666">
        <v>6</v>
      </c>
      <c r="I666" s="13">
        <v>45453</v>
      </c>
      <c r="J666" s="13" t="str">
        <f>TEXT(Table1[[#This Row],[Date]],"[$-en-US]mmm yyyy")</f>
        <v>Jun 2024</v>
      </c>
      <c r="K666" s="13" t="str">
        <f>TEXT(Table1[[#This Row],[Date]],"[$-en-US]ddd")</f>
        <v>Mon</v>
      </c>
    </row>
    <row r="667" spans="1:11" x14ac:dyDescent="0.25">
      <c r="A667">
        <v>19</v>
      </c>
      <c r="B667" t="s">
        <v>9</v>
      </c>
      <c r="C667">
        <v>37.72</v>
      </c>
      <c r="D667" t="s">
        <v>10</v>
      </c>
      <c r="E667" t="s">
        <v>18</v>
      </c>
      <c r="F667" t="s">
        <v>31</v>
      </c>
      <c r="G667">
        <v>1</v>
      </c>
      <c r="H667">
        <v>6</v>
      </c>
      <c r="I667" s="13">
        <v>45453</v>
      </c>
      <c r="J667" s="13" t="str">
        <f>TEXT(Table1[[#This Row],[Date]],"[$-en-US]mmm yyyy")</f>
        <v>Jun 2024</v>
      </c>
      <c r="K667" s="13" t="str">
        <f>TEXT(Table1[[#This Row],[Date]],"[$-en-US]ddd")</f>
        <v>Mon</v>
      </c>
    </row>
    <row r="668" spans="1:11" x14ac:dyDescent="0.25">
      <c r="A668">
        <v>10</v>
      </c>
      <c r="B668" t="s">
        <v>9</v>
      </c>
      <c r="C668">
        <v>32.82</v>
      </c>
      <c r="D668" t="s">
        <v>17</v>
      </c>
      <c r="E668" t="s">
        <v>11</v>
      </c>
      <c r="F668" t="s">
        <v>31</v>
      </c>
      <c r="G668">
        <v>2</v>
      </c>
      <c r="H668">
        <v>6</v>
      </c>
      <c r="I668" s="13">
        <v>45454</v>
      </c>
      <c r="J668" s="13" t="str">
        <f>TEXT(Table1[[#This Row],[Date]],"[$-en-US]mmm yyyy")</f>
        <v>Jun 2024</v>
      </c>
      <c r="K668" s="13" t="str">
        <f>TEXT(Table1[[#This Row],[Date]],"[$-en-US]ddd")</f>
        <v>Tue</v>
      </c>
    </row>
    <row r="669" spans="1:11" x14ac:dyDescent="0.25">
      <c r="A669">
        <v>18</v>
      </c>
      <c r="B669" t="s">
        <v>9</v>
      </c>
      <c r="C669">
        <v>37.72</v>
      </c>
      <c r="D669" t="s">
        <v>10</v>
      </c>
      <c r="E669" t="s">
        <v>18</v>
      </c>
      <c r="F669" t="s">
        <v>31</v>
      </c>
      <c r="G669">
        <v>2</v>
      </c>
      <c r="H669">
        <v>6</v>
      </c>
      <c r="I669" s="13">
        <v>45454</v>
      </c>
      <c r="J669" s="13" t="str">
        <f>TEXT(Table1[[#This Row],[Date]],"[$-en-US]mmm yyyy")</f>
        <v>Jun 2024</v>
      </c>
      <c r="K669" s="13" t="str">
        <f>TEXT(Table1[[#This Row],[Date]],"[$-en-US]ddd")</f>
        <v>Tue</v>
      </c>
    </row>
    <row r="670" spans="1:11" x14ac:dyDescent="0.25">
      <c r="A670">
        <v>18</v>
      </c>
      <c r="B670" t="s">
        <v>9</v>
      </c>
      <c r="C670">
        <v>37.72</v>
      </c>
      <c r="D670" t="s">
        <v>10</v>
      </c>
      <c r="E670" t="s">
        <v>18</v>
      </c>
      <c r="F670" t="s">
        <v>31</v>
      </c>
      <c r="G670">
        <v>2</v>
      </c>
      <c r="H670">
        <v>6</v>
      </c>
      <c r="I670" s="13">
        <v>45454</v>
      </c>
      <c r="J670" s="13" t="str">
        <f>TEXT(Table1[[#This Row],[Date]],"[$-en-US]mmm yyyy")</f>
        <v>Jun 2024</v>
      </c>
      <c r="K670" s="13" t="str">
        <f>TEXT(Table1[[#This Row],[Date]],"[$-en-US]ddd")</f>
        <v>Tue</v>
      </c>
    </row>
    <row r="671" spans="1:11" x14ac:dyDescent="0.25">
      <c r="A671">
        <v>21</v>
      </c>
      <c r="B671" t="s">
        <v>9</v>
      </c>
      <c r="C671">
        <v>37.72</v>
      </c>
      <c r="D671" t="s">
        <v>14</v>
      </c>
      <c r="E671" t="s">
        <v>18</v>
      </c>
      <c r="F671" t="s">
        <v>31</v>
      </c>
      <c r="G671">
        <v>2</v>
      </c>
      <c r="H671">
        <v>6</v>
      </c>
      <c r="I671" s="13">
        <v>45454</v>
      </c>
      <c r="J671" s="13" t="str">
        <f>TEXT(Table1[[#This Row],[Date]],"[$-en-US]mmm yyyy")</f>
        <v>Jun 2024</v>
      </c>
      <c r="K671" s="13" t="str">
        <f>TEXT(Table1[[#This Row],[Date]],"[$-en-US]ddd")</f>
        <v>Tue</v>
      </c>
    </row>
    <row r="672" spans="1:11" x14ac:dyDescent="0.25">
      <c r="A672">
        <v>21</v>
      </c>
      <c r="B672" t="s">
        <v>9</v>
      </c>
      <c r="C672">
        <v>32.82</v>
      </c>
      <c r="D672" t="s">
        <v>17</v>
      </c>
      <c r="E672" t="s">
        <v>18</v>
      </c>
      <c r="F672" t="s">
        <v>31</v>
      </c>
      <c r="G672">
        <v>2</v>
      </c>
      <c r="H672">
        <v>6</v>
      </c>
      <c r="I672" s="13">
        <v>45454</v>
      </c>
      <c r="J672" s="13" t="str">
        <f>TEXT(Table1[[#This Row],[Date]],"[$-en-US]mmm yyyy")</f>
        <v>Jun 2024</v>
      </c>
      <c r="K672" s="13" t="str">
        <f>TEXT(Table1[[#This Row],[Date]],"[$-en-US]ddd")</f>
        <v>Tue</v>
      </c>
    </row>
    <row r="673" spans="1:11" x14ac:dyDescent="0.25">
      <c r="A673">
        <v>21</v>
      </c>
      <c r="B673" t="s">
        <v>9</v>
      </c>
      <c r="C673">
        <v>32.82</v>
      </c>
      <c r="D673" t="s">
        <v>17</v>
      </c>
      <c r="E673" t="s">
        <v>18</v>
      </c>
      <c r="F673" t="s">
        <v>31</v>
      </c>
      <c r="G673">
        <v>2</v>
      </c>
      <c r="H673">
        <v>6</v>
      </c>
      <c r="I673" s="13">
        <v>45454</v>
      </c>
      <c r="J673" s="13" t="str">
        <f>TEXT(Table1[[#This Row],[Date]],"[$-en-US]mmm yyyy")</f>
        <v>Jun 2024</v>
      </c>
      <c r="K673" s="13" t="str">
        <f>TEXT(Table1[[#This Row],[Date]],"[$-en-US]ddd")</f>
        <v>Tue</v>
      </c>
    </row>
    <row r="674" spans="1:11" x14ac:dyDescent="0.25">
      <c r="A674">
        <v>10</v>
      </c>
      <c r="B674" t="s">
        <v>9</v>
      </c>
      <c r="C674">
        <v>37.72</v>
      </c>
      <c r="D674" t="s">
        <v>14</v>
      </c>
      <c r="E674" t="s">
        <v>11</v>
      </c>
      <c r="F674" t="s">
        <v>31</v>
      </c>
      <c r="G674">
        <v>3</v>
      </c>
      <c r="H674">
        <v>6</v>
      </c>
      <c r="I674" s="13">
        <v>45455</v>
      </c>
      <c r="J674" s="13" t="str">
        <f>TEXT(Table1[[#This Row],[Date]],"[$-en-US]mmm yyyy")</f>
        <v>Jun 2024</v>
      </c>
      <c r="K674" s="13" t="str">
        <f>TEXT(Table1[[#This Row],[Date]],"[$-en-US]ddd")</f>
        <v>Wed</v>
      </c>
    </row>
    <row r="675" spans="1:11" x14ac:dyDescent="0.25">
      <c r="A675">
        <v>11</v>
      </c>
      <c r="B675" t="s">
        <v>9</v>
      </c>
      <c r="C675">
        <v>37.72</v>
      </c>
      <c r="D675" t="s">
        <v>27</v>
      </c>
      <c r="E675" t="s">
        <v>11</v>
      </c>
      <c r="F675" t="s">
        <v>31</v>
      </c>
      <c r="G675">
        <v>3</v>
      </c>
      <c r="H675">
        <v>6</v>
      </c>
      <c r="I675" s="13">
        <v>45455</v>
      </c>
      <c r="J675" s="13" t="str">
        <f>TEXT(Table1[[#This Row],[Date]],"[$-en-US]mmm yyyy")</f>
        <v>Jun 2024</v>
      </c>
      <c r="K675" s="13" t="str">
        <f>TEXT(Table1[[#This Row],[Date]],"[$-en-US]ddd")</f>
        <v>Wed</v>
      </c>
    </row>
    <row r="676" spans="1:11" x14ac:dyDescent="0.25">
      <c r="A676">
        <v>17</v>
      </c>
      <c r="B676" t="s">
        <v>9</v>
      </c>
      <c r="C676">
        <v>37.72</v>
      </c>
      <c r="D676" t="s">
        <v>10</v>
      </c>
      <c r="E676" t="s">
        <v>18</v>
      </c>
      <c r="F676" t="s">
        <v>31</v>
      </c>
      <c r="G676">
        <v>3</v>
      </c>
      <c r="H676">
        <v>6</v>
      </c>
      <c r="I676" s="13">
        <v>45455</v>
      </c>
      <c r="J676" s="13" t="str">
        <f>TEXT(Table1[[#This Row],[Date]],"[$-en-US]mmm yyyy")</f>
        <v>Jun 2024</v>
      </c>
      <c r="K676" s="13" t="str">
        <f>TEXT(Table1[[#This Row],[Date]],"[$-en-US]ddd")</f>
        <v>Wed</v>
      </c>
    </row>
    <row r="677" spans="1:11" x14ac:dyDescent="0.25">
      <c r="A677">
        <v>17</v>
      </c>
      <c r="B677" t="s">
        <v>9</v>
      </c>
      <c r="C677">
        <v>37.72</v>
      </c>
      <c r="D677" t="s">
        <v>10</v>
      </c>
      <c r="E677" t="s">
        <v>18</v>
      </c>
      <c r="F677" t="s">
        <v>31</v>
      </c>
      <c r="G677">
        <v>3</v>
      </c>
      <c r="H677">
        <v>6</v>
      </c>
      <c r="I677" s="13">
        <v>45455</v>
      </c>
      <c r="J677" s="13" t="str">
        <f>TEXT(Table1[[#This Row],[Date]],"[$-en-US]mmm yyyy")</f>
        <v>Jun 2024</v>
      </c>
      <c r="K677" s="13" t="str">
        <f>TEXT(Table1[[#This Row],[Date]],"[$-en-US]ddd")</f>
        <v>Wed</v>
      </c>
    </row>
    <row r="678" spans="1:11" x14ac:dyDescent="0.25">
      <c r="A678">
        <v>20</v>
      </c>
      <c r="B678" t="s">
        <v>9</v>
      </c>
      <c r="C678">
        <v>37.72</v>
      </c>
      <c r="D678" t="s">
        <v>14</v>
      </c>
      <c r="E678" t="s">
        <v>18</v>
      </c>
      <c r="F678" t="s">
        <v>31</v>
      </c>
      <c r="G678">
        <v>3</v>
      </c>
      <c r="H678">
        <v>6</v>
      </c>
      <c r="I678" s="13">
        <v>45455</v>
      </c>
      <c r="J678" s="13" t="str">
        <f>TEXT(Table1[[#This Row],[Date]],"[$-en-US]mmm yyyy")</f>
        <v>Jun 2024</v>
      </c>
      <c r="K678" s="13" t="str">
        <f>TEXT(Table1[[#This Row],[Date]],"[$-en-US]ddd")</f>
        <v>Wed</v>
      </c>
    </row>
    <row r="679" spans="1:11" x14ac:dyDescent="0.25">
      <c r="A679">
        <v>20</v>
      </c>
      <c r="B679" t="s">
        <v>9</v>
      </c>
      <c r="C679">
        <v>32.82</v>
      </c>
      <c r="D679" t="s">
        <v>17</v>
      </c>
      <c r="E679" t="s">
        <v>18</v>
      </c>
      <c r="F679" t="s">
        <v>31</v>
      </c>
      <c r="G679">
        <v>3</v>
      </c>
      <c r="H679">
        <v>6</v>
      </c>
      <c r="I679" s="13">
        <v>45455</v>
      </c>
      <c r="J679" s="13" t="str">
        <f>TEXT(Table1[[#This Row],[Date]],"[$-en-US]mmm yyyy")</f>
        <v>Jun 2024</v>
      </c>
      <c r="K679" s="13" t="str">
        <f>TEXT(Table1[[#This Row],[Date]],"[$-en-US]ddd")</f>
        <v>Wed</v>
      </c>
    </row>
    <row r="680" spans="1:11" x14ac:dyDescent="0.25">
      <c r="A680">
        <v>8</v>
      </c>
      <c r="B680" t="s">
        <v>9</v>
      </c>
      <c r="C680">
        <v>27.92</v>
      </c>
      <c r="D680" t="s">
        <v>16</v>
      </c>
      <c r="E680" t="s">
        <v>11</v>
      </c>
      <c r="F680" t="s">
        <v>31</v>
      </c>
      <c r="G680">
        <v>4</v>
      </c>
      <c r="H680">
        <v>6</v>
      </c>
      <c r="I680" s="13">
        <v>45456</v>
      </c>
      <c r="J680" s="13" t="str">
        <f>TEXT(Table1[[#This Row],[Date]],"[$-en-US]mmm yyyy")</f>
        <v>Jun 2024</v>
      </c>
      <c r="K680" s="13" t="str">
        <f>TEXT(Table1[[#This Row],[Date]],"[$-en-US]ddd")</f>
        <v>Thu</v>
      </c>
    </row>
    <row r="681" spans="1:11" x14ac:dyDescent="0.25">
      <c r="A681">
        <v>8</v>
      </c>
      <c r="B681" t="s">
        <v>9</v>
      </c>
      <c r="C681">
        <v>37.72</v>
      </c>
      <c r="D681" t="s">
        <v>10</v>
      </c>
      <c r="E681" t="s">
        <v>11</v>
      </c>
      <c r="F681" t="s">
        <v>31</v>
      </c>
      <c r="G681">
        <v>4</v>
      </c>
      <c r="H681">
        <v>6</v>
      </c>
      <c r="I681" s="13">
        <v>45456</v>
      </c>
      <c r="J681" s="13" t="str">
        <f>TEXT(Table1[[#This Row],[Date]],"[$-en-US]mmm yyyy")</f>
        <v>Jun 2024</v>
      </c>
      <c r="K681" s="13" t="str">
        <f>TEXT(Table1[[#This Row],[Date]],"[$-en-US]ddd")</f>
        <v>Thu</v>
      </c>
    </row>
    <row r="682" spans="1:11" x14ac:dyDescent="0.25">
      <c r="A682">
        <v>9</v>
      </c>
      <c r="B682" t="s">
        <v>9</v>
      </c>
      <c r="C682">
        <v>32.82</v>
      </c>
      <c r="D682" t="s">
        <v>17</v>
      </c>
      <c r="E682" t="s">
        <v>11</v>
      </c>
      <c r="F682" t="s">
        <v>31</v>
      </c>
      <c r="G682">
        <v>4</v>
      </c>
      <c r="H682">
        <v>6</v>
      </c>
      <c r="I682" s="13">
        <v>45456</v>
      </c>
      <c r="J682" s="13" t="str">
        <f>TEXT(Table1[[#This Row],[Date]],"[$-en-US]mmm yyyy")</f>
        <v>Jun 2024</v>
      </c>
      <c r="K682" s="13" t="str">
        <f>TEXT(Table1[[#This Row],[Date]],"[$-en-US]ddd")</f>
        <v>Thu</v>
      </c>
    </row>
    <row r="683" spans="1:11" x14ac:dyDescent="0.25">
      <c r="A683">
        <v>9</v>
      </c>
      <c r="B683" t="s">
        <v>9</v>
      </c>
      <c r="C683">
        <v>27.92</v>
      </c>
      <c r="D683" t="s">
        <v>22</v>
      </c>
      <c r="E683" t="s">
        <v>11</v>
      </c>
      <c r="F683" t="s">
        <v>31</v>
      </c>
      <c r="G683">
        <v>4</v>
      </c>
      <c r="H683">
        <v>6</v>
      </c>
      <c r="I683" s="13">
        <v>45456</v>
      </c>
      <c r="J683" s="13" t="str">
        <f>TEXT(Table1[[#This Row],[Date]],"[$-en-US]mmm yyyy")</f>
        <v>Jun 2024</v>
      </c>
      <c r="K683" s="13" t="str">
        <f>TEXT(Table1[[#This Row],[Date]],"[$-en-US]ddd")</f>
        <v>Thu</v>
      </c>
    </row>
    <row r="684" spans="1:11" x14ac:dyDescent="0.25">
      <c r="A684">
        <v>17</v>
      </c>
      <c r="B684" t="s">
        <v>9</v>
      </c>
      <c r="C684">
        <v>32.82</v>
      </c>
      <c r="D684" t="s">
        <v>17</v>
      </c>
      <c r="E684" t="s">
        <v>18</v>
      </c>
      <c r="F684" t="s">
        <v>31</v>
      </c>
      <c r="G684">
        <v>4</v>
      </c>
      <c r="H684">
        <v>6</v>
      </c>
      <c r="I684" s="13">
        <v>45456</v>
      </c>
      <c r="J684" s="13" t="str">
        <f>TEXT(Table1[[#This Row],[Date]],"[$-en-US]mmm yyyy")</f>
        <v>Jun 2024</v>
      </c>
      <c r="K684" s="13" t="str">
        <f>TEXT(Table1[[#This Row],[Date]],"[$-en-US]ddd")</f>
        <v>Thu</v>
      </c>
    </row>
    <row r="685" spans="1:11" x14ac:dyDescent="0.25">
      <c r="A685">
        <v>17</v>
      </c>
      <c r="B685" t="s">
        <v>9</v>
      </c>
      <c r="C685">
        <v>37.72</v>
      </c>
      <c r="D685" t="s">
        <v>14</v>
      </c>
      <c r="E685" t="s">
        <v>18</v>
      </c>
      <c r="F685" t="s">
        <v>31</v>
      </c>
      <c r="G685">
        <v>4</v>
      </c>
      <c r="H685">
        <v>6</v>
      </c>
      <c r="I685" s="13">
        <v>45456</v>
      </c>
      <c r="J685" s="13" t="str">
        <f>TEXT(Table1[[#This Row],[Date]],"[$-en-US]mmm yyyy")</f>
        <v>Jun 2024</v>
      </c>
      <c r="K685" s="13" t="str">
        <f>TEXT(Table1[[#This Row],[Date]],"[$-en-US]ddd")</f>
        <v>Thu</v>
      </c>
    </row>
    <row r="686" spans="1:11" x14ac:dyDescent="0.25">
      <c r="A686">
        <v>19</v>
      </c>
      <c r="B686" t="s">
        <v>9</v>
      </c>
      <c r="C686">
        <v>37.72</v>
      </c>
      <c r="D686" t="s">
        <v>10</v>
      </c>
      <c r="E686" t="s">
        <v>18</v>
      </c>
      <c r="F686" t="s">
        <v>31</v>
      </c>
      <c r="G686">
        <v>4</v>
      </c>
      <c r="H686">
        <v>6</v>
      </c>
      <c r="I686" s="13">
        <v>45456</v>
      </c>
      <c r="J686" s="13" t="str">
        <f>TEXT(Table1[[#This Row],[Date]],"[$-en-US]mmm yyyy")</f>
        <v>Jun 2024</v>
      </c>
      <c r="K686" s="13" t="str">
        <f>TEXT(Table1[[#This Row],[Date]],"[$-en-US]ddd")</f>
        <v>Thu</v>
      </c>
    </row>
    <row r="687" spans="1:11" x14ac:dyDescent="0.25">
      <c r="A687">
        <v>20</v>
      </c>
      <c r="B687" t="s">
        <v>9</v>
      </c>
      <c r="C687">
        <v>32.82</v>
      </c>
      <c r="D687" t="s">
        <v>17</v>
      </c>
      <c r="E687" t="s">
        <v>18</v>
      </c>
      <c r="F687" t="s">
        <v>31</v>
      </c>
      <c r="G687">
        <v>4</v>
      </c>
      <c r="H687">
        <v>6</v>
      </c>
      <c r="I687" s="13">
        <v>45456</v>
      </c>
      <c r="J687" s="13" t="str">
        <f>TEXT(Table1[[#This Row],[Date]],"[$-en-US]mmm yyyy")</f>
        <v>Jun 2024</v>
      </c>
      <c r="K687" s="13" t="str">
        <f>TEXT(Table1[[#This Row],[Date]],"[$-en-US]ddd")</f>
        <v>Thu</v>
      </c>
    </row>
    <row r="688" spans="1:11" x14ac:dyDescent="0.25">
      <c r="A688">
        <v>20</v>
      </c>
      <c r="B688" t="s">
        <v>9</v>
      </c>
      <c r="C688">
        <v>23.02</v>
      </c>
      <c r="D688" t="s">
        <v>24</v>
      </c>
      <c r="E688" t="s">
        <v>18</v>
      </c>
      <c r="F688" t="s">
        <v>31</v>
      </c>
      <c r="G688">
        <v>4</v>
      </c>
      <c r="H688">
        <v>6</v>
      </c>
      <c r="I688" s="13">
        <v>45456</v>
      </c>
      <c r="J688" s="13" t="str">
        <f>TEXT(Table1[[#This Row],[Date]],"[$-en-US]mmm yyyy")</f>
        <v>Jun 2024</v>
      </c>
      <c r="K688" s="13" t="str">
        <f>TEXT(Table1[[#This Row],[Date]],"[$-en-US]ddd")</f>
        <v>Thu</v>
      </c>
    </row>
    <row r="689" spans="1:11" x14ac:dyDescent="0.25">
      <c r="A689">
        <v>20</v>
      </c>
      <c r="B689" t="s">
        <v>9</v>
      </c>
      <c r="C689">
        <v>23.02</v>
      </c>
      <c r="D689" t="s">
        <v>24</v>
      </c>
      <c r="E689" t="s">
        <v>18</v>
      </c>
      <c r="F689" t="s">
        <v>31</v>
      </c>
      <c r="G689">
        <v>4</v>
      </c>
      <c r="H689">
        <v>6</v>
      </c>
      <c r="I689" s="13">
        <v>45456</v>
      </c>
      <c r="J689" s="13" t="str">
        <f>TEXT(Table1[[#This Row],[Date]],"[$-en-US]mmm yyyy")</f>
        <v>Jun 2024</v>
      </c>
      <c r="K689" s="13" t="str">
        <f>TEXT(Table1[[#This Row],[Date]],"[$-en-US]ddd")</f>
        <v>Thu</v>
      </c>
    </row>
    <row r="690" spans="1:11" x14ac:dyDescent="0.25">
      <c r="A690">
        <v>20</v>
      </c>
      <c r="B690" t="s">
        <v>9</v>
      </c>
      <c r="C690">
        <v>32.82</v>
      </c>
      <c r="D690" t="s">
        <v>17</v>
      </c>
      <c r="E690" t="s">
        <v>18</v>
      </c>
      <c r="F690" t="s">
        <v>31</v>
      </c>
      <c r="G690">
        <v>4</v>
      </c>
      <c r="H690">
        <v>6</v>
      </c>
      <c r="I690" s="13">
        <v>45456</v>
      </c>
      <c r="J690" s="13" t="str">
        <f>TEXT(Table1[[#This Row],[Date]],"[$-en-US]mmm yyyy")</f>
        <v>Jun 2024</v>
      </c>
      <c r="K690" s="13" t="str">
        <f>TEXT(Table1[[#This Row],[Date]],"[$-en-US]ddd")</f>
        <v>Thu</v>
      </c>
    </row>
    <row r="691" spans="1:11" x14ac:dyDescent="0.25">
      <c r="A691">
        <v>21</v>
      </c>
      <c r="B691" t="s">
        <v>9</v>
      </c>
      <c r="C691">
        <v>32.82</v>
      </c>
      <c r="D691" t="s">
        <v>17</v>
      </c>
      <c r="E691" t="s">
        <v>18</v>
      </c>
      <c r="F691" t="s">
        <v>31</v>
      </c>
      <c r="G691">
        <v>4</v>
      </c>
      <c r="H691">
        <v>6</v>
      </c>
      <c r="I691" s="13">
        <v>45456</v>
      </c>
      <c r="J691" s="13" t="str">
        <f>TEXT(Table1[[#This Row],[Date]],"[$-en-US]mmm yyyy")</f>
        <v>Jun 2024</v>
      </c>
      <c r="K691" s="13" t="str">
        <f>TEXT(Table1[[#This Row],[Date]],"[$-en-US]ddd")</f>
        <v>Thu</v>
      </c>
    </row>
    <row r="692" spans="1:11" x14ac:dyDescent="0.25">
      <c r="A692">
        <v>7</v>
      </c>
      <c r="B692" t="s">
        <v>9</v>
      </c>
      <c r="C692">
        <v>27.92</v>
      </c>
      <c r="D692" t="s">
        <v>22</v>
      </c>
      <c r="E692" t="s">
        <v>11</v>
      </c>
      <c r="F692" t="s">
        <v>31</v>
      </c>
      <c r="G692">
        <v>5</v>
      </c>
      <c r="H692">
        <v>6</v>
      </c>
      <c r="I692" s="13">
        <v>45457</v>
      </c>
      <c r="J692" s="13" t="str">
        <f>TEXT(Table1[[#This Row],[Date]],"[$-en-US]mmm yyyy")</f>
        <v>Jun 2024</v>
      </c>
      <c r="K692" s="13" t="str">
        <f>TEXT(Table1[[#This Row],[Date]],"[$-en-US]ddd")</f>
        <v>Fri</v>
      </c>
    </row>
    <row r="693" spans="1:11" x14ac:dyDescent="0.25">
      <c r="A693">
        <v>10</v>
      </c>
      <c r="B693" t="s">
        <v>9</v>
      </c>
      <c r="C693">
        <v>27.92</v>
      </c>
      <c r="D693" t="s">
        <v>16</v>
      </c>
      <c r="E693" t="s">
        <v>11</v>
      </c>
      <c r="F693" t="s">
        <v>31</v>
      </c>
      <c r="G693">
        <v>5</v>
      </c>
      <c r="H693">
        <v>6</v>
      </c>
      <c r="I693" s="13">
        <v>45457</v>
      </c>
      <c r="J693" s="13" t="str">
        <f>TEXT(Table1[[#This Row],[Date]],"[$-en-US]mmm yyyy")</f>
        <v>Jun 2024</v>
      </c>
      <c r="K693" s="13" t="str">
        <f>TEXT(Table1[[#This Row],[Date]],"[$-en-US]ddd")</f>
        <v>Fri</v>
      </c>
    </row>
    <row r="694" spans="1:11" x14ac:dyDescent="0.25">
      <c r="A694">
        <v>12</v>
      </c>
      <c r="B694" t="s">
        <v>9</v>
      </c>
      <c r="C694">
        <v>37.72</v>
      </c>
      <c r="D694" t="s">
        <v>10</v>
      </c>
      <c r="E694" t="s">
        <v>15</v>
      </c>
      <c r="F694" t="s">
        <v>31</v>
      </c>
      <c r="G694">
        <v>5</v>
      </c>
      <c r="H694">
        <v>6</v>
      </c>
      <c r="I694" s="13">
        <v>45457</v>
      </c>
      <c r="J694" s="13" t="str">
        <f>TEXT(Table1[[#This Row],[Date]],"[$-en-US]mmm yyyy")</f>
        <v>Jun 2024</v>
      </c>
      <c r="K694" s="13" t="str">
        <f>TEXT(Table1[[#This Row],[Date]],"[$-en-US]ddd")</f>
        <v>Fri</v>
      </c>
    </row>
    <row r="695" spans="1:11" x14ac:dyDescent="0.25">
      <c r="A695">
        <v>18</v>
      </c>
      <c r="B695" t="s">
        <v>9</v>
      </c>
      <c r="C695">
        <v>32.82</v>
      </c>
      <c r="D695" t="s">
        <v>17</v>
      </c>
      <c r="E695" t="s">
        <v>18</v>
      </c>
      <c r="F695" t="s">
        <v>31</v>
      </c>
      <c r="G695">
        <v>5</v>
      </c>
      <c r="H695">
        <v>6</v>
      </c>
      <c r="I695" s="13">
        <v>45457</v>
      </c>
      <c r="J695" s="13" t="str">
        <f>TEXT(Table1[[#This Row],[Date]],"[$-en-US]mmm yyyy")</f>
        <v>Jun 2024</v>
      </c>
      <c r="K695" s="13" t="str">
        <f>TEXT(Table1[[#This Row],[Date]],"[$-en-US]ddd")</f>
        <v>Fri</v>
      </c>
    </row>
    <row r="696" spans="1:11" x14ac:dyDescent="0.25">
      <c r="A696">
        <v>11</v>
      </c>
      <c r="B696" t="s">
        <v>9</v>
      </c>
      <c r="C696">
        <v>37.72</v>
      </c>
      <c r="D696" t="s">
        <v>27</v>
      </c>
      <c r="E696" t="s">
        <v>11</v>
      </c>
      <c r="F696" t="s">
        <v>31</v>
      </c>
      <c r="G696">
        <v>6</v>
      </c>
      <c r="H696">
        <v>6</v>
      </c>
      <c r="I696" s="13">
        <v>45458</v>
      </c>
      <c r="J696" s="13" t="str">
        <f>TEXT(Table1[[#This Row],[Date]],"[$-en-US]mmm yyyy")</f>
        <v>Jun 2024</v>
      </c>
      <c r="K696" s="13" t="str">
        <f>TEXT(Table1[[#This Row],[Date]],"[$-en-US]ddd")</f>
        <v>Sat</v>
      </c>
    </row>
    <row r="697" spans="1:11" x14ac:dyDescent="0.25">
      <c r="A697">
        <v>12</v>
      </c>
      <c r="B697" t="s">
        <v>9</v>
      </c>
      <c r="C697">
        <v>37.72</v>
      </c>
      <c r="D697" t="s">
        <v>10</v>
      </c>
      <c r="E697" t="s">
        <v>15</v>
      </c>
      <c r="F697" t="s">
        <v>31</v>
      </c>
      <c r="G697">
        <v>6</v>
      </c>
      <c r="H697">
        <v>6</v>
      </c>
      <c r="I697" s="13">
        <v>45458</v>
      </c>
      <c r="J697" s="13" t="str">
        <f>TEXT(Table1[[#This Row],[Date]],"[$-en-US]mmm yyyy")</f>
        <v>Jun 2024</v>
      </c>
      <c r="K697" s="13" t="str">
        <f>TEXT(Table1[[#This Row],[Date]],"[$-en-US]ddd")</f>
        <v>Sat</v>
      </c>
    </row>
    <row r="698" spans="1:11" x14ac:dyDescent="0.25">
      <c r="A698">
        <v>12</v>
      </c>
      <c r="B698" t="s">
        <v>9</v>
      </c>
      <c r="C698">
        <v>32.82</v>
      </c>
      <c r="D698" t="s">
        <v>17</v>
      </c>
      <c r="E698" t="s">
        <v>15</v>
      </c>
      <c r="F698" t="s">
        <v>31</v>
      </c>
      <c r="G698">
        <v>6</v>
      </c>
      <c r="H698">
        <v>6</v>
      </c>
      <c r="I698" s="13">
        <v>45458</v>
      </c>
      <c r="J698" s="13" t="str">
        <f>TEXT(Table1[[#This Row],[Date]],"[$-en-US]mmm yyyy")</f>
        <v>Jun 2024</v>
      </c>
      <c r="K698" s="13" t="str">
        <f>TEXT(Table1[[#This Row],[Date]],"[$-en-US]ddd")</f>
        <v>Sat</v>
      </c>
    </row>
    <row r="699" spans="1:11" x14ac:dyDescent="0.25">
      <c r="A699">
        <v>12</v>
      </c>
      <c r="B699" t="s">
        <v>9</v>
      </c>
      <c r="C699">
        <v>23.02</v>
      </c>
      <c r="D699" t="s">
        <v>24</v>
      </c>
      <c r="E699" t="s">
        <v>15</v>
      </c>
      <c r="F699" t="s">
        <v>31</v>
      </c>
      <c r="G699">
        <v>6</v>
      </c>
      <c r="H699">
        <v>6</v>
      </c>
      <c r="I699" s="13">
        <v>45458</v>
      </c>
      <c r="J699" s="13" t="str">
        <f>TEXT(Table1[[#This Row],[Date]],"[$-en-US]mmm yyyy")</f>
        <v>Jun 2024</v>
      </c>
      <c r="K699" s="13" t="str">
        <f>TEXT(Table1[[#This Row],[Date]],"[$-en-US]ddd")</f>
        <v>Sat</v>
      </c>
    </row>
    <row r="700" spans="1:11" x14ac:dyDescent="0.25">
      <c r="A700">
        <v>12</v>
      </c>
      <c r="B700" t="s">
        <v>9</v>
      </c>
      <c r="C700">
        <v>37.72</v>
      </c>
      <c r="D700" t="s">
        <v>19</v>
      </c>
      <c r="E700" t="s">
        <v>15</v>
      </c>
      <c r="F700" t="s">
        <v>31</v>
      </c>
      <c r="G700">
        <v>6</v>
      </c>
      <c r="H700">
        <v>6</v>
      </c>
      <c r="I700" s="13">
        <v>45458</v>
      </c>
      <c r="J700" s="13" t="str">
        <f>TEXT(Table1[[#This Row],[Date]],"[$-en-US]mmm yyyy")</f>
        <v>Jun 2024</v>
      </c>
      <c r="K700" s="13" t="str">
        <f>TEXT(Table1[[#This Row],[Date]],"[$-en-US]ddd")</f>
        <v>Sat</v>
      </c>
    </row>
    <row r="701" spans="1:11" x14ac:dyDescent="0.25">
      <c r="A701">
        <v>12</v>
      </c>
      <c r="B701" t="s">
        <v>9</v>
      </c>
      <c r="C701">
        <v>32.82</v>
      </c>
      <c r="D701" t="s">
        <v>17</v>
      </c>
      <c r="E701" t="s">
        <v>15</v>
      </c>
      <c r="F701" t="s">
        <v>31</v>
      </c>
      <c r="G701">
        <v>6</v>
      </c>
      <c r="H701">
        <v>6</v>
      </c>
      <c r="I701" s="13">
        <v>45458</v>
      </c>
      <c r="J701" s="13" t="str">
        <f>TEXT(Table1[[#This Row],[Date]],"[$-en-US]mmm yyyy")</f>
        <v>Jun 2024</v>
      </c>
      <c r="K701" s="13" t="str">
        <f>TEXT(Table1[[#This Row],[Date]],"[$-en-US]ddd")</f>
        <v>Sat</v>
      </c>
    </row>
    <row r="702" spans="1:11" x14ac:dyDescent="0.25">
      <c r="A702">
        <v>16</v>
      </c>
      <c r="B702" t="s">
        <v>9</v>
      </c>
      <c r="C702">
        <v>32.82</v>
      </c>
      <c r="D702" t="s">
        <v>17</v>
      </c>
      <c r="E702" t="s">
        <v>15</v>
      </c>
      <c r="F702" t="s">
        <v>31</v>
      </c>
      <c r="G702">
        <v>6</v>
      </c>
      <c r="H702">
        <v>6</v>
      </c>
      <c r="I702" s="13">
        <v>45458</v>
      </c>
      <c r="J702" s="13" t="str">
        <f>TEXT(Table1[[#This Row],[Date]],"[$-en-US]mmm yyyy")</f>
        <v>Jun 2024</v>
      </c>
      <c r="K702" s="13" t="str">
        <f>TEXT(Table1[[#This Row],[Date]],"[$-en-US]ddd")</f>
        <v>Sat</v>
      </c>
    </row>
    <row r="703" spans="1:11" x14ac:dyDescent="0.25">
      <c r="A703">
        <v>18</v>
      </c>
      <c r="B703" t="s">
        <v>9</v>
      </c>
      <c r="C703">
        <v>27.92</v>
      </c>
      <c r="D703" t="s">
        <v>16</v>
      </c>
      <c r="E703" t="s">
        <v>18</v>
      </c>
      <c r="F703" t="s">
        <v>31</v>
      </c>
      <c r="G703">
        <v>6</v>
      </c>
      <c r="H703">
        <v>6</v>
      </c>
      <c r="I703" s="13">
        <v>45458</v>
      </c>
      <c r="J703" s="13" t="str">
        <f>TEXT(Table1[[#This Row],[Date]],"[$-en-US]mmm yyyy")</f>
        <v>Jun 2024</v>
      </c>
      <c r="K703" s="13" t="str">
        <f>TEXT(Table1[[#This Row],[Date]],"[$-en-US]ddd")</f>
        <v>Sat</v>
      </c>
    </row>
    <row r="704" spans="1:11" x14ac:dyDescent="0.25">
      <c r="A704">
        <v>10</v>
      </c>
      <c r="B704" t="s">
        <v>9</v>
      </c>
      <c r="C704">
        <v>32.82</v>
      </c>
      <c r="D704" t="s">
        <v>17</v>
      </c>
      <c r="E704" t="s">
        <v>11</v>
      </c>
      <c r="F704" t="s">
        <v>31</v>
      </c>
      <c r="G704">
        <v>7</v>
      </c>
      <c r="H704">
        <v>6</v>
      </c>
      <c r="I704" s="13">
        <v>45459</v>
      </c>
      <c r="J704" s="13" t="str">
        <f>TEXT(Table1[[#This Row],[Date]],"[$-en-US]mmm yyyy")</f>
        <v>Jun 2024</v>
      </c>
      <c r="K704" s="13" t="str">
        <f>TEXT(Table1[[#This Row],[Date]],"[$-en-US]ddd")</f>
        <v>Sun</v>
      </c>
    </row>
    <row r="705" spans="1:11" x14ac:dyDescent="0.25">
      <c r="A705">
        <v>10</v>
      </c>
      <c r="B705" t="s">
        <v>9</v>
      </c>
      <c r="C705">
        <v>37.72</v>
      </c>
      <c r="D705" t="s">
        <v>10</v>
      </c>
      <c r="E705" t="s">
        <v>11</v>
      </c>
      <c r="F705" t="s">
        <v>31</v>
      </c>
      <c r="G705">
        <v>7</v>
      </c>
      <c r="H705">
        <v>6</v>
      </c>
      <c r="I705" s="13">
        <v>45459</v>
      </c>
      <c r="J705" s="13" t="str">
        <f>TEXT(Table1[[#This Row],[Date]],"[$-en-US]mmm yyyy")</f>
        <v>Jun 2024</v>
      </c>
      <c r="K705" s="13" t="str">
        <f>TEXT(Table1[[#This Row],[Date]],"[$-en-US]ddd")</f>
        <v>Sun</v>
      </c>
    </row>
    <row r="706" spans="1:11" x14ac:dyDescent="0.25">
      <c r="A706">
        <v>11</v>
      </c>
      <c r="B706" t="s">
        <v>9</v>
      </c>
      <c r="C706">
        <v>37.72</v>
      </c>
      <c r="D706" t="s">
        <v>14</v>
      </c>
      <c r="E706" t="s">
        <v>11</v>
      </c>
      <c r="F706" t="s">
        <v>31</v>
      </c>
      <c r="G706">
        <v>7</v>
      </c>
      <c r="H706">
        <v>6</v>
      </c>
      <c r="I706" s="13">
        <v>45459</v>
      </c>
      <c r="J706" s="13" t="str">
        <f>TEXT(Table1[[#This Row],[Date]],"[$-en-US]mmm yyyy")</f>
        <v>Jun 2024</v>
      </c>
      <c r="K706" s="13" t="str">
        <f>TEXT(Table1[[#This Row],[Date]],"[$-en-US]ddd")</f>
        <v>Sun</v>
      </c>
    </row>
    <row r="707" spans="1:11" x14ac:dyDescent="0.25">
      <c r="A707">
        <v>11</v>
      </c>
      <c r="B707" t="s">
        <v>9</v>
      </c>
      <c r="C707">
        <v>37.72</v>
      </c>
      <c r="D707" t="s">
        <v>14</v>
      </c>
      <c r="E707" t="s">
        <v>11</v>
      </c>
      <c r="F707" t="s">
        <v>31</v>
      </c>
      <c r="G707">
        <v>7</v>
      </c>
      <c r="H707">
        <v>6</v>
      </c>
      <c r="I707" s="13">
        <v>45459</v>
      </c>
      <c r="J707" s="13" t="str">
        <f>TEXT(Table1[[#This Row],[Date]],"[$-en-US]mmm yyyy")</f>
        <v>Jun 2024</v>
      </c>
      <c r="K707" s="13" t="str">
        <f>TEXT(Table1[[#This Row],[Date]],"[$-en-US]ddd")</f>
        <v>Sun</v>
      </c>
    </row>
    <row r="708" spans="1:11" x14ac:dyDescent="0.25">
      <c r="A708">
        <v>12</v>
      </c>
      <c r="B708" t="s">
        <v>9</v>
      </c>
      <c r="C708">
        <v>32.82</v>
      </c>
      <c r="D708" t="s">
        <v>17</v>
      </c>
      <c r="E708" t="s">
        <v>15</v>
      </c>
      <c r="F708" t="s">
        <v>31</v>
      </c>
      <c r="G708">
        <v>7</v>
      </c>
      <c r="H708">
        <v>6</v>
      </c>
      <c r="I708" s="13">
        <v>45459</v>
      </c>
      <c r="J708" s="13" t="str">
        <f>TEXT(Table1[[#This Row],[Date]],"[$-en-US]mmm yyyy")</f>
        <v>Jun 2024</v>
      </c>
      <c r="K708" s="13" t="str">
        <f>TEXT(Table1[[#This Row],[Date]],"[$-en-US]ddd")</f>
        <v>Sun</v>
      </c>
    </row>
    <row r="709" spans="1:11" x14ac:dyDescent="0.25">
      <c r="A709">
        <v>14</v>
      </c>
      <c r="B709" t="s">
        <v>9</v>
      </c>
      <c r="C709">
        <v>23.02</v>
      </c>
      <c r="D709" t="s">
        <v>24</v>
      </c>
      <c r="E709" t="s">
        <v>15</v>
      </c>
      <c r="F709" t="s">
        <v>31</v>
      </c>
      <c r="G709">
        <v>7</v>
      </c>
      <c r="H709">
        <v>6</v>
      </c>
      <c r="I709" s="13">
        <v>45459</v>
      </c>
      <c r="J709" s="13" t="str">
        <f>TEXT(Table1[[#This Row],[Date]],"[$-en-US]mmm yyyy")</f>
        <v>Jun 2024</v>
      </c>
      <c r="K709" s="13" t="str">
        <f>TEXT(Table1[[#This Row],[Date]],"[$-en-US]ddd")</f>
        <v>Sun</v>
      </c>
    </row>
    <row r="710" spans="1:11" x14ac:dyDescent="0.25">
      <c r="A710">
        <v>15</v>
      </c>
      <c r="B710" t="s">
        <v>9</v>
      </c>
      <c r="C710">
        <v>32.82</v>
      </c>
      <c r="D710" t="s">
        <v>17</v>
      </c>
      <c r="E710" t="s">
        <v>15</v>
      </c>
      <c r="F710" t="s">
        <v>31</v>
      </c>
      <c r="G710">
        <v>7</v>
      </c>
      <c r="H710">
        <v>6</v>
      </c>
      <c r="I710" s="13">
        <v>45459</v>
      </c>
      <c r="J710" s="13" t="str">
        <f>TEXT(Table1[[#This Row],[Date]],"[$-en-US]mmm yyyy")</f>
        <v>Jun 2024</v>
      </c>
      <c r="K710" s="13" t="str">
        <f>TEXT(Table1[[#This Row],[Date]],"[$-en-US]ddd")</f>
        <v>Sun</v>
      </c>
    </row>
    <row r="711" spans="1:11" x14ac:dyDescent="0.25">
      <c r="A711">
        <v>15</v>
      </c>
      <c r="B711" t="s">
        <v>9</v>
      </c>
      <c r="C711">
        <v>32.82</v>
      </c>
      <c r="D711" t="s">
        <v>17</v>
      </c>
      <c r="E711" t="s">
        <v>15</v>
      </c>
      <c r="F711" t="s">
        <v>31</v>
      </c>
      <c r="G711">
        <v>7</v>
      </c>
      <c r="H711">
        <v>6</v>
      </c>
      <c r="I711" s="13">
        <v>45459</v>
      </c>
      <c r="J711" s="13" t="str">
        <f>TEXT(Table1[[#This Row],[Date]],"[$-en-US]mmm yyyy")</f>
        <v>Jun 2024</v>
      </c>
      <c r="K711" s="13" t="str">
        <f>TEXT(Table1[[#This Row],[Date]],"[$-en-US]ddd")</f>
        <v>Sun</v>
      </c>
    </row>
    <row r="712" spans="1:11" x14ac:dyDescent="0.25">
      <c r="A712">
        <v>15</v>
      </c>
      <c r="B712" t="s">
        <v>9</v>
      </c>
      <c r="C712">
        <v>37.72</v>
      </c>
      <c r="D712" t="s">
        <v>14</v>
      </c>
      <c r="E712" t="s">
        <v>15</v>
      </c>
      <c r="F712" t="s">
        <v>31</v>
      </c>
      <c r="G712">
        <v>7</v>
      </c>
      <c r="H712">
        <v>6</v>
      </c>
      <c r="I712" s="13">
        <v>45459</v>
      </c>
      <c r="J712" s="13" t="str">
        <f>TEXT(Table1[[#This Row],[Date]],"[$-en-US]mmm yyyy")</f>
        <v>Jun 2024</v>
      </c>
      <c r="K712" s="13" t="str">
        <f>TEXT(Table1[[#This Row],[Date]],"[$-en-US]ddd")</f>
        <v>Sun</v>
      </c>
    </row>
    <row r="713" spans="1:11" x14ac:dyDescent="0.25">
      <c r="A713">
        <v>16</v>
      </c>
      <c r="B713" t="s">
        <v>9</v>
      </c>
      <c r="C713">
        <v>37.72</v>
      </c>
      <c r="D713" t="s">
        <v>14</v>
      </c>
      <c r="E713" t="s">
        <v>15</v>
      </c>
      <c r="F713" t="s">
        <v>31</v>
      </c>
      <c r="G713">
        <v>7</v>
      </c>
      <c r="H713">
        <v>6</v>
      </c>
      <c r="I713" s="13">
        <v>45459</v>
      </c>
      <c r="J713" s="13" t="str">
        <f>TEXT(Table1[[#This Row],[Date]],"[$-en-US]mmm yyyy")</f>
        <v>Jun 2024</v>
      </c>
      <c r="K713" s="13" t="str">
        <f>TEXT(Table1[[#This Row],[Date]],"[$-en-US]ddd")</f>
        <v>Sun</v>
      </c>
    </row>
    <row r="714" spans="1:11" x14ac:dyDescent="0.25">
      <c r="A714">
        <v>17</v>
      </c>
      <c r="B714" t="s">
        <v>9</v>
      </c>
      <c r="C714">
        <v>32.82</v>
      </c>
      <c r="D714" t="s">
        <v>17</v>
      </c>
      <c r="E714" t="s">
        <v>18</v>
      </c>
      <c r="F714" t="s">
        <v>31</v>
      </c>
      <c r="G714">
        <v>7</v>
      </c>
      <c r="H714">
        <v>6</v>
      </c>
      <c r="I714" s="13">
        <v>45459</v>
      </c>
      <c r="J714" s="13" t="str">
        <f>TEXT(Table1[[#This Row],[Date]],"[$-en-US]mmm yyyy")</f>
        <v>Jun 2024</v>
      </c>
      <c r="K714" s="13" t="str">
        <f>TEXT(Table1[[#This Row],[Date]],"[$-en-US]ddd")</f>
        <v>Sun</v>
      </c>
    </row>
    <row r="715" spans="1:11" x14ac:dyDescent="0.25">
      <c r="A715">
        <v>17</v>
      </c>
      <c r="B715" t="s">
        <v>9</v>
      </c>
      <c r="C715">
        <v>32.82</v>
      </c>
      <c r="D715" t="s">
        <v>17</v>
      </c>
      <c r="E715" t="s">
        <v>18</v>
      </c>
      <c r="F715" t="s">
        <v>31</v>
      </c>
      <c r="G715">
        <v>7</v>
      </c>
      <c r="H715">
        <v>6</v>
      </c>
      <c r="I715" s="13">
        <v>45459</v>
      </c>
      <c r="J715" s="13" t="str">
        <f>TEXT(Table1[[#This Row],[Date]],"[$-en-US]mmm yyyy")</f>
        <v>Jun 2024</v>
      </c>
      <c r="K715" s="13" t="str">
        <f>TEXT(Table1[[#This Row],[Date]],"[$-en-US]ddd")</f>
        <v>Sun</v>
      </c>
    </row>
    <row r="716" spans="1:11" x14ac:dyDescent="0.25">
      <c r="A716">
        <v>8</v>
      </c>
      <c r="B716" t="s">
        <v>9</v>
      </c>
      <c r="C716">
        <v>27.92</v>
      </c>
      <c r="D716" t="s">
        <v>16</v>
      </c>
      <c r="E716" t="s">
        <v>11</v>
      </c>
      <c r="F716" t="s">
        <v>31</v>
      </c>
      <c r="G716">
        <v>1</v>
      </c>
      <c r="H716">
        <v>6</v>
      </c>
      <c r="I716" s="13">
        <v>45460</v>
      </c>
      <c r="J716" s="13" t="str">
        <f>TEXT(Table1[[#This Row],[Date]],"[$-en-US]mmm yyyy")</f>
        <v>Jun 2024</v>
      </c>
      <c r="K716" s="13" t="str">
        <f>TEXT(Table1[[#This Row],[Date]],"[$-en-US]ddd")</f>
        <v>Mon</v>
      </c>
    </row>
    <row r="717" spans="1:11" x14ac:dyDescent="0.25">
      <c r="A717">
        <v>10</v>
      </c>
      <c r="B717" t="s">
        <v>9</v>
      </c>
      <c r="C717">
        <v>27.92</v>
      </c>
      <c r="D717" t="s">
        <v>22</v>
      </c>
      <c r="E717" t="s">
        <v>11</v>
      </c>
      <c r="F717" t="s">
        <v>31</v>
      </c>
      <c r="G717">
        <v>1</v>
      </c>
      <c r="H717">
        <v>6</v>
      </c>
      <c r="I717" s="13">
        <v>45460</v>
      </c>
      <c r="J717" s="13" t="str">
        <f>TEXT(Table1[[#This Row],[Date]],"[$-en-US]mmm yyyy")</f>
        <v>Jun 2024</v>
      </c>
      <c r="K717" s="13" t="str">
        <f>TEXT(Table1[[#This Row],[Date]],"[$-en-US]ddd")</f>
        <v>Mon</v>
      </c>
    </row>
    <row r="718" spans="1:11" x14ac:dyDescent="0.25">
      <c r="A718">
        <v>10</v>
      </c>
      <c r="B718" t="s">
        <v>9</v>
      </c>
      <c r="C718">
        <v>27.92</v>
      </c>
      <c r="D718" t="s">
        <v>22</v>
      </c>
      <c r="E718" t="s">
        <v>11</v>
      </c>
      <c r="F718" t="s">
        <v>31</v>
      </c>
      <c r="G718">
        <v>1</v>
      </c>
      <c r="H718">
        <v>6</v>
      </c>
      <c r="I718" s="13">
        <v>45460</v>
      </c>
      <c r="J718" s="13" t="str">
        <f>TEXT(Table1[[#This Row],[Date]],"[$-en-US]mmm yyyy")</f>
        <v>Jun 2024</v>
      </c>
      <c r="K718" s="13" t="str">
        <f>TEXT(Table1[[#This Row],[Date]],"[$-en-US]ddd")</f>
        <v>Mon</v>
      </c>
    </row>
    <row r="719" spans="1:11" x14ac:dyDescent="0.25">
      <c r="A719">
        <v>10</v>
      </c>
      <c r="B719" t="s">
        <v>9</v>
      </c>
      <c r="C719">
        <v>37.72</v>
      </c>
      <c r="D719" t="s">
        <v>27</v>
      </c>
      <c r="E719" t="s">
        <v>11</v>
      </c>
      <c r="F719" t="s">
        <v>31</v>
      </c>
      <c r="G719">
        <v>1</v>
      </c>
      <c r="H719">
        <v>6</v>
      </c>
      <c r="I719" s="13">
        <v>45460</v>
      </c>
      <c r="J719" s="13" t="str">
        <f>TEXT(Table1[[#This Row],[Date]],"[$-en-US]mmm yyyy")</f>
        <v>Jun 2024</v>
      </c>
      <c r="K719" s="13" t="str">
        <f>TEXT(Table1[[#This Row],[Date]],"[$-en-US]ddd")</f>
        <v>Mon</v>
      </c>
    </row>
    <row r="720" spans="1:11" x14ac:dyDescent="0.25">
      <c r="A720">
        <v>14</v>
      </c>
      <c r="B720" t="s">
        <v>9</v>
      </c>
      <c r="C720">
        <v>37.72</v>
      </c>
      <c r="D720" t="s">
        <v>27</v>
      </c>
      <c r="E720" t="s">
        <v>15</v>
      </c>
      <c r="F720" t="s">
        <v>31</v>
      </c>
      <c r="G720">
        <v>1</v>
      </c>
      <c r="H720">
        <v>6</v>
      </c>
      <c r="I720" s="13">
        <v>45460</v>
      </c>
      <c r="J720" s="13" t="str">
        <f>TEXT(Table1[[#This Row],[Date]],"[$-en-US]mmm yyyy")</f>
        <v>Jun 2024</v>
      </c>
      <c r="K720" s="13" t="str">
        <f>TEXT(Table1[[#This Row],[Date]],"[$-en-US]ddd")</f>
        <v>Mon</v>
      </c>
    </row>
    <row r="721" spans="1:11" x14ac:dyDescent="0.25">
      <c r="A721">
        <v>16</v>
      </c>
      <c r="B721" t="s">
        <v>9</v>
      </c>
      <c r="C721">
        <v>37.72</v>
      </c>
      <c r="D721" t="s">
        <v>27</v>
      </c>
      <c r="E721" t="s">
        <v>15</v>
      </c>
      <c r="F721" t="s">
        <v>31</v>
      </c>
      <c r="G721">
        <v>1</v>
      </c>
      <c r="H721">
        <v>6</v>
      </c>
      <c r="I721" s="13">
        <v>45460</v>
      </c>
      <c r="J721" s="13" t="str">
        <f>TEXT(Table1[[#This Row],[Date]],"[$-en-US]mmm yyyy")</f>
        <v>Jun 2024</v>
      </c>
      <c r="K721" s="13" t="str">
        <f>TEXT(Table1[[#This Row],[Date]],"[$-en-US]ddd")</f>
        <v>Mon</v>
      </c>
    </row>
    <row r="722" spans="1:11" x14ac:dyDescent="0.25">
      <c r="A722">
        <v>16</v>
      </c>
      <c r="B722" t="s">
        <v>9</v>
      </c>
      <c r="C722">
        <v>37.72</v>
      </c>
      <c r="D722" t="s">
        <v>27</v>
      </c>
      <c r="E722" t="s">
        <v>15</v>
      </c>
      <c r="F722" t="s">
        <v>31</v>
      </c>
      <c r="G722">
        <v>1</v>
      </c>
      <c r="H722">
        <v>6</v>
      </c>
      <c r="I722" s="13">
        <v>45460</v>
      </c>
      <c r="J722" s="13" t="str">
        <f>TEXT(Table1[[#This Row],[Date]],"[$-en-US]mmm yyyy")</f>
        <v>Jun 2024</v>
      </c>
      <c r="K722" s="13" t="str">
        <f>TEXT(Table1[[#This Row],[Date]],"[$-en-US]ddd")</f>
        <v>Mon</v>
      </c>
    </row>
    <row r="723" spans="1:11" x14ac:dyDescent="0.25">
      <c r="A723">
        <v>16</v>
      </c>
      <c r="B723" t="s">
        <v>9</v>
      </c>
      <c r="C723">
        <v>27.92</v>
      </c>
      <c r="D723" t="s">
        <v>16</v>
      </c>
      <c r="E723" t="s">
        <v>15</v>
      </c>
      <c r="F723" t="s">
        <v>31</v>
      </c>
      <c r="G723">
        <v>1</v>
      </c>
      <c r="H723">
        <v>6</v>
      </c>
      <c r="I723" s="13">
        <v>45460</v>
      </c>
      <c r="J723" s="13" t="str">
        <f>TEXT(Table1[[#This Row],[Date]],"[$-en-US]mmm yyyy")</f>
        <v>Jun 2024</v>
      </c>
      <c r="K723" s="13" t="str">
        <f>TEXT(Table1[[#This Row],[Date]],"[$-en-US]ddd")</f>
        <v>Mon</v>
      </c>
    </row>
    <row r="724" spans="1:11" x14ac:dyDescent="0.25">
      <c r="A724">
        <v>18</v>
      </c>
      <c r="B724" t="s">
        <v>9</v>
      </c>
      <c r="C724">
        <v>27.92</v>
      </c>
      <c r="D724" t="s">
        <v>16</v>
      </c>
      <c r="E724" t="s">
        <v>18</v>
      </c>
      <c r="F724" t="s">
        <v>31</v>
      </c>
      <c r="G724">
        <v>1</v>
      </c>
      <c r="H724">
        <v>6</v>
      </c>
      <c r="I724" s="13">
        <v>45460</v>
      </c>
      <c r="J724" s="13" t="str">
        <f>TEXT(Table1[[#This Row],[Date]],"[$-en-US]mmm yyyy")</f>
        <v>Jun 2024</v>
      </c>
      <c r="K724" s="13" t="str">
        <f>TEXT(Table1[[#This Row],[Date]],"[$-en-US]ddd")</f>
        <v>Mon</v>
      </c>
    </row>
    <row r="725" spans="1:11" x14ac:dyDescent="0.25">
      <c r="A725">
        <v>21</v>
      </c>
      <c r="B725" t="s">
        <v>9</v>
      </c>
      <c r="C725">
        <v>32.82</v>
      </c>
      <c r="D725" t="s">
        <v>17</v>
      </c>
      <c r="E725" t="s">
        <v>18</v>
      </c>
      <c r="F725" t="s">
        <v>31</v>
      </c>
      <c r="G725">
        <v>1</v>
      </c>
      <c r="H725">
        <v>6</v>
      </c>
      <c r="I725" s="13">
        <v>45460</v>
      </c>
      <c r="J725" s="13" t="str">
        <f>TEXT(Table1[[#This Row],[Date]],"[$-en-US]mmm yyyy")</f>
        <v>Jun 2024</v>
      </c>
      <c r="K725" s="13" t="str">
        <f>TEXT(Table1[[#This Row],[Date]],"[$-en-US]ddd")</f>
        <v>Mon</v>
      </c>
    </row>
    <row r="726" spans="1:11" x14ac:dyDescent="0.25">
      <c r="A726">
        <v>14</v>
      </c>
      <c r="B726" t="s">
        <v>9</v>
      </c>
      <c r="C726">
        <v>27.92</v>
      </c>
      <c r="D726" t="s">
        <v>16</v>
      </c>
      <c r="E726" t="s">
        <v>15</v>
      </c>
      <c r="F726" t="s">
        <v>31</v>
      </c>
      <c r="G726">
        <v>2</v>
      </c>
      <c r="H726">
        <v>6</v>
      </c>
      <c r="I726" s="13">
        <v>45461</v>
      </c>
      <c r="J726" s="13" t="str">
        <f>TEXT(Table1[[#This Row],[Date]],"[$-en-US]mmm yyyy")</f>
        <v>Jun 2024</v>
      </c>
      <c r="K726" s="13" t="str">
        <f>TEXT(Table1[[#This Row],[Date]],"[$-en-US]ddd")</f>
        <v>Tue</v>
      </c>
    </row>
    <row r="727" spans="1:11" x14ac:dyDescent="0.25">
      <c r="A727">
        <v>14</v>
      </c>
      <c r="B727" t="s">
        <v>9</v>
      </c>
      <c r="C727">
        <v>37.72</v>
      </c>
      <c r="D727" t="s">
        <v>27</v>
      </c>
      <c r="E727" t="s">
        <v>15</v>
      </c>
      <c r="F727" t="s">
        <v>31</v>
      </c>
      <c r="G727">
        <v>2</v>
      </c>
      <c r="H727">
        <v>6</v>
      </c>
      <c r="I727" s="13">
        <v>45461</v>
      </c>
      <c r="J727" s="13" t="str">
        <f>TEXT(Table1[[#This Row],[Date]],"[$-en-US]mmm yyyy")</f>
        <v>Jun 2024</v>
      </c>
      <c r="K727" s="13" t="str">
        <f>TEXT(Table1[[#This Row],[Date]],"[$-en-US]ddd")</f>
        <v>Tue</v>
      </c>
    </row>
    <row r="728" spans="1:11" x14ac:dyDescent="0.25">
      <c r="A728">
        <v>19</v>
      </c>
      <c r="B728" t="s">
        <v>9</v>
      </c>
      <c r="C728">
        <v>37.72</v>
      </c>
      <c r="D728" t="s">
        <v>27</v>
      </c>
      <c r="E728" t="s">
        <v>18</v>
      </c>
      <c r="F728" t="s">
        <v>31</v>
      </c>
      <c r="G728">
        <v>2</v>
      </c>
      <c r="H728">
        <v>6</v>
      </c>
      <c r="I728" s="13">
        <v>45461</v>
      </c>
      <c r="J728" s="13" t="str">
        <f>TEXT(Table1[[#This Row],[Date]],"[$-en-US]mmm yyyy")</f>
        <v>Jun 2024</v>
      </c>
      <c r="K728" s="13" t="str">
        <f>TEXT(Table1[[#This Row],[Date]],"[$-en-US]ddd")</f>
        <v>Tue</v>
      </c>
    </row>
    <row r="729" spans="1:11" x14ac:dyDescent="0.25">
      <c r="A729">
        <v>19</v>
      </c>
      <c r="B729" t="s">
        <v>9</v>
      </c>
      <c r="C729">
        <v>37.72</v>
      </c>
      <c r="D729" t="s">
        <v>27</v>
      </c>
      <c r="E729" t="s">
        <v>18</v>
      </c>
      <c r="F729" t="s">
        <v>31</v>
      </c>
      <c r="G729">
        <v>2</v>
      </c>
      <c r="H729">
        <v>6</v>
      </c>
      <c r="I729" s="13">
        <v>45461</v>
      </c>
      <c r="J729" s="13" t="str">
        <f>TEXT(Table1[[#This Row],[Date]],"[$-en-US]mmm yyyy")</f>
        <v>Jun 2024</v>
      </c>
      <c r="K729" s="13" t="str">
        <f>TEXT(Table1[[#This Row],[Date]],"[$-en-US]ddd")</f>
        <v>Tue</v>
      </c>
    </row>
    <row r="730" spans="1:11" x14ac:dyDescent="0.25">
      <c r="A730">
        <v>20</v>
      </c>
      <c r="B730" t="s">
        <v>9</v>
      </c>
      <c r="C730">
        <v>27.92</v>
      </c>
      <c r="D730" t="s">
        <v>22</v>
      </c>
      <c r="E730" t="s">
        <v>18</v>
      </c>
      <c r="F730" t="s">
        <v>31</v>
      </c>
      <c r="G730">
        <v>2</v>
      </c>
      <c r="H730">
        <v>6</v>
      </c>
      <c r="I730" s="13">
        <v>45461</v>
      </c>
      <c r="J730" s="13" t="str">
        <f>TEXT(Table1[[#This Row],[Date]],"[$-en-US]mmm yyyy")</f>
        <v>Jun 2024</v>
      </c>
      <c r="K730" s="13" t="str">
        <f>TEXT(Table1[[#This Row],[Date]],"[$-en-US]ddd")</f>
        <v>Tue</v>
      </c>
    </row>
    <row r="731" spans="1:11" x14ac:dyDescent="0.25">
      <c r="A731">
        <v>21</v>
      </c>
      <c r="B731" t="s">
        <v>9</v>
      </c>
      <c r="C731">
        <v>32.82</v>
      </c>
      <c r="D731" t="s">
        <v>17</v>
      </c>
      <c r="E731" t="s">
        <v>18</v>
      </c>
      <c r="F731" t="s">
        <v>31</v>
      </c>
      <c r="G731">
        <v>2</v>
      </c>
      <c r="H731">
        <v>6</v>
      </c>
      <c r="I731" s="13">
        <v>45461</v>
      </c>
      <c r="J731" s="13" t="str">
        <f>TEXT(Table1[[#This Row],[Date]],"[$-en-US]mmm yyyy")</f>
        <v>Jun 2024</v>
      </c>
      <c r="K731" s="13" t="str">
        <f>TEXT(Table1[[#This Row],[Date]],"[$-en-US]ddd")</f>
        <v>Tue</v>
      </c>
    </row>
    <row r="732" spans="1:11" x14ac:dyDescent="0.25">
      <c r="A732">
        <v>21</v>
      </c>
      <c r="B732" t="s">
        <v>9</v>
      </c>
      <c r="C732">
        <v>32.82</v>
      </c>
      <c r="D732" t="s">
        <v>17</v>
      </c>
      <c r="E732" t="s">
        <v>18</v>
      </c>
      <c r="F732" t="s">
        <v>31</v>
      </c>
      <c r="G732">
        <v>2</v>
      </c>
      <c r="H732">
        <v>6</v>
      </c>
      <c r="I732" s="13">
        <v>45461</v>
      </c>
      <c r="J732" s="13" t="str">
        <f>TEXT(Table1[[#This Row],[Date]],"[$-en-US]mmm yyyy")</f>
        <v>Jun 2024</v>
      </c>
      <c r="K732" s="13" t="str">
        <f>TEXT(Table1[[#This Row],[Date]],"[$-en-US]ddd")</f>
        <v>Tue</v>
      </c>
    </row>
    <row r="733" spans="1:11" x14ac:dyDescent="0.25">
      <c r="A733">
        <v>7</v>
      </c>
      <c r="B733" t="s">
        <v>9</v>
      </c>
      <c r="C733">
        <v>37.72</v>
      </c>
      <c r="D733" t="s">
        <v>10</v>
      </c>
      <c r="E733" t="s">
        <v>11</v>
      </c>
      <c r="F733" t="s">
        <v>31</v>
      </c>
      <c r="G733">
        <v>3</v>
      </c>
      <c r="H733">
        <v>6</v>
      </c>
      <c r="I733" s="13">
        <v>45462</v>
      </c>
      <c r="J733" s="13" t="str">
        <f>TEXT(Table1[[#This Row],[Date]],"[$-en-US]mmm yyyy")</f>
        <v>Jun 2024</v>
      </c>
      <c r="K733" s="13" t="str">
        <f>TEXT(Table1[[#This Row],[Date]],"[$-en-US]ddd")</f>
        <v>Wed</v>
      </c>
    </row>
    <row r="734" spans="1:11" x14ac:dyDescent="0.25">
      <c r="A734">
        <v>8</v>
      </c>
      <c r="B734" t="s">
        <v>9</v>
      </c>
      <c r="C734">
        <v>27.92</v>
      </c>
      <c r="D734" t="s">
        <v>22</v>
      </c>
      <c r="E734" t="s">
        <v>11</v>
      </c>
      <c r="F734" t="s">
        <v>31</v>
      </c>
      <c r="G734">
        <v>3</v>
      </c>
      <c r="H734">
        <v>6</v>
      </c>
      <c r="I734" s="13">
        <v>45462</v>
      </c>
      <c r="J734" s="13" t="str">
        <f>TEXT(Table1[[#This Row],[Date]],"[$-en-US]mmm yyyy")</f>
        <v>Jun 2024</v>
      </c>
      <c r="K734" s="13" t="str">
        <f>TEXT(Table1[[#This Row],[Date]],"[$-en-US]ddd")</f>
        <v>Wed</v>
      </c>
    </row>
    <row r="735" spans="1:11" x14ac:dyDescent="0.25">
      <c r="A735">
        <v>10</v>
      </c>
      <c r="B735" t="s">
        <v>9</v>
      </c>
      <c r="C735">
        <v>27.92</v>
      </c>
      <c r="D735" t="s">
        <v>16</v>
      </c>
      <c r="E735" t="s">
        <v>11</v>
      </c>
      <c r="F735" t="s">
        <v>31</v>
      </c>
      <c r="G735">
        <v>3</v>
      </c>
      <c r="H735">
        <v>6</v>
      </c>
      <c r="I735" s="13">
        <v>45462</v>
      </c>
      <c r="J735" s="13" t="str">
        <f>TEXT(Table1[[#This Row],[Date]],"[$-en-US]mmm yyyy")</f>
        <v>Jun 2024</v>
      </c>
      <c r="K735" s="13" t="str">
        <f>TEXT(Table1[[#This Row],[Date]],"[$-en-US]ddd")</f>
        <v>Wed</v>
      </c>
    </row>
    <row r="736" spans="1:11" x14ac:dyDescent="0.25">
      <c r="A736">
        <v>11</v>
      </c>
      <c r="B736" t="s">
        <v>9</v>
      </c>
      <c r="C736">
        <v>37.72</v>
      </c>
      <c r="D736" t="s">
        <v>10</v>
      </c>
      <c r="E736" t="s">
        <v>11</v>
      </c>
      <c r="F736" t="s">
        <v>31</v>
      </c>
      <c r="G736">
        <v>3</v>
      </c>
      <c r="H736">
        <v>6</v>
      </c>
      <c r="I736" s="13">
        <v>45462</v>
      </c>
      <c r="J736" s="13" t="str">
        <f>TEXT(Table1[[#This Row],[Date]],"[$-en-US]mmm yyyy")</f>
        <v>Jun 2024</v>
      </c>
      <c r="K736" s="13" t="str">
        <f>TEXT(Table1[[#This Row],[Date]],"[$-en-US]ddd")</f>
        <v>Wed</v>
      </c>
    </row>
    <row r="737" spans="1:11" x14ac:dyDescent="0.25">
      <c r="A737">
        <v>11</v>
      </c>
      <c r="B737" t="s">
        <v>9</v>
      </c>
      <c r="C737">
        <v>37.72</v>
      </c>
      <c r="D737" t="s">
        <v>19</v>
      </c>
      <c r="E737" t="s">
        <v>11</v>
      </c>
      <c r="F737" t="s">
        <v>31</v>
      </c>
      <c r="G737">
        <v>3</v>
      </c>
      <c r="H737">
        <v>6</v>
      </c>
      <c r="I737" s="13">
        <v>45462</v>
      </c>
      <c r="J737" s="13" t="str">
        <f>TEXT(Table1[[#This Row],[Date]],"[$-en-US]mmm yyyy")</f>
        <v>Jun 2024</v>
      </c>
      <c r="K737" s="13" t="str">
        <f>TEXT(Table1[[#This Row],[Date]],"[$-en-US]ddd")</f>
        <v>Wed</v>
      </c>
    </row>
    <row r="738" spans="1:11" x14ac:dyDescent="0.25">
      <c r="A738">
        <v>14</v>
      </c>
      <c r="B738" t="s">
        <v>9</v>
      </c>
      <c r="C738">
        <v>32.82</v>
      </c>
      <c r="D738" t="s">
        <v>17</v>
      </c>
      <c r="E738" t="s">
        <v>15</v>
      </c>
      <c r="F738" t="s">
        <v>31</v>
      </c>
      <c r="G738">
        <v>3</v>
      </c>
      <c r="H738">
        <v>6</v>
      </c>
      <c r="I738" s="13">
        <v>45462</v>
      </c>
      <c r="J738" s="13" t="str">
        <f>TEXT(Table1[[#This Row],[Date]],"[$-en-US]mmm yyyy")</f>
        <v>Jun 2024</v>
      </c>
      <c r="K738" s="13" t="str">
        <f>TEXT(Table1[[#This Row],[Date]],"[$-en-US]ddd")</f>
        <v>Wed</v>
      </c>
    </row>
    <row r="739" spans="1:11" x14ac:dyDescent="0.25">
      <c r="A739">
        <v>18</v>
      </c>
      <c r="B739" t="s">
        <v>9</v>
      </c>
      <c r="C739">
        <v>37.72</v>
      </c>
      <c r="D739" t="s">
        <v>27</v>
      </c>
      <c r="E739" t="s">
        <v>18</v>
      </c>
      <c r="F739" t="s">
        <v>31</v>
      </c>
      <c r="G739">
        <v>3</v>
      </c>
      <c r="H739">
        <v>6</v>
      </c>
      <c r="I739" s="13">
        <v>45462</v>
      </c>
      <c r="J739" s="13" t="str">
        <f>TEXT(Table1[[#This Row],[Date]],"[$-en-US]mmm yyyy")</f>
        <v>Jun 2024</v>
      </c>
      <c r="K739" s="13" t="str">
        <f>TEXT(Table1[[#This Row],[Date]],"[$-en-US]ddd")</f>
        <v>Wed</v>
      </c>
    </row>
    <row r="740" spans="1:11" x14ac:dyDescent="0.25">
      <c r="A740">
        <v>18</v>
      </c>
      <c r="B740" t="s">
        <v>9</v>
      </c>
      <c r="C740">
        <v>37.72</v>
      </c>
      <c r="D740" t="s">
        <v>10</v>
      </c>
      <c r="E740" t="s">
        <v>18</v>
      </c>
      <c r="F740" t="s">
        <v>31</v>
      </c>
      <c r="G740">
        <v>3</v>
      </c>
      <c r="H740">
        <v>6</v>
      </c>
      <c r="I740" s="13">
        <v>45462</v>
      </c>
      <c r="J740" s="13" t="str">
        <f>TEXT(Table1[[#This Row],[Date]],"[$-en-US]mmm yyyy")</f>
        <v>Jun 2024</v>
      </c>
      <c r="K740" s="13" t="str">
        <f>TEXT(Table1[[#This Row],[Date]],"[$-en-US]ddd")</f>
        <v>Wed</v>
      </c>
    </row>
    <row r="741" spans="1:11" x14ac:dyDescent="0.25">
      <c r="A741">
        <v>19</v>
      </c>
      <c r="B741" t="s">
        <v>9</v>
      </c>
      <c r="C741">
        <v>32.82</v>
      </c>
      <c r="D741" t="s">
        <v>17</v>
      </c>
      <c r="E741" t="s">
        <v>18</v>
      </c>
      <c r="F741" t="s">
        <v>31</v>
      </c>
      <c r="G741">
        <v>3</v>
      </c>
      <c r="H741">
        <v>6</v>
      </c>
      <c r="I741" s="13">
        <v>45462</v>
      </c>
      <c r="J741" s="13" t="str">
        <f>TEXT(Table1[[#This Row],[Date]],"[$-en-US]mmm yyyy")</f>
        <v>Jun 2024</v>
      </c>
      <c r="K741" s="13" t="str">
        <f>TEXT(Table1[[#This Row],[Date]],"[$-en-US]ddd")</f>
        <v>Wed</v>
      </c>
    </row>
    <row r="742" spans="1:11" x14ac:dyDescent="0.25">
      <c r="A742">
        <v>21</v>
      </c>
      <c r="B742" t="s">
        <v>9</v>
      </c>
      <c r="C742">
        <v>37.72</v>
      </c>
      <c r="D742" t="s">
        <v>27</v>
      </c>
      <c r="E742" t="s">
        <v>18</v>
      </c>
      <c r="F742" t="s">
        <v>31</v>
      </c>
      <c r="G742">
        <v>3</v>
      </c>
      <c r="H742">
        <v>6</v>
      </c>
      <c r="I742" s="13">
        <v>45462</v>
      </c>
      <c r="J742" s="13" t="str">
        <f>TEXT(Table1[[#This Row],[Date]],"[$-en-US]mmm yyyy")</f>
        <v>Jun 2024</v>
      </c>
      <c r="K742" s="13" t="str">
        <f>TEXT(Table1[[#This Row],[Date]],"[$-en-US]ddd")</f>
        <v>Wed</v>
      </c>
    </row>
    <row r="743" spans="1:11" x14ac:dyDescent="0.25">
      <c r="A743">
        <v>21</v>
      </c>
      <c r="B743" t="s">
        <v>9</v>
      </c>
      <c r="C743">
        <v>32.82</v>
      </c>
      <c r="D743" t="s">
        <v>17</v>
      </c>
      <c r="E743" t="s">
        <v>18</v>
      </c>
      <c r="F743" t="s">
        <v>31</v>
      </c>
      <c r="G743">
        <v>3</v>
      </c>
      <c r="H743">
        <v>6</v>
      </c>
      <c r="I743" s="13">
        <v>45462</v>
      </c>
      <c r="J743" s="13" t="str">
        <f>TEXT(Table1[[#This Row],[Date]],"[$-en-US]mmm yyyy")</f>
        <v>Jun 2024</v>
      </c>
      <c r="K743" s="13" t="str">
        <f>TEXT(Table1[[#This Row],[Date]],"[$-en-US]ddd")</f>
        <v>Wed</v>
      </c>
    </row>
    <row r="744" spans="1:11" x14ac:dyDescent="0.25">
      <c r="A744">
        <v>10</v>
      </c>
      <c r="B744" t="s">
        <v>9</v>
      </c>
      <c r="C744">
        <v>37.72</v>
      </c>
      <c r="D744" t="s">
        <v>10</v>
      </c>
      <c r="E744" t="s">
        <v>11</v>
      </c>
      <c r="F744" t="s">
        <v>31</v>
      </c>
      <c r="G744">
        <v>4</v>
      </c>
      <c r="H744">
        <v>6</v>
      </c>
      <c r="I744" s="13">
        <v>45463</v>
      </c>
      <c r="J744" s="13" t="str">
        <f>TEXT(Table1[[#This Row],[Date]],"[$-en-US]mmm yyyy")</f>
        <v>Jun 2024</v>
      </c>
      <c r="K744" s="13" t="str">
        <f>TEXT(Table1[[#This Row],[Date]],"[$-en-US]ddd")</f>
        <v>Thu</v>
      </c>
    </row>
    <row r="745" spans="1:11" x14ac:dyDescent="0.25">
      <c r="A745">
        <v>18</v>
      </c>
      <c r="B745" t="s">
        <v>9</v>
      </c>
      <c r="C745">
        <v>37.72</v>
      </c>
      <c r="D745" t="s">
        <v>10</v>
      </c>
      <c r="E745" t="s">
        <v>18</v>
      </c>
      <c r="F745" t="s">
        <v>31</v>
      </c>
      <c r="G745">
        <v>4</v>
      </c>
      <c r="H745">
        <v>6</v>
      </c>
      <c r="I745" s="13">
        <v>45463</v>
      </c>
      <c r="J745" s="13" t="str">
        <f>TEXT(Table1[[#This Row],[Date]],"[$-en-US]mmm yyyy")</f>
        <v>Jun 2024</v>
      </c>
      <c r="K745" s="13" t="str">
        <f>TEXT(Table1[[#This Row],[Date]],"[$-en-US]ddd")</f>
        <v>Thu</v>
      </c>
    </row>
    <row r="746" spans="1:11" x14ac:dyDescent="0.25">
      <c r="A746">
        <v>19</v>
      </c>
      <c r="B746" t="s">
        <v>9</v>
      </c>
      <c r="C746">
        <v>37.72</v>
      </c>
      <c r="D746" t="s">
        <v>10</v>
      </c>
      <c r="E746" t="s">
        <v>18</v>
      </c>
      <c r="F746" t="s">
        <v>31</v>
      </c>
      <c r="G746">
        <v>4</v>
      </c>
      <c r="H746">
        <v>6</v>
      </c>
      <c r="I746" s="13">
        <v>45463</v>
      </c>
      <c r="J746" s="13" t="str">
        <f>TEXT(Table1[[#This Row],[Date]],"[$-en-US]mmm yyyy")</f>
        <v>Jun 2024</v>
      </c>
      <c r="K746" s="13" t="str">
        <f>TEXT(Table1[[#This Row],[Date]],"[$-en-US]ddd")</f>
        <v>Thu</v>
      </c>
    </row>
    <row r="747" spans="1:11" x14ac:dyDescent="0.25">
      <c r="A747">
        <v>21</v>
      </c>
      <c r="B747" t="s">
        <v>9</v>
      </c>
      <c r="C747">
        <v>37.72</v>
      </c>
      <c r="D747" t="s">
        <v>10</v>
      </c>
      <c r="E747" t="s">
        <v>18</v>
      </c>
      <c r="F747" t="s">
        <v>31</v>
      </c>
      <c r="G747">
        <v>4</v>
      </c>
      <c r="H747">
        <v>6</v>
      </c>
      <c r="I747" s="13">
        <v>45463</v>
      </c>
      <c r="J747" s="13" t="str">
        <f>TEXT(Table1[[#This Row],[Date]],"[$-en-US]mmm yyyy")</f>
        <v>Jun 2024</v>
      </c>
      <c r="K747" s="13" t="str">
        <f>TEXT(Table1[[#This Row],[Date]],"[$-en-US]ddd")</f>
        <v>Thu</v>
      </c>
    </row>
    <row r="748" spans="1:11" x14ac:dyDescent="0.25">
      <c r="A748">
        <v>21</v>
      </c>
      <c r="B748" t="s">
        <v>9</v>
      </c>
      <c r="C748">
        <v>37.72</v>
      </c>
      <c r="D748" t="s">
        <v>10</v>
      </c>
      <c r="E748" t="s">
        <v>18</v>
      </c>
      <c r="F748" t="s">
        <v>31</v>
      </c>
      <c r="G748">
        <v>4</v>
      </c>
      <c r="H748">
        <v>6</v>
      </c>
      <c r="I748" s="13">
        <v>45463</v>
      </c>
      <c r="J748" s="13" t="str">
        <f>TEXT(Table1[[#This Row],[Date]],"[$-en-US]mmm yyyy")</f>
        <v>Jun 2024</v>
      </c>
      <c r="K748" s="13" t="str">
        <f>TEXT(Table1[[#This Row],[Date]],"[$-en-US]ddd")</f>
        <v>Thu</v>
      </c>
    </row>
    <row r="749" spans="1:11" x14ac:dyDescent="0.25">
      <c r="A749">
        <v>21</v>
      </c>
      <c r="B749" t="s">
        <v>9</v>
      </c>
      <c r="C749">
        <v>32.82</v>
      </c>
      <c r="D749" t="s">
        <v>17</v>
      </c>
      <c r="E749" t="s">
        <v>18</v>
      </c>
      <c r="F749" t="s">
        <v>31</v>
      </c>
      <c r="G749">
        <v>4</v>
      </c>
      <c r="H749">
        <v>6</v>
      </c>
      <c r="I749" s="13">
        <v>45463</v>
      </c>
      <c r="J749" s="13" t="str">
        <f>TEXT(Table1[[#This Row],[Date]],"[$-en-US]mmm yyyy")</f>
        <v>Jun 2024</v>
      </c>
      <c r="K749" s="13" t="str">
        <f>TEXT(Table1[[#This Row],[Date]],"[$-en-US]ddd")</f>
        <v>Thu</v>
      </c>
    </row>
    <row r="750" spans="1:11" x14ac:dyDescent="0.25">
      <c r="A750">
        <v>9</v>
      </c>
      <c r="B750" t="s">
        <v>9</v>
      </c>
      <c r="C750">
        <v>37.72</v>
      </c>
      <c r="D750" t="s">
        <v>10</v>
      </c>
      <c r="E750" t="s">
        <v>11</v>
      </c>
      <c r="F750" t="s">
        <v>31</v>
      </c>
      <c r="G750">
        <v>5</v>
      </c>
      <c r="H750">
        <v>6</v>
      </c>
      <c r="I750" s="13">
        <v>45464</v>
      </c>
      <c r="J750" s="13" t="str">
        <f>TEXT(Table1[[#This Row],[Date]],"[$-en-US]mmm yyyy")</f>
        <v>Jun 2024</v>
      </c>
      <c r="K750" s="13" t="str">
        <f>TEXT(Table1[[#This Row],[Date]],"[$-en-US]ddd")</f>
        <v>Fri</v>
      </c>
    </row>
    <row r="751" spans="1:11" x14ac:dyDescent="0.25">
      <c r="A751">
        <v>10</v>
      </c>
      <c r="B751" t="s">
        <v>9</v>
      </c>
      <c r="C751">
        <v>27.92</v>
      </c>
      <c r="D751" t="s">
        <v>16</v>
      </c>
      <c r="E751" t="s">
        <v>11</v>
      </c>
      <c r="F751" t="s">
        <v>31</v>
      </c>
      <c r="G751">
        <v>5</v>
      </c>
      <c r="H751">
        <v>6</v>
      </c>
      <c r="I751" s="13">
        <v>45464</v>
      </c>
      <c r="J751" s="13" t="str">
        <f>TEXT(Table1[[#This Row],[Date]],"[$-en-US]mmm yyyy")</f>
        <v>Jun 2024</v>
      </c>
      <c r="K751" s="13" t="str">
        <f>TEXT(Table1[[#This Row],[Date]],"[$-en-US]ddd")</f>
        <v>Fri</v>
      </c>
    </row>
    <row r="752" spans="1:11" x14ac:dyDescent="0.25">
      <c r="A752">
        <v>13</v>
      </c>
      <c r="B752" t="s">
        <v>9</v>
      </c>
      <c r="C752">
        <v>32.82</v>
      </c>
      <c r="D752" t="s">
        <v>17</v>
      </c>
      <c r="E752" t="s">
        <v>15</v>
      </c>
      <c r="F752" t="s">
        <v>31</v>
      </c>
      <c r="G752">
        <v>5</v>
      </c>
      <c r="H752">
        <v>6</v>
      </c>
      <c r="I752" s="13">
        <v>45464</v>
      </c>
      <c r="J752" s="13" t="str">
        <f>TEXT(Table1[[#This Row],[Date]],"[$-en-US]mmm yyyy")</f>
        <v>Jun 2024</v>
      </c>
      <c r="K752" s="13" t="str">
        <f>TEXT(Table1[[#This Row],[Date]],"[$-en-US]ddd")</f>
        <v>Fri</v>
      </c>
    </row>
    <row r="753" spans="1:11" x14ac:dyDescent="0.25">
      <c r="A753">
        <v>13</v>
      </c>
      <c r="B753" t="s">
        <v>9</v>
      </c>
      <c r="C753">
        <v>32.82</v>
      </c>
      <c r="D753" t="s">
        <v>17</v>
      </c>
      <c r="E753" t="s">
        <v>15</v>
      </c>
      <c r="F753" t="s">
        <v>31</v>
      </c>
      <c r="G753">
        <v>5</v>
      </c>
      <c r="H753">
        <v>6</v>
      </c>
      <c r="I753" s="13">
        <v>45464</v>
      </c>
      <c r="J753" s="13" t="str">
        <f>TEXT(Table1[[#This Row],[Date]],"[$-en-US]mmm yyyy")</f>
        <v>Jun 2024</v>
      </c>
      <c r="K753" s="13" t="str">
        <f>TEXT(Table1[[#This Row],[Date]],"[$-en-US]ddd")</f>
        <v>Fri</v>
      </c>
    </row>
    <row r="754" spans="1:11" x14ac:dyDescent="0.25">
      <c r="A754">
        <v>18</v>
      </c>
      <c r="B754" t="s">
        <v>9</v>
      </c>
      <c r="C754">
        <v>23.02</v>
      </c>
      <c r="D754" t="s">
        <v>24</v>
      </c>
      <c r="E754" t="s">
        <v>18</v>
      </c>
      <c r="F754" t="s">
        <v>31</v>
      </c>
      <c r="G754">
        <v>5</v>
      </c>
      <c r="H754">
        <v>6</v>
      </c>
      <c r="I754" s="13">
        <v>45464</v>
      </c>
      <c r="J754" s="13" t="str">
        <f>TEXT(Table1[[#This Row],[Date]],"[$-en-US]mmm yyyy")</f>
        <v>Jun 2024</v>
      </c>
      <c r="K754" s="13" t="str">
        <f>TEXT(Table1[[#This Row],[Date]],"[$-en-US]ddd")</f>
        <v>Fri</v>
      </c>
    </row>
    <row r="755" spans="1:11" x14ac:dyDescent="0.25">
      <c r="A755">
        <v>19</v>
      </c>
      <c r="B755" t="s">
        <v>9</v>
      </c>
      <c r="C755">
        <v>37.72</v>
      </c>
      <c r="D755" t="s">
        <v>10</v>
      </c>
      <c r="E755" t="s">
        <v>18</v>
      </c>
      <c r="F755" t="s">
        <v>31</v>
      </c>
      <c r="G755">
        <v>5</v>
      </c>
      <c r="H755">
        <v>6</v>
      </c>
      <c r="I755" s="13">
        <v>45464</v>
      </c>
      <c r="J755" s="13" t="str">
        <f>TEXT(Table1[[#This Row],[Date]],"[$-en-US]mmm yyyy")</f>
        <v>Jun 2024</v>
      </c>
      <c r="K755" s="13" t="str">
        <f>TEXT(Table1[[#This Row],[Date]],"[$-en-US]ddd")</f>
        <v>Fri</v>
      </c>
    </row>
    <row r="756" spans="1:11" x14ac:dyDescent="0.25">
      <c r="A756">
        <v>19</v>
      </c>
      <c r="B756" t="s">
        <v>9</v>
      </c>
      <c r="C756">
        <v>37.72</v>
      </c>
      <c r="D756" t="s">
        <v>27</v>
      </c>
      <c r="E756" t="s">
        <v>18</v>
      </c>
      <c r="F756" t="s">
        <v>31</v>
      </c>
      <c r="G756">
        <v>5</v>
      </c>
      <c r="H756">
        <v>6</v>
      </c>
      <c r="I756" s="13">
        <v>45464</v>
      </c>
      <c r="J756" s="13" t="str">
        <f>TEXT(Table1[[#This Row],[Date]],"[$-en-US]mmm yyyy")</f>
        <v>Jun 2024</v>
      </c>
      <c r="K756" s="13" t="str">
        <f>TEXT(Table1[[#This Row],[Date]],"[$-en-US]ddd")</f>
        <v>Fri</v>
      </c>
    </row>
    <row r="757" spans="1:11" x14ac:dyDescent="0.25">
      <c r="A757">
        <v>19</v>
      </c>
      <c r="B757" t="s">
        <v>9</v>
      </c>
      <c r="C757">
        <v>37.72</v>
      </c>
      <c r="D757" t="s">
        <v>27</v>
      </c>
      <c r="E757" t="s">
        <v>18</v>
      </c>
      <c r="F757" t="s">
        <v>31</v>
      </c>
      <c r="G757">
        <v>5</v>
      </c>
      <c r="H757">
        <v>6</v>
      </c>
      <c r="I757" s="13">
        <v>45464</v>
      </c>
      <c r="J757" s="13" t="str">
        <f>TEXT(Table1[[#This Row],[Date]],"[$-en-US]mmm yyyy")</f>
        <v>Jun 2024</v>
      </c>
      <c r="K757" s="13" t="str">
        <f>TEXT(Table1[[#This Row],[Date]],"[$-en-US]ddd")</f>
        <v>Fri</v>
      </c>
    </row>
    <row r="758" spans="1:11" x14ac:dyDescent="0.25">
      <c r="A758">
        <v>19</v>
      </c>
      <c r="B758" t="s">
        <v>9</v>
      </c>
      <c r="C758">
        <v>37.72</v>
      </c>
      <c r="D758" t="s">
        <v>27</v>
      </c>
      <c r="E758" t="s">
        <v>18</v>
      </c>
      <c r="F758" t="s">
        <v>31</v>
      </c>
      <c r="G758">
        <v>5</v>
      </c>
      <c r="H758">
        <v>6</v>
      </c>
      <c r="I758" s="13">
        <v>45464</v>
      </c>
      <c r="J758" s="13" t="str">
        <f>TEXT(Table1[[#This Row],[Date]],"[$-en-US]mmm yyyy")</f>
        <v>Jun 2024</v>
      </c>
      <c r="K758" s="13" t="str">
        <f>TEXT(Table1[[#This Row],[Date]],"[$-en-US]ddd")</f>
        <v>Fri</v>
      </c>
    </row>
    <row r="759" spans="1:11" x14ac:dyDescent="0.25">
      <c r="A759">
        <v>19</v>
      </c>
      <c r="B759" t="s">
        <v>9</v>
      </c>
      <c r="C759">
        <v>37.72</v>
      </c>
      <c r="D759" t="s">
        <v>27</v>
      </c>
      <c r="E759" t="s">
        <v>18</v>
      </c>
      <c r="F759" t="s">
        <v>31</v>
      </c>
      <c r="G759">
        <v>5</v>
      </c>
      <c r="H759">
        <v>6</v>
      </c>
      <c r="I759" s="13">
        <v>45464</v>
      </c>
      <c r="J759" s="13" t="str">
        <f>TEXT(Table1[[#This Row],[Date]],"[$-en-US]mmm yyyy")</f>
        <v>Jun 2024</v>
      </c>
      <c r="K759" s="13" t="str">
        <f>TEXT(Table1[[#This Row],[Date]],"[$-en-US]ddd")</f>
        <v>Fri</v>
      </c>
    </row>
    <row r="760" spans="1:11" x14ac:dyDescent="0.25">
      <c r="A760">
        <v>19</v>
      </c>
      <c r="B760" t="s">
        <v>9</v>
      </c>
      <c r="C760">
        <v>27.92</v>
      </c>
      <c r="D760" t="s">
        <v>16</v>
      </c>
      <c r="E760" t="s">
        <v>18</v>
      </c>
      <c r="F760" t="s">
        <v>31</v>
      </c>
      <c r="G760">
        <v>5</v>
      </c>
      <c r="H760">
        <v>6</v>
      </c>
      <c r="I760" s="13">
        <v>45464</v>
      </c>
      <c r="J760" s="13" t="str">
        <f>TEXT(Table1[[#This Row],[Date]],"[$-en-US]mmm yyyy")</f>
        <v>Jun 2024</v>
      </c>
      <c r="K760" s="13" t="str">
        <f>TEXT(Table1[[#This Row],[Date]],"[$-en-US]ddd")</f>
        <v>Fri</v>
      </c>
    </row>
    <row r="761" spans="1:11" x14ac:dyDescent="0.25">
      <c r="A761">
        <v>19</v>
      </c>
      <c r="B761" t="s">
        <v>9</v>
      </c>
      <c r="C761">
        <v>32.82</v>
      </c>
      <c r="D761" t="s">
        <v>17</v>
      </c>
      <c r="E761" t="s">
        <v>18</v>
      </c>
      <c r="F761" t="s">
        <v>31</v>
      </c>
      <c r="G761">
        <v>5</v>
      </c>
      <c r="H761">
        <v>6</v>
      </c>
      <c r="I761" s="13">
        <v>45464</v>
      </c>
      <c r="J761" s="13" t="str">
        <f>TEXT(Table1[[#This Row],[Date]],"[$-en-US]mmm yyyy")</f>
        <v>Jun 2024</v>
      </c>
      <c r="K761" s="13" t="str">
        <f>TEXT(Table1[[#This Row],[Date]],"[$-en-US]ddd")</f>
        <v>Fri</v>
      </c>
    </row>
    <row r="762" spans="1:11" x14ac:dyDescent="0.25">
      <c r="A762">
        <v>8</v>
      </c>
      <c r="B762" t="s">
        <v>9</v>
      </c>
      <c r="C762">
        <v>27.92</v>
      </c>
      <c r="D762" t="s">
        <v>22</v>
      </c>
      <c r="E762" t="s">
        <v>11</v>
      </c>
      <c r="F762" t="s">
        <v>31</v>
      </c>
      <c r="G762">
        <v>6</v>
      </c>
      <c r="H762">
        <v>6</v>
      </c>
      <c r="I762" s="13">
        <v>45465</v>
      </c>
      <c r="J762" s="13" t="str">
        <f>TEXT(Table1[[#This Row],[Date]],"[$-en-US]mmm yyyy")</f>
        <v>Jun 2024</v>
      </c>
      <c r="K762" s="13" t="str">
        <f>TEXT(Table1[[#This Row],[Date]],"[$-en-US]ddd")</f>
        <v>Sat</v>
      </c>
    </row>
    <row r="763" spans="1:11" x14ac:dyDescent="0.25">
      <c r="A763">
        <v>9</v>
      </c>
      <c r="B763" t="s">
        <v>9</v>
      </c>
      <c r="C763">
        <v>32.82</v>
      </c>
      <c r="D763" t="s">
        <v>17</v>
      </c>
      <c r="E763" t="s">
        <v>11</v>
      </c>
      <c r="F763" t="s">
        <v>31</v>
      </c>
      <c r="G763">
        <v>6</v>
      </c>
      <c r="H763">
        <v>6</v>
      </c>
      <c r="I763" s="13">
        <v>45465</v>
      </c>
      <c r="J763" s="13" t="str">
        <f>TEXT(Table1[[#This Row],[Date]],"[$-en-US]mmm yyyy")</f>
        <v>Jun 2024</v>
      </c>
      <c r="K763" s="13" t="str">
        <f>TEXT(Table1[[#This Row],[Date]],"[$-en-US]ddd")</f>
        <v>Sat</v>
      </c>
    </row>
    <row r="764" spans="1:11" x14ac:dyDescent="0.25">
      <c r="A764">
        <v>12</v>
      </c>
      <c r="B764" t="s">
        <v>9</v>
      </c>
      <c r="C764">
        <v>32.82</v>
      </c>
      <c r="D764" t="s">
        <v>17</v>
      </c>
      <c r="E764" t="s">
        <v>15</v>
      </c>
      <c r="F764" t="s">
        <v>31</v>
      </c>
      <c r="G764">
        <v>6</v>
      </c>
      <c r="H764">
        <v>6</v>
      </c>
      <c r="I764" s="13">
        <v>45465</v>
      </c>
      <c r="J764" s="13" t="str">
        <f>TEXT(Table1[[#This Row],[Date]],"[$-en-US]mmm yyyy")</f>
        <v>Jun 2024</v>
      </c>
      <c r="K764" s="13" t="str">
        <f>TEXT(Table1[[#This Row],[Date]],"[$-en-US]ddd")</f>
        <v>Sat</v>
      </c>
    </row>
    <row r="765" spans="1:11" x14ac:dyDescent="0.25">
      <c r="A765">
        <v>15</v>
      </c>
      <c r="B765" t="s">
        <v>9</v>
      </c>
      <c r="C765">
        <v>37.72</v>
      </c>
      <c r="D765" t="s">
        <v>10</v>
      </c>
      <c r="E765" t="s">
        <v>15</v>
      </c>
      <c r="F765" t="s">
        <v>31</v>
      </c>
      <c r="G765">
        <v>6</v>
      </c>
      <c r="H765">
        <v>6</v>
      </c>
      <c r="I765" s="13">
        <v>45465</v>
      </c>
      <c r="J765" s="13" t="str">
        <f>TEXT(Table1[[#This Row],[Date]],"[$-en-US]mmm yyyy")</f>
        <v>Jun 2024</v>
      </c>
      <c r="K765" s="13" t="str">
        <f>TEXT(Table1[[#This Row],[Date]],"[$-en-US]ddd")</f>
        <v>Sat</v>
      </c>
    </row>
    <row r="766" spans="1:11" x14ac:dyDescent="0.25">
      <c r="A766">
        <v>22</v>
      </c>
      <c r="B766" t="s">
        <v>9</v>
      </c>
      <c r="C766">
        <v>37.72</v>
      </c>
      <c r="D766" t="s">
        <v>27</v>
      </c>
      <c r="E766" t="s">
        <v>18</v>
      </c>
      <c r="F766" t="s">
        <v>31</v>
      </c>
      <c r="G766">
        <v>6</v>
      </c>
      <c r="H766">
        <v>6</v>
      </c>
      <c r="I766" s="13">
        <v>45465</v>
      </c>
      <c r="J766" s="13" t="str">
        <f>TEXT(Table1[[#This Row],[Date]],"[$-en-US]mmm yyyy")</f>
        <v>Jun 2024</v>
      </c>
      <c r="K766" s="13" t="str">
        <f>TEXT(Table1[[#This Row],[Date]],"[$-en-US]ddd")</f>
        <v>Sat</v>
      </c>
    </row>
    <row r="767" spans="1:11" x14ac:dyDescent="0.25">
      <c r="A767">
        <v>18</v>
      </c>
      <c r="B767" t="s">
        <v>9</v>
      </c>
      <c r="C767">
        <v>32.82</v>
      </c>
      <c r="D767" t="s">
        <v>17</v>
      </c>
      <c r="E767" t="s">
        <v>18</v>
      </c>
      <c r="F767" t="s">
        <v>31</v>
      </c>
      <c r="G767">
        <v>7</v>
      </c>
      <c r="H767">
        <v>6</v>
      </c>
      <c r="I767" s="13">
        <v>45466</v>
      </c>
      <c r="J767" s="13" t="str">
        <f>TEXT(Table1[[#This Row],[Date]],"[$-en-US]mmm yyyy")</f>
        <v>Jun 2024</v>
      </c>
      <c r="K767" s="13" t="str">
        <f>TEXT(Table1[[#This Row],[Date]],"[$-en-US]ddd")</f>
        <v>Sun</v>
      </c>
    </row>
    <row r="768" spans="1:11" x14ac:dyDescent="0.25">
      <c r="A768">
        <v>18</v>
      </c>
      <c r="B768" t="s">
        <v>9</v>
      </c>
      <c r="C768">
        <v>32.82</v>
      </c>
      <c r="D768" t="s">
        <v>17</v>
      </c>
      <c r="E768" t="s">
        <v>18</v>
      </c>
      <c r="F768" t="s">
        <v>31</v>
      </c>
      <c r="G768">
        <v>7</v>
      </c>
      <c r="H768">
        <v>6</v>
      </c>
      <c r="I768" s="13">
        <v>45466</v>
      </c>
      <c r="J768" s="13" t="str">
        <f>TEXT(Table1[[#This Row],[Date]],"[$-en-US]mmm yyyy")</f>
        <v>Jun 2024</v>
      </c>
      <c r="K768" s="13" t="str">
        <f>TEXT(Table1[[#This Row],[Date]],"[$-en-US]ddd")</f>
        <v>Sun</v>
      </c>
    </row>
    <row r="769" spans="1:11" x14ac:dyDescent="0.25">
      <c r="A769">
        <v>21</v>
      </c>
      <c r="B769" t="s">
        <v>9</v>
      </c>
      <c r="C769">
        <v>37.72</v>
      </c>
      <c r="D769" t="s">
        <v>27</v>
      </c>
      <c r="E769" t="s">
        <v>18</v>
      </c>
      <c r="F769" t="s">
        <v>31</v>
      </c>
      <c r="G769">
        <v>7</v>
      </c>
      <c r="H769">
        <v>6</v>
      </c>
      <c r="I769" s="13">
        <v>45466</v>
      </c>
      <c r="J769" s="13" t="str">
        <f>TEXT(Table1[[#This Row],[Date]],"[$-en-US]mmm yyyy")</f>
        <v>Jun 2024</v>
      </c>
      <c r="K769" s="13" t="str">
        <f>TEXT(Table1[[#This Row],[Date]],"[$-en-US]ddd")</f>
        <v>Sun</v>
      </c>
    </row>
    <row r="770" spans="1:11" x14ac:dyDescent="0.25">
      <c r="A770">
        <v>21</v>
      </c>
      <c r="B770" t="s">
        <v>9</v>
      </c>
      <c r="C770">
        <v>37.72</v>
      </c>
      <c r="D770" t="s">
        <v>10</v>
      </c>
      <c r="E770" t="s">
        <v>18</v>
      </c>
      <c r="F770" t="s">
        <v>31</v>
      </c>
      <c r="G770">
        <v>7</v>
      </c>
      <c r="H770">
        <v>6</v>
      </c>
      <c r="I770" s="13">
        <v>45466</v>
      </c>
      <c r="J770" s="13" t="str">
        <f>TEXT(Table1[[#This Row],[Date]],"[$-en-US]mmm yyyy")</f>
        <v>Jun 2024</v>
      </c>
      <c r="K770" s="13" t="str">
        <f>TEXT(Table1[[#This Row],[Date]],"[$-en-US]ddd")</f>
        <v>Sun</v>
      </c>
    </row>
    <row r="771" spans="1:11" x14ac:dyDescent="0.25">
      <c r="A771">
        <v>21</v>
      </c>
      <c r="B771" t="s">
        <v>9</v>
      </c>
      <c r="C771">
        <v>37.72</v>
      </c>
      <c r="D771" t="s">
        <v>27</v>
      </c>
      <c r="E771" t="s">
        <v>18</v>
      </c>
      <c r="F771" t="s">
        <v>31</v>
      </c>
      <c r="G771">
        <v>7</v>
      </c>
      <c r="H771">
        <v>6</v>
      </c>
      <c r="I771" s="13">
        <v>45466</v>
      </c>
      <c r="J771" s="13" t="str">
        <f>TEXT(Table1[[#This Row],[Date]],"[$-en-US]mmm yyyy")</f>
        <v>Jun 2024</v>
      </c>
      <c r="K771" s="13" t="str">
        <f>TEXT(Table1[[#This Row],[Date]],"[$-en-US]ddd")</f>
        <v>Sun</v>
      </c>
    </row>
    <row r="772" spans="1:11" x14ac:dyDescent="0.25">
      <c r="A772">
        <v>11</v>
      </c>
      <c r="B772" t="s">
        <v>9</v>
      </c>
      <c r="C772">
        <v>32.82</v>
      </c>
      <c r="D772" t="s">
        <v>17</v>
      </c>
      <c r="E772" t="s">
        <v>11</v>
      </c>
      <c r="F772" t="s">
        <v>31</v>
      </c>
      <c r="G772">
        <v>1</v>
      </c>
      <c r="H772">
        <v>6</v>
      </c>
      <c r="I772" s="13">
        <v>45467</v>
      </c>
      <c r="J772" s="13" t="str">
        <f>TEXT(Table1[[#This Row],[Date]],"[$-en-US]mmm yyyy")</f>
        <v>Jun 2024</v>
      </c>
      <c r="K772" s="13" t="str">
        <f>TEXT(Table1[[#This Row],[Date]],"[$-en-US]ddd")</f>
        <v>Mon</v>
      </c>
    </row>
    <row r="773" spans="1:11" x14ac:dyDescent="0.25">
      <c r="A773">
        <v>11</v>
      </c>
      <c r="B773" t="s">
        <v>9</v>
      </c>
      <c r="C773">
        <v>37.72</v>
      </c>
      <c r="D773" t="s">
        <v>27</v>
      </c>
      <c r="E773" t="s">
        <v>11</v>
      </c>
      <c r="F773" t="s">
        <v>31</v>
      </c>
      <c r="G773">
        <v>1</v>
      </c>
      <c r="H773">
        <v>6</v>
      </c>
      <c r="I773" s="13">
        <v>45467</v>
      </c>
      <c r="J773" s="13" t="str">
        <f>TEXT(Table1[[#This Row],[Date]],"[$-en-US]mmm yyyy")</f>
        <v>Jun 2024</v>
      </c>
      <c r="K773" s="13" t="str">
        <f>TEXT(Table1[[#This Row],[Date]],"[$-en-US]ddd")</f>
        <v>Mon</v>
      </c>
    </row>
    <row r="774" spans="1:11" x14ac:dyDescent="0.25">
      <c r="A774">
        <v>11</v>
      </c>
      <c r="B774" t="s">
        <v>9</v>
      </c>
      <c r="C774">
        <v>37.72</v>
      </c>
      <c r="D774" t="s">
        <v>27</v>
      </c>
      <c r="E774" t="s">
        <v>11</v>
      </c>
      <c r="F774" t="s">
        <v>31</v>
      </c>
      <c r="G774">
        <v>1</v>
      </c>
      <c r="H774">
        <v>6</v>
      </c>
      <c r="I774" s="13">
        <v>45467</v>
      </c>
      <c r="J774" s="13" t="str">
        <f>TEXT(Table1[[#This Row],[Date]],"[$-en-US]mmm yyyy")</f>
        <v>Jun 2024</v>
      </c>
      <c r="K774" s="13" t="str">
        <f>TEXT(Table1[[#This Row],[Date]],"[$-en-US]ddd")</f>
        <v>Mon</v>
      </c>
    </row>
    <row r="775" spans="1:11" x14ac:dyDescent="0.25">
      <c r="A775">
        <v>15</v>
      </c>
      <c r="B775" t="s">
        <v>9</v>
      </c>
      <c r="C775">
        <v>37.72</v>
      </c>
      <c r="D775" t="s">
        <v>10</v>
      </c>
      <c r="E775" t="s">
        <v>15</v>
      </c>
      <c r="F775" t="s">
        <v>31</v>
      </c>
      <c r="G775">
        <v>1</v>
      </c>
      <c r="H775">
        <v>6</v>
      </c>
      <c r="I775" s="13">
        <v>45467</v>
      </c>
      <c r="J775" s="13" t="str">
        <f>TEXT(Table1[[#This Row],[Date]],"[$-en-US]mmm yyyy")</f>
        <v>Jun 2024</v>
      </c>
      <c r="K775" s="13" t="str">
        <f>TEXT(Table1[[#This Row],[Date]],"[$-en-US]ddd")</f>
        <v>Mon</v>
      </c>
    </row>
    <row r="776" spans="1:11" x14ac:dyDescent="0.25">
      <c r="A776">
        <v>16</v>
      </c>
      <c r="B776" t="s">
        <v>9</v>
      </c>
      <c r="C776">
        <v>37.72</v>
      </c>
      <c r="D776" t="s">
        <v>27</v>
      </c>
      <c r="E776" t="s">
        <v>15</v>
      </c>
      <c r="F776" t="s">
        <v>31</v>
      </c>
      <c r="G776">
        <v>1</v>
      </c>
      <c r="H776">
        <v>6</v>
      </c>
      <c r="I776" s="13">
        <v>45467</v>
      </c>
      <c r="J776" s="13" t="str">
        <f>TEXT(Table1[[#This Row],[Date]],"[$-en-US]mmm yyyy")</f>
        <v>Jun 2024</v>
      </c>
      <c r="K776" s="13" t="str">
        <f>TEXT(Table1[[#This Row],[Date]],"[$-en-US]ddd")</f>
        <v>Mon</v>
      </c>
    </row>
    <row r="777" spans="1:11" x14ac:dyDescent="0.25">
      <c r="A777">
        <v>16</v>
      </c>
      <c r="B777" t="s">
        <v>9</v>
      </c>
      <c r="C777">
        <v>37.72</v>
      </c>
      <c r="D777" t="s">
        <v>27</v>
      </c>
      <c r="E777" t="s">
        <v>15</v>
      </c>
      <c r="F777" t="s">
        <v>31</v>
      </c>
      <c r="G777">
        <v>1</v>
      </c>
      <c r="H777">
        <v>6</v>
      </c>
      <c r="I777" s="13">
        <v>45467</v>
      </c>
      <c r="J777" s="13" t="str">
        <f>TEXT(Table1[[#This Row],[Date]],"[$-en-US]mmm yyyy")</f>
        <v>Jun 2024</v>
      </c>
      <c r="K777" s="13" t="str">
        <f>TEXT(Table1[[#This Row],[Date]],"[$-en-US]ddd")</f>
        <v>Mon</v>
      </c>
    </row>
    <row r="778" spans="1:11" x14ac:dyDescent="0.25">
      <c r="A778">
        <v>8</v>
      </c>
      <c r="B778" t="s">
        <v>9</v>
      </c>
      <c r="C778">
        <v>37.72</v>
      </c>
      <c r="D778" t="s">
        <v>10</v>
      </c>
      <c r="E778" t="s">
        <v>11</v>
      </c>
      <c r="F778" t="s">
        <v>31</v>
      </c>
      <c r="G778">
        <v>2</v>
      </c>
      <c r="H778">
        <v>6</v>
      </c>
      <c r="I778" s="13">
        <v>45468</v>
      </c>
      <c r="J778" s="13" t="str">
        <f>TEXT(Table1[[#This Row],[Date]],"[$-en-US]mmm yyyy")</f>
        <v>Jun 2024</v>
      </c>
      <c r="K778" s="13" t="str">
        <f>TEXT(Table1[[#This Row],[Date]],"[$-en-US]ddd")</f>
        <v>Tue</v>
      </c>
    </row>
    <row r="779" spans="1:11" x14ac:dyDescent="0.25">
      <c r="A779">
        <v>10</v>
      </c>
      <c r="B779" t="s">
        <v>9</v>
      </c>
      <c r="C779">
        <v>32.82</v>
      </c>
      <c r="D779" t="s">
        <v>17</v>
      </c>
      <c r="E779" t="s">
        <v>11</v>
      </c>
      <c r="F779" t="s">
        <v>31</v>
      </c>
      <c r="G779">
        <v>2</v>
      </c>
      <c r="H779">
        <v>6</v>
      </c>
      <c r="I779" s="13">
        <v>45468</v>
      </c>
      <c r="J779" s="13" t="str">
        <f>TEXT(Table1[[#This Row],[Date]],"[$-en-US]mmm yyyy")</f>
        <v>Jun 2024</v>
      </c>
      <c r="K779" s="13" t="str">
        <f>TEXT(Table1[[#This Row],[Date]],"[$-en-US]ddd")</f>
        <v>Tue</v>
      </c>
    </row>
    <row r="780" spans="1:11" x14ac:dyDescent="0.25">
      <c r="A780">
        <v>10</v>
      </c>
      <c r="B780" t="s">
        <v>9</v>
      </c>
      <c r="C780">
        <v>32.82</v>
      </c>
      <c r="D780" t="s">
        <v>17</v>
      </c>
      <c r="E780" t="s">
        <v>11</v>
      </c>
      <c r="F780" t="s">
        <v>31</v>
      </c>
      <c r="G780">
        <v>2</v>
      </c>
      <c r="H780">
        <v>6</v>
      </c>
      <c r="I780" s="13">
        <v>45468</v>
      </c>
      <c r="J780" s="13" t="str">
        <f>TEXT(Table1[[#This Row],[Date]],"[$-en-US]mmm yyyy")</f>
        <v>Jun 2024</v>
      </c>
      <c r="K780" s="13" t="str">
        <f>TEXT(Table1[[#This Row],[Date]],"[$-en-US]ddd")</f>
        <v>Tue</v>
      </c>
    </row>
    <row r="781" spans="1:11" x14ac:dyDescent="0.25">
      <c r="A781">
        <v>11</v>
      </c>
      <c r="B781" t="s">
        <v>9</v>
      </c>
      <c r="C781">
        <v>37.72</v>
      </c>
      <c r="D781" t="s">
        <v>27</v>
      </c>
      <c r="E781" t="s">
        <v>11</v>
      </c>
      <c r="F781" t="s">
        <v>31</v>
      </c>
      <c r="G781">
        <v>2</v>
      </c>
      <c r="H781">
        <v>6</v>
      </c>
      <c r="I781" s="13">
        <v>45468</v>
      </c>
      <c r="J781" s="13" t="str">
        <f>TEXT(Table1[[#This Row],[Date]],"[$-en-US]mmm yyyy")</f>
        <v>Jun 2024</v>
      </c>
      <c r="K781" s="13" t="str">
        <f>TEXT(Table1[[#This Row],[Date]],"[$-en-US]ddd")</f>
        <v>Tue</v>
      </c>
    </row>
    <row r="782" spans="1:11" x14ac:dyDescent="0.25">
      <c r="A782">
        <v>9</v>
      </c>
      <c r="B782" t="s">
        <v>9</v>
      </c>
      <c r="C782">
        <v>37.72</v>
      </c>
      <c r="D782" t="s">
        <v>10</v>
      </c>
      <c r="E782" t="s">
        <v>11</v>
      </c>
      <c r="F782" t="s">
        <v>31</v>
      </c>
      <c r="G782">
        <v>3</v>
      </c>
      <c r="H782">
        <v>6</v>
      </c>
      <c r="I782" s="13">
        <v>45469</v>
      </c>
      <c r="J782" s="13" t="str">
        <f>TEXT(Table1[[#This Row],[Date]],"[$-en-US]mmm yyyy")</f>
        <v>Jun 2024</v>
      </c>
      <c r="K782" s="13" t="str">
        <f>TEXT(Table1[[#This Row],[Date]],"[$-en-US]ddd")</f>
        <v>Wed</v>
      </c>
    </row>
    <row r="783" spans="1:11" x14ac:dyDescent="0.25">
      <c r="A783">
        <v>16</v>
      </c>
      <c r="B783" t="s">
        <v>9</v>
      </c>
      <c r="C783">
        <v>23.02</v>
      </c>
      <c r="D783" t="s">
        <v>24</v>
      </c>
      <c r="E783" t="s">
        <v>15</v>
      </c>
      <c r="F783" t="s">
        <v>31</v>
      </c>
      <c r="G783">
        <v>3</v>
      </c>
      <c r="H783">
        <v>6</v>
      </c>
      <c r="I783" s="13">
        <v>45469</v>
      </c>
      <c r="J783" s="13" t="str">
        <f>TEXT(Table1[[#This Row],[Date]],"[$-en-US]mmm yyyy")</f>
        <v>Jun 2024</v>
      </c>
      <c r="K783" s="13" t="str">
        <f>TEXT(Table1[[#This Row],[Date]],"[$-en-US]ddd")</f>
        <v>Wed</v>
      </c>
    </row>
    <row r="784" spans="1:11" x14ac:dyDescent="0.25">
      <c r="A784">
        <v>16</v>
      </c>
      <c r="B784" t="s">
        <v>9</v>
      </c>
      <c r="C784">
        <v>27.92</v>
      </c>
      <c r="D784" t="s">
        <v>16</v>
      </c>
      <c r="E784" t="s">
        <v>15</v>
      </c>
      <c r="F784" t="s">
        <v>31</v>
      </c>
      <c r="G784">
        <v>3</v>
      </c>
      <c r="H784">
        <v>6</v>
      </c>
      <c r="I784" s="13">
        <v>45469</v>
      </c>
      <c r="J784" s="13" t="str">
        <f>TEXT(Table1[[#This Row],[Date]],"[$-en-US]mmm yyyy")</f>
        <v>Jun 2024</v>
      </c>
      <c r="K784" s="13" t="str">
        <f>TEXT(Table1[[#This Row],[Date]],"[$-en-US]ddd")</f>
        <v>Wed</v>
      </c>
    </row>
    <row r="785" spans="1:11" x14ac:dyDescent="0.25">
      <c r="A785">
        <v>21</v>
      </c>
      <c r="B785" t="s">
        <v>9</v>
      </c>
      <c r="C785">
        <v>37.72</v>
      </c>
      <c r="D785" t="s">
        <v>10</v>
      </c>
      <c r="E785" t="s">
        <v>18</v>
      </c>
      <c r="F785" t="s">
        <v>31</v>
      </c>
      <c r="G785">
        <v>3</v>
      </c>
      <c r="H785">
        <v>6</v>
      </c>
      <c r="I785" s="13">
        <v>45469</v>
      </c>
      <c r="J785" s="13" t="str">
        <f>TEXT(Table1[[#This Row],[Date]],"[$-en-US]mmm yyyy")</f>
        <v>Jun 2024</v>
      </c>
      <c r="K785" s="13" t="str">
        <f>TEXT(Table1[[#This Row],[Date]],"[$-en-US]ddd")</f>
        <v>Wed</v>
      </c>
    </row>
    <row r="786" spans="1:11" x14ac:dyDescent="0.25">
      <c r="A786">
        <v>21</v>
      </c>
      <c r="B786" t="s">
        <v>9</v>
      </c>
      <c r="C786">
        <v>37.72</v>
      </c>
      <c r="D786" t="s">
        <v>27</v>
      </c>
      <c r="E786" t="s">
        <v>18</v>
      </c>
      <c r="F786" t="s">
        <v>31</v>
      </c>
      <c r="G786">
        <v>3</v>
      </c>
      <c r="H786">
        <v>6</v>
      </c>
      <c r="I786" s="13">
        <v>45469</v>
      </c>
      <c r="J786" s="13" t="str">
        <f>TEXT(Table1[[#This Row],[Date]],"[$-en-US]mmm yyyy")</f>
        <v>Jun 2024</v>
      </c>
      <c r="K786" s="13" t="str">
        <f>TEXT(Table1[[#This Row],[Date]],"[$-en-US]ddd")</f>
        <v>Wed</v>
      </c>
    </row>
    <row r="787" spans="1:11" x14ac:dyDescent="0.25">
      <c r="A787">
        <v>21</v>
      </c>
      <c r="B787" t="s">
        <v>9</v>
      </c>
      <c r="C787">
        <v>32.82</v>
      </c>
      <c r="D787" t="s">
        <v>17</v>
      </c>
      <c r="E787" t="s">
        <v>18</v>
      </c>
      <c r="F787" t="s">
        <v>31</v>
      </c>
      <c r="G787">
        <v>3</v>
      </c>
      <c r="H787">
        <v>6</v>
      </c>
      <c r="I787" s="13">
        <v>45469</v>
      </c>
      <c r="J787" s="13" t="str">
        <f>TEXT(Table1[[#This Row],[Date]],"[$-en-US]mmm yyyy")</f>
        <v>Jun 2024</v>
      </c>
      <c r="K787" s="13" t="str">
        <f>TEXT(Table1[[#This Row],[Date]],"[$-en-US]ddd")</f>
        <v>Wed</v>
      </c>
    </row>
    <row r="788" spans="1:11" x14ac:dyDescent="0.25">
      <c r="A788">
        <v>9</v>
      </c>
      <c r="B788" t="s">
        <v>9</v>
      </c>
      <c r="C788">
        <v>32.82</v>
      </c>
      <c r="D788" t="s">
        <v>17</v>
      </c>
      <c r="E788" t="s">
        <v>11</v>
      </c>
      <c r="F788" t="s">
        <v>31</v>
      </c>
      <c r="G788">
        <v>4</v>
      </c>
      <c r="H788">
        <v>6</v>
      </c>
      <c r="I788" s="13">
        <v>45470</v>
      </c>
      <c r="J788" s="13" t="str">
        <f>TEXT(Table1[[#This Row],[Date]],"[$-en-US]mmm yyyy")</f>
        <v>Jun 2024</v>
      </c>
      <c r="K788" s="13" t="str">
        <f>TEXT(Table1[[#This Row],[Date]],"[$-en-US]ddd")</f>
        <v>Thu</v>
      </c>
    </row>
    <row r="789" spans="1:11" x14ac:dyDescent="0.25">
      <c r="A789">
        <v>16</v>
      </c>
      <c r="B789" t="s">
        <v>9</v>
      </c>
      <c r="C789">
        <v>27.92</v>
      </c>
      <c r="D789" t="s">
        <v>22</v>
      </c>
      <c r="E789" t="s">
        <v>15</v>
      </c>
      <c r="F789" t="s">
        <v>31</v>
      </c>
      <c r="G789">
        <v>4</v>
      </c>
      <c r="H789">
        <v>6</v>
      </c>
      <c r="I789" s="13">
        <v>45470</v>
      </c>
      <c r="J789" s="13" t="str">
        <f>TEXT(Table1[[#This Row],[Date]],"[$-en-US]mmm yyyy")</f>
        <v>Jun 2024</v>
      </c>
      <c r="K789" s="13" t="str">
        <f>TEXT(Table1[[#This Row],[Date]],"[$-en-US]ddd")</f>
        <v>Thu</v>
      </c>
    </row>
    <row r="790" spans="1:11" x14ac:dyDescent="0.25">
      <c r="A790">
        <v>21</v>
      </c>
      <c r="B790" t="s">
        <v>9</v>
      </c>
      <c r="C790">
        <v>32.82</v>
      </c>
      <c r="D790" t="s">
        <v>17</v>
      </c>
      <c r="E790" t="s">
        <v>18</v>
      </c>
      <c r="F790" t="s">
        <v>31</v>
      </c>
      <c r="G790">
        <v>4</v>
      </c>
      <c r="H790">
        <v>6</v>
      </c>
      <c r="I790" s="13">
        <v>45470</v>
      </c>
      <c r="J790" s="13" t="str">
        <f>TEXT(Table1[[#This Row],[Date]],"[$-en-US]mmm yyyy")</f>
        <v>Jun 2024</v>
      </c>
      <c r="K790" s="13" t="str">
        <f>TEXT(Table1[[#This Row],[Date]],"[$-en-US]ddd")</f>
        <v>Thu</v>
      </c>
    </row>
    <row r="791" spans="1:11" x14ac:dyDescent="0.25">
      <c r="A791">
        <v>21</v>
      </c>
      <c r="B791" t="s">
        <v>9</v>
      </c>
      <c r="C791">
        <v>37.72</v>
      </c>
      <c r="D791" t="s">
        <v>27</v>
      </c>
      <c r="E791" t="s">
        <v>18</v>
      </c>
      <c r="F791" t="s">
        <v>31</v>
      </c>
      <c r="G791">
        <v>4</v>
      </c>
      <c r="H791">
        <v>6</v>
      </c>
      <c r="I791" s="13">
        <v>45470</v>
      </c>
      <c r="J791" s="13" t="str">
        <f>TEXT(Table1[[#This Row],[Date]],"[$-en-US]mmm yyyy")</f>
        <v>Jun 2024</v>
      </c>
      <c r="K791" s="13" t="str">
        <f>TEXT(Table1[[#This Row],[Date]],"[$-en-US]ddd")</f>
        <v>Thu</v>
      </c>
    </row>
    <row r="792" spans="1:11" x14ac:dyDescent="0.25">
      <c r="A792">
        <v>8</v>
      </c>
      <c r="B792" t="s">
        <v>9</v>
      </c>
      <c r="C792">
        <v>27.92</v>
      </c>
      <c r="D792" t="s">
        <v>22</v>
      </c>
      <c r="E792" t="s">
        <v>11</v>
      </c>
      <c r="F792" t="s">
        <v>31</v>
      </c>
      <c r="G792">
        <v>5</v>
      </c>
      <c r="H792">
        <v>6</v>
      </c>
      <c r="I792" s="13">
        <v>45471</v>
      </c>
      <c r="J792" s="13" t="str">
        <f>TEXT(Table1[[#This Row],[Date]],"[$-en-US]mmm yyyy")</f>
        <v>Jun 2024</v>
      </c>
      <c r="K792" s="13" t="str">
        <f>TEXT(Table1[[#This Row],[Date]],"[$-en-US]ddd")</f>
        <v>Fri</v>
      </c>
    </row>
    <row r="793" spans="1:11" x14ac:dyDescent="0.25">
      <c r="A793">
        <v>17</v>
      </c>
      <c r="B793" t="s">
        <v>9</v>
      </c>
      <c r="C793">
        <v>23.02</v>
      </c>
      <c r="D793" t="s">
        <v>24</v>
      </c>
      <c r="E793" t="s">
        <v>18</v>
      </c>
      <c r="F793" t="s">
        <v>31</v>
      </c>
      <c r="G793">
        <v>5</v>
      </c>
      <c r="H793">
        <v>6</v>
      </c>
      <c r="I793" s="13">
        <v>45471</v>
      </c>
      <c r="J793" s="13" t="str">
        <f>TEXT(Table1[[#This Row],[Date]],"[$-en-US]mmm yyyy")</f>
        <v>Jun 2024</v>
      </c>
      <c r="K793" s="13" t="str">
        <f>TEXT(Table1[[#This Row],[Date]],"[$-en-US]ddd")</f>
        <v>Fri</v>
      </c>
    </row>
    <row r="794" spans="1:11" x14ac:dyDescent="0.25">
      <c r="A794">
        <v>21</v>
      </c>
      <c r="B794" t="s">
        <v>9</v>
      </c>
      <c r="C794">
        <v>32.82</v>
      </c>
      <c r="D794" t="s">
        <v>17</v>
      </c>
      <c r="E794" t="s">
        <v>18</v>
      </c>
      <c r="F794" t="s">
        <v>31</v>
      </c>
      <c r="G794">
        <v>5</v>
      </c>
      <c r="H794">
        <v>6</v>
      </c>
      <c r="I794" s="13">
        <v>45471</v>
      </c>
      <c r="J794" s="13" t="str">
        <f>TEXT(Table1[[#This Row],[Date]],"[$-en-US]mmm yyyy")</f>
        <v>Jun 2024</v>
      </c>
      <c r="K794" s="13" t="str">
        <f>TEXT(Table1[[#This Row],[Date]],"[$-en-US]ddd")</f>
        <v>Fri</v>
      </c>
    </row>
    <row r="795" spans="1:11" x14ac:dyDescent="0.25">
      <c r="A795">
        <v>21</v>
      </c>
      <c r="B795" t="s">
        <v>9</v>
      </c>
      <c r="C795">
        <v>37.72</v>
      </c>
      <c r="D795" t="s">
        <v>10</v>
      </c>
      <c r="E795" t="s">
        <v>18</v>
      </c>
      <c r="F795" t="s">
        <v>31</v>
      </c>
      <c r="G795">
        <v>5</v>
      </c>
      <c r="H795">
        <v>6</v>
      </c>
      <c r="I795" s="13">
        <v>45471</v>
      </c>
      <c r="J795" s="13" t="str">
        <f>TEXT(Table1[[#This Row],[Date]],"[$-en-US]mmm yyyy")</f>
        <v>Jun 2024</v>
      </c>
      <c r="K795" s="13" t="str">
        <f>TEXT(Table1[[#This Row],[Date]],"[$-en-US]ddd")</f>
        <v>Fri</v>
      </c>
    </row>
    <row r="796" spans="1:11" x14ac:dyDescent="0.25">
      <c r="A796">
        <v>22</v>
      </c>
      <c r="B796" t="s">
        <v>9</v>
      </c>
      <c r="C796">
        <v>37.72</v>
      </c>
      <c r="D796" t="s">
        <v>27</v>
      </c>
      <c r="E796" t="s">
        <v>18</v>
      </c>
      <c r="F796" t="s">
        <v>31</v>
      </c>
      <c r="G796">
        <v>5</v>
      </c>
      <c r="H796">
        <v>6</v>
      </c>
      <c r="I796" s="13">
        <v>45471</v>
      </c>
      <c r="J796" s="13" t="str">
        <f>TEXT(Table1[[#This Row],[Date]],"[$-en-US]mmm yyyy")</f>
        <v>Jun 2024</v>
      </c>
      <c r="K796" s="13" t="str">
        <f>TEXT(Table1[[#This Row],[Date]],"[$-en-US]ddd")</f>
        <v>Fri</v>
      </c>
    </row>
    <row r="797" spans="1:11" x14ac:dyDescent="0.25">
      <c r="A797">
        <v>9</v>
      </c>
      <c r="B797" t="s">
        <v>9</v>
      </c>
      <c r="C797">
        <v>32.82</v>
      </c>
      <c r="D797" t="s">
        <v>17</v>
      </c>
      <c r="E797" t="s">
        <v>11</v>
      </c>
      <c r="F797" t="s">
        <v>31</v>
      </c>
      <c r="G797">
        <v>6</v>
      </c>
      <c r="H797">
        <v>6</v>
      </c>
      <c r="I797" s="13">
        <v>45472</v>
      </c>
      <c r="J797" s="13" t="str">
        <f>TEXT(Table1[[#This Row],[Date]],"[$-en-US]mmm yyyy")</f>
        <v>Jun 2024</v>
      </c>
      <c r="K797" s="13" t="str">
        <f>TEXT(Table1[[#This Row],[Date]],"[$-en-US]ddd")</f>
        <v>Sat</v>
      </c>
    </row>
    <row r="798" spans="1:11" x14ac:dyDescent="0.25">
      <c r="A798">
        <v>11</v>
      </c>
      <c r="B798" t="s">
        <v>9</v>
      </c>
      <c r="C798">
        <v>32.82</v>
      </c>
      <c r="D798" t="s">
        <v>17</v>
      </c>
      <c r="E798" t="s">
        <v>11</v>
      </c>
      <c r="F798" t="s">
        <v>31</v>
      </c>
      <c r="G798">
        <v>6</v>
      </c>
      <c r="H798">
        <v>6</v>
      </c>
      <c r="I798" s="13">
        <v>45472</v>
      </c>
      <c r="J798" s="13" t="str">
        <f>TEXT(Table1[[#This Row],[Date]],"[$-en-US]mmm yyyy")</f>
        <v>Jun 2024</v>
      </c>
      <c r="K798" s="13" t="str">
        <f>TEXT(Table1[[#This Row],[Date]],"[$-en-US]ddd")</f>
        <v>Sat</v>
      </c>
    </row>
    <row r="799" spans="1:11" x14ac:dyDescent="0.25">
      <c r="A799">
        <v>11</v>
      </c>
      <c r="B799" t="s">
        <v>9</v>
      </c>
      <c r="C799">
        <v>32.82</v>
      </c>
      <c r="D799" t="s">
        <v>17</v>
      </c>
      <c r="E799" t="s">
        <v>11</v>
      </c>
      <c r="F799" t="s">
        <v>31</v>
      </c>
      <c r="G799">
        <v>6</v>
      </c>
      <c r="H799">
        <v>6</v>
      </c>
      <c r="I799" s="13">
        <v>45472</v>
      </c>
      <c r="J799" s="13" t="str">
        <f>TEXT(Table1[[#This Row],[Date]],"[$-en-US]mmm yyyy")</f>
        <v>Jun 2024</v>
      </c>
      <c r="K799" s="13" t="str">
        <f>TEXT(Table1[[#This Row],[Date]],"[$-en-US]ddd")</f>
        <v>Sat</v>
      </c>
    </row>
    <row r="800" spans="1:11" x14ac:dyDescent="0.25">
      <c r="A800">
        <v>12</v>
      </c>
      <c r="B800" t="s">
        <v>9</v>
      </c>
      <c r="C800">
        <v>37.72</v>
      </c>
      <c r="D800" t="s">
        <v>27</v>
      </c>
      <c r="E800" t="s">
        <v>15</v>
      </c>
      <c r="F800" t="s">
        <v>31</v>
      </c>
      <c r="G800">
        <v>6</v>
      </c>
      <c r="H800">
        <v>6</v>
      </c>
      <c r="I800" s="13">
        <v>45472</v>
      </c>
      <c r="J800" s="13" t="str">
        <f>TEXT(Table1[[#This Row],[Date]],"[$-en-US]mmm yyyy")</f>
        <v>Jun 2024</v>
      </c>
      <c r="K800" s="13" t="str">
        <f>TEXT(Table1[[#This Row],[Date]],"[$-en-US]ddd")</f>
        <v>Sat</v>
      </c>
    </row>
    <row r="801" spans="1:11" x14ac:dyDescent="0.25">
      <c r="A801">
        <v>12</v>
      </c>
      <c r="B801" t="s">
        <v>9</v>
      </c>
      <c r="C801">
        <v>37.72</v>
      </c>
      <c r="D801" t="s">
        <v>27</v>
      </c>
      <c r="E801" t="s">
        <v>15</v>
      </c>
      <c r="F801" t="s">
        <v>31</v>
      </c>
      <c r="G801">
        <v>6</v>
      </c>
      <c r="H801">
        <v>6</v>
      </c>
      <c r="I801" s="13">
        <v>45472</v>
      </c>
      <c r="J801" s="13" t="str">
        <f>TEXT(Table1[[#This Row],[Date]],"[$-en-US]mmm yyyy")</f>
        <v>Jun 2024</v>
      </c>
      <c r="K801" s="13" t="str">
        <f>TEXT(Table1[[#This Row],[Date]],"[$-en-US]ddd")</f>
        <v>Sat</v>
      </c>
    </row>
    <row r="802" spans="1:11" x14ac:dyDescent="0.25">
      <c r="A802">
        <v>17</v>
      </c>
      <c r="B802" t="s">
        <v>9</v>
      </c>
      <c r="C802">
        <v>37.72</v>
      </c>
      <c r="D802" t="s">
        <v>27</v>
      </c>
      <c r="E802" t="s">
        <v>18</v>
      </c>
      <c r="F802" t="s">
        <v>31</v>
      </c>
      <c r="G802">
        <v>6</v>
      </c>
      <c r="H802">
        <v>6</v>
      </c>
      <c r="I802" s="13">
        <v>45472</v>
      </c>
      <c r="J802" s="13" t="str">
        <f>TEXT(Table1[[#This Row],[Date]],"[$-en-US]mmm yyyy")</f>
        <v>Jun 2024</v>
      </c>
      <c r="K802" s="13" t="str">
        <f>TEXT(Table1[[#This Row],[Date]],"[$-en-US]ddd")</f>
        <v>Sat</v>
      </c>
    </row>
    <row r="803" spans="1:11" x14ac:dyDescent="0.25">
      <c r="A803">
        <v>17</v>
      </c>
      <c r="B803" t="s">
        <v>9</v>
      </c>
      <c r="C803">
        <v>37.72</v>
      </c>
      <c r="D803" t="s">
        <v>14</v>
      </c>
      <c r="E803" t="s">
        <v>18</v>
      </c>
      <c r="F803" t="s">
        <v>31</v>
      </c>
      <c r="G803">
        <v>6</v>
      </c>
      <c r="H803">
        <v>6</v>
      </c>
      <c r="I803" s="13">
        <v>45472</v>
      </c>
      <c r="J803" s="13" t="str">
        <f>TEXT(Table1[[#This Row],[Date]],"[$-en-US]mmm yyyy")</f>
        <v>Jun 2024</v>
      </c>
      <c r="K803" s="13" t="str">
        <f>TEXT(Table1[[#This Row],[Date]],"[$-en-US]ddd")</f>
        <v>Sat</v>
      </c>
    </row>
    <row r="804" spans="1:11" x14ac:dyDescent="0.25">
      <c r="A804">
        <v>21</v>
      </c>
      <c r="B804" t="s">
        <v>9</v>
      </c>
      <c r="C804">
        <v>37.72</v>
      </c>
      <c r="D804" t="s">
        <v>10</v>
      </c>
      <c r="E804" t="s">
        <v>18</v>
      </c>
      <c r="F804" t="s">
        <v>31</v>
      </c>
      <c r="G804">
        <v>6</v>
      </c>
      <c r="H804">
        <v>6</v>
      </c>
      <c r="I804" s="13">
        <v>45472</v>
      </c>
      <c r="J804" s="13" t="str">
        <f>TEXT(Table1[[#This Row],[Date]],"[$-en-US]mmm yyyy")</f>
        <v>Jun 2024</v>
      </c>
      <c r="K804" s="13" t="str">
        <f>TEXT(Table1[[#This Row],[Date]],"[$-en-US]ddd")</f>
        <v>Sat</v>
      </c>
    </row>
    <row r="805" spans="1:11" x14ac:dyDescent="0.25">
      <c r="A805">
        <v>10</v>
      </c>
      <c r="B805" t="s">
        <v>9</v>
      </c>
      <c r="C805">
        <v>37.72</v>
      </c>
      <c r="D805" t="s">
        <v>10</v>
      </c>
      <c r="E805" t="s">
        <v>11</v>
      </c>
      <c r="F805" t="s">
        <v>31</v>
      </c>
      <c r="G805">
        <v>7</v>
      </c>
      <c r="H805">
        <v>6</v>
      </c>
      <c r="I805" s="13">
        <v>45473</v>
      </c>
      <c r="J805" s="13" t="str">
        <f>TEXT(Table1[[#This Row],[Date]],"[$-en-US]mmm yyyy")</f>
        <v>Jun 2024</v>
      </c>
      <c r="K805" s="13" t="str">
        <f>TEXT(Table1[[#This Row],[Date]],"[$-en-US]ddd")</f>
        <v>Sun</v>
      </c>
    </row>
    <row r="806" spans="1:11" x14ac:dyDescent="0.25">
      <c r="A806">
        <v>13</v>
      </c>
      <c r="B806" t="s">
        <v>9</v>
      </c>
      <c r="C806">
        <v>23.02</v>
      </c>
      <c r="D806" t="s">
        <v>24</v>
      </c>
      <c r="E806" t="s">
        <v>15</v>
      </c>
      <c r="F806" t="s">
        <v>31</v>
      </c>
      <c r="G806">
        <v>7</v>
      </c>
      <c r="H806">
        <v>6</v>
      </c>
      <c r="I806" s="13">
        <v>45473</v>
      </c>
      <c r="J806" s="13" t="str">
        <f>TEXT(Table1[[#This Row],[Date]],"[$-en-US]mmm yyyy")</f>
        <v>Jun 2024</v>
      </c>
      <c r="K806" s="13" t="str">
        <f>TEXT(Table1[[#This Row],[Date]],"[$-en-US]ddd")</f>
        <v>Sun</v>
      </c>
    </row>
    <row r="807" spans="1:11" x14ac:dyDescent="0.25">
      <c r="A807">
        <v>16</v>
      </c>
      <c r="B807" t="s">
        <v>9</v>
      </c>
      <c r="C807">
        <v>37.72</v>
      </c>
      <c r="D807" t="s">
        <v>14</v>
      </c>
      <c r="E807" t="s">
        <v>15</v>
      </c>
      <c r="F807" t="s">
        <v>31</v>
      </c>
      <c r="G807">
        <v>7</v>
      </c>
      <c r="H807">
        <v>6</v>
      </c>
      <c r="I807" s="13">
        <v>45473</v>
      </c>
      <c r="J807" s="13" t="str">
        <f>TEXT(Table1[[#This Row],[Date]],"[$-en-US]mmm yyyy")</f>
        <v>Jun 2024</v>
      </c>
      <c r="K807" s="13" t="str">
        <f>TEXT(Table1[[#This Row],[Date]],"[$-en-US]ddd")</f>
        <v>Sun</v>
      </c>
    </row>
    <row r="808" spans="1:11" x14ac:dyDescent="0.25">
      <c r="A808">
        <v>21</v>
      </c>
      <c r="B808" t="s">
        <v>9</v>
      </c>
      <c r="C808">
        <v>32.82</v>
      </c>
      <c r="D808" t="s">
        <v>17</v>
      </c>
      <c r="E808" t="s">
        <v>18</v>
      </c>
      <c r="F808" t="s">
        <v>31</v>
      </c>
      <c r="G808">
        <v>7</v>
      </c>
      <c r="H808">
        <v>6</v>
      </c>
      <c r="I808" s="13">
        <v>45473</v>
      </c>
      <c r="J808" s="13" t="str">
        <f>TEXT(Table1[[#This Row],[Date]],"[$-en-US]mmm yyyy")</f>
        <v>Jun 2024</v>
      </c>
      <c r="K808" s="13" t="str">
        <f>TEXT(Table1[[#This Row],[Date]],"[$-en-US]ddd")</f>
        <v>Sun</v>
      </c>
    </row>
    <row r="809" spans="1:11" x14ac:dyDescent="0.25">
      <c r="A809">
        <v>18</v>
      </c>
      <c r="B809" t="s">
        <v>9</v>
      </c>
      <c r="C809">
        <v>23.02</v>
      </c>
      <c r="D809" t="s">
        <v>24</v>
      </c>
      <c r="E809" t="s">
        <v>18</v>
      </c>
      <c r="F809" t="s">
        <v>32</v>
      </c>
      <c r="G809">
        <v>1</v>
      </c>
      <c r="H809">
        <v>7</v>
      </c>
      <c r="I809" s="13">
        <v>45474</v>
      </c>
      <c r="J809" s="13" t="str">
        <f>TEXT(Table1[[#This Row],[Date]],"[$-en-US]mmm yyyy")</f>
        <v>Jul 2024</v>
      </c>
      <c r="K809" s="13" t="str">
        <f>TEXT(Table1[[#This Row],[Date]],"[$-en-US]ddd")</f>
        <v>Mon</v>
      </c>
    </row>
    <row r="810" spans="1:11" x14ac:dyDescent="0.25">
      <c r="A810">
        <v>18</v>
      </c>
      <c r="B810" t="s">
        <v>9</v>
      </c>
      <c r="C810">
        <v>37.72</v>
      </c>
      <c r="D810" t="s">
        <v>27</v>
      </c>
      <c r="E810" t="s">
        <v>18</v>
      </c>
      <c r="F810" t="s">
        <v>32</v>
      </c>
      <c r="G810">
        <v>1</v>
      </c>
      <c r="H810">
        <v>7</v>
      </c>
      <c r="I810" s="13">
        <v>45474</v>
      </c>
      <c r="J810" s="13" t="str">
        <f>TEXT(Table1[[#This Row],[Date]],"[$-en-US]mmm yyyy")</f>
        <v>Jul 2024</v>
      </c>
      <c r="K810" s="13" t="str">
        <f>TEXT(Table1[[#This Row],[Date]],"[$-en-US]ddd")</f>
        <v>Mon</v>
      </c>
    </row>
    <row r="811" spans="1:11" x14ac:dyDescent="0.25">
      <c r="A811">
        <v>18</v>
      </c>
      <c r="B811" t="s">
        <v>9</v>
      </c>
      <c r="C811">
        <v>37.72</v>
      </c>
      <c r="D811" t="s">
        <v>27</v>
      </c>
      <c r="E811" t="s">
        <v>18</v>
      </c>
      <c r="F811" t="s">
        <v>32</v>
      </c>
      <c r="G811">
        <v>1</v>
      </c>
      <c r="H811">
        <v>7</v>
      </c>
      <c r="I811" s="13">
        <v>45474</v>
      </c>
      <c r="J811" s="13" t="str">
        <f>TEXT(Table1[[#This Row],[Date]],"[$-en-US]mmm yyyy")</f>
        <v>Jul 2024</v>
      </c>
      <c r="K811" s="13" t="str">
        <f>TEXT(Table1[[#This Row],[Date]],"[$-en-US]ddd")</f>
        <v>Mon</v>
      </c>
    </row>
    <row r="812" spans="1:11" x14ac:dyDescent="0.25">
      <c r="A812">
        <v>10</v>
      </c>
      <c r="B812" t="s">
        <v>9</v>
      </c>
      <c r="C812">
        <v>32.82</v>
      </c>
      <c r="D812" t="s">
        <v>17</v>
      </c>
      <c r="E812" t="s">
        <v>11</v>
      </c>
      <c r="F812" t="s">
        <v>32</v>
      </c>
      <c r="G812">
        <v>2</v>
      </c>
      <c r="H812">
        <v>7</v>
      </c>
      <c r="I812" s="13">
        <v>45475</v>
      </c>
      <c r="J812" s="13" t="str">
        <f>TEXT(Table1[[#This Row],[Date]],"[$-en-US]mmm yyyy")</f>
        <v>Jul 2024</v>
      </c>
      <c r="K812" s="13" t="str">
        <f>TEXT(Table1[[#This Row],[Date]],"[$-en-US]ddd")</f>
        <v>Tue</v>
      </c>
    </row>
    <row r="813" spans="1:11" x14ac:dyDescent="0.25">
      <c r="A813">
        <v>10</v>
      </c>
      <c r="B813" t="s">
        <v>9</v>
      </c>
      <c r="C813">
        <v>27.92</v>
      </c>
      <c r="D813" t="s">
        <v>16</v>
      </c>
      <c r="E813" t="s">
        <v>11</v>
      </c>
      <c r="F813" t="s">
        <v>32</v>
      </c>
      <c r="G813">
        <v>2</v>
      </c>
      <c r="H813">
        <v>7</v>
      </c>
      <c r="I813" s="13">
        <v>45475</v>
      </c>
      <c r="J813" s="13" t="str">
        <f>TEXT(Table1[[#This Row],[Date]],"[$-en-US]mmm yyyy")</f>
        <v>Jul 2024</v>
      </c>
      <c r="K813" s="13" t="str">
        <f>TEXT(Table1[[#This Row],[Date]],"[$-en-US]ddd")</f>
        <v>Tue</v>
      </c>
    </row>
    <row r="814" spans="1:11" x14ac:dyDescent="0.25">
      <c r="A814">
        <v>12</v>
      </c>
      <c r="B814" t="s">
        <v>9</v>
      </c>
      <c r="C814">
        <v>37.72</v>
      </c>
      <c r="D814" t="s">
        <v>10</v>
      </c>
      <c r="E814" t="s">
        <v>15</v>
      </c>
      <c r="F814" t="s">
        <v>32</v>
      </c>
      <c r="G814">
        <v>2</v>
      </c>
      <c r="H814">
        <v>7</v>
      </c>
      <c r="I814" s="13">
        <v>45475</v>
      </c>
      <c r="J814" s="13" t="str">
        <f>TEXT(Table1[[#This Row],[Date]],"[$-en-US]mmm yyyy")</f>
        <v>Jul 2024</v>
      </c>
      <c r="K814" s="13" t="str">
        <f>TEXT(Table1[[#This Row],[Date]],"[$-en-US]ddd")</f>
        <v>Tue</v>
      </c>
    </row>
    <row r="815" spans="1:11" x14ac:dyDescent="0.25">
      <c r="A815">
        <v>14</v>
      </c>
      <c r="B815" t="s">
        <v>9</v>
      </c>
      <c r="C815">
        <v>27.92</v>
      </c>
      <c r="D815" t="s">
        <v>16</v>
      </c>
      <c r="E815" t="s">
        <v>15</v>
      </c>
      <c r="F815" t="s">
        <v>32</v>
      </c>
      <c r="G815">
        <v>2</v>
      </c>
      <c r="H815">
        <v>7</v>
      </c>
      <c r="I815" s="13">
        <v>45475</v>
      </c>
      <c r="J815" s="13" t="str">
        <f>TEXT(Table1[[#This Row],[Date]],"[$-en-US]mmm yyyy")</f>
        <v>Jul 2024</v>
      </c>
      <c r="K815" s="13" t="str">
        <f>TEXT(Table1[[#This Row],[Date]],"[$-en-US]ddd")</f>
        <v>Tue</v>
      </c>
    </row>
    <row r="816" spans="1:11" x14ac:dyDescent="0.25">
      <c r="A816">
        <v>16</v>
      </c>
      <c r="B816" t="s">
        <v>9</v>
      </c>
      <c r="C816">
        <v>32.82</v>
      </c>
      <c r="D816" t="s">
        <v>17</v>
      </c>
      <c r="E816" t="s">
        <v>15</v>
      </c>
      <c r="F816" t="s">
        <v>32</v>
      </c>
      <c r="G816">
        <v>2</v>
      </c>
      <c r="H816">
        <v>7</v>
      </c>
      <c r="I816" s="13">
        <v>45475</v>
      </c>
      <c r="J816" s="13" t="str">
        <f>TEXT(Table1[[#This Row],[Date]],"[$-en-US]mmm yyyy")</f>
        <v>Jul 2024</v>
      </c>
      <c r="K816" s="13" t="str">
        <f>TEXT(Table1[[#This Row],[Date]],"[$-en-US]ddd")</f>
        <v>Tue</v>
      </c>
    </row>
    <row r="817" spans="1:11" x14ac:dyDescent="0.25">
      <c r="A817">
        <v>22</v>
      </c>
      <c r="B817" t="s">
        <v>9</v>
      </c>
      <c r="C817">
        <v>32.82</v>
      </c>
      <c r="D817" t="s">
        <v>17</v>
      </c>
      <c r="E817" t="s">
        <v>18</v>
      </c>
      <c r="F817" t="s">
        <v>32</v>
      </c>
      <c r="G817">
        <v>2</v>
      </c>
      <c r="H817">
        <v>7</v>
      </c>
      <c r="I817" s="13">
        <v>45475</v>
      </c>
      <c r="J817" s="13" t="str">
        <f>TEXT(Table1[[#This Row],[Date]],"[$-en-US]mmm yyyy")</f>
        <v>Jul 2024</v>
      </c>
      <c r="K817" s="13" t="str">
        <f>TEXT(Table1[[#This Row],[Date]],"[$-en-US]ddd")</f>
        <v>Tue</v>
      </c>
    </row>
    <row r="818" spans="1:11" x14ac:dyDescent="0.25">
      <c r="A818">
        <v>13</v>
      </c>
      <c r="B818" t="s">
        <v>9</v>
      </c>
      <c r="C818">
        <v>32.82</v>
      </c>
      <c r="D818" t="s">
        <v>17</v>
      </c>
      <c r="E818" t="s">
        <v>15</v>
      </c>
      <c r="F818" t="s">
        <v>32</v>
      </c>
      <c r="G818">
        <v>3</v>
      </c>
      <c r="H818">
        <v>7</v>
      </c>
      <c r="I818" s="13">
        <v>45476</v>
      </c>
      <c r="J818" s="13" t="str">
        <f>TEXT(Table1[[#This Row],[Date]],"[$-en-US]mmm yyyy")</f>
        <v>Jul 2024</v>
      </c>
      <c r="K818" s="13" t="str">
        <f>TEXT(Table1[[#This Row],[Date]],"[$-en-US]ddd")</f>
        <v>Wed</v>
      </c>
    </row>
    <row r="819" spans="1:11" x14ac:dyDescent="0.25">
      <c r="A819">
        <v>16</v>
      </c>
      <c r="B819" t="s">
        <v>9</v>
      </c>
      <c r="C819">
        <v>37.72</v>
      </c>
      <c r="D819" t="s">
        <v>27</v>
      </c>
      <c r="E819" t="s">
        <v>15</v>
      </c>
      <c r="F819" t="s">
        <v>32</v>
      </c>
      <c r="G819">
        <v>3</v>
      </c>
      <c r="H819">
        <v>7</v>
      </c>
      <c r="I819" s="13">
        <v>45476</v>
      </c>
      <c r="J819" s="13" t="str">
        <f>TEXT(Table1[[#This Row],[Date]],"[$-en-US]mmm yyyy")</f>
        <v>Jul 2024</v>
      </c>
      <c r="K819" s="13" t="str">
        <f>TEXT(Table1[[#This Row],[Date]],"[$-en-US]ddd")</f>
        <v>Wed</v>
      </c>
    </row>
    <row r="820" spans="1:11" x14ac:dyDescent="0.25">
      <c r="A820">
        <v>16</v>
      </c>
      <c r="B820" t="s">
        <v>9</v>
      </c>
      <c r="C820">
        <v>37.72</v>
      </c>
      <c r="D820" t="s">
        <v>27</v>
      </c>
      <c r="E820" t="s">
        <v>15</v>
      </c>
      <c r="F820" t="s">
        <v>32</v>
      </c>
      <c r="G820">
        <v>3</v>
      </c>
      <c r="H820">
        <v>7</v>
      </c>
      <c r="I820" s="13">
        <v>45476</v>
      </c>
      <c r="J820" s="13" t="str">
        <f>TEXT(Table1[[#This Row],[Date]],"[$-en-US]mmm yyyy")</f>
        <v>Jul 2024</v>
      </c>
      <c r="K820" s="13" t="str">
        <f>TEXT(Table1[[#This Row],[Date]],"[$-en-US]ddd")</f>
        <v>Wed</v>
      </c>
    </row>
    <row r="821" spans="1:11" x14ac:dyDescent="0.25">
      <c r="A821">
        <v>16</v>
      </c>
      <c r="B821" t="s">
        <v>9</v>
      </c>
      <c r="C821">
        <v>32.82</v>
      </c>
      <c r="D821" t="s">
        <v>17</v>
      </c>
      <c r="E821" t="s">
        <v>15</v>
      </c>
      <c r="F821" t="s">
        <v>32</v>
      </c>
      <c r="G821">
        <v>3</v>
      </c>
      <c r="H821">
        <v>7</v>
      </c>
      <c r="I821" s="13">
        <v>45476</v>
      </c>
      <c r="J821" s="13" t="str">
        <f>TEXT(Table1[[#This Row],[Date]],"[$-en-US]mmm yyyy")</f>
        <v>Jul 2024</v>
      </c>
      <c r="K821" s="13" t="str">
        <f>TEXT(Table1[[#This Row],[Date]],"[$-en-US]ddd")</f>
        <v>Wed</v>
      </c>
    </row>
    <row r="822" spans="1:11" x14ac:dyDescent="0.25">
      <c r="A822">
        <v>16</v>
      </c>
      <c r="B822" t="s">
        <v>9</v>
      </c>
      <c r="C822">
        <v>32.82</v>
      </c>
      <c r="D822" t="s">
        <v>17</v>
      </c>
      <c r="E822" t="s">
        <v>15</v>
      </c>
      <c r="F822" t="s">
        <v>32</v>
      </c>
      <c r="G822">
        <v>3</v>
      </c>
      <c r="H822">
        <v>7</v>
      </c>
      <c r="I822" s="13">
        <v>45476</v>
      </c>
      <c r="J822" s="13" t="str">
        <f>TEXT(Table1[[#This Row],[Date]],"[$-en-US]mmm yyyy")</f>
        <v>Jul 2024</v>
      </c>
      <c r="K822" s="13" t="str">
        <f>TEXT(Table1[[#This Row],[Date]],"[$-en-US]ddd")</f>
        <v>Wed</v>
      </c>
    </row>
    <row r="823" spans="1:11" x14ac:dyDescent="0.25">
      <c r="A823">
        <v>16</v>
      </c>
      <c r="B823" t="s">
        <v>9</v>
      </c>
      <c r="C823">
        <v>37.72</v>
      </c>
      <c r="D823" t="s">
        <v>10</v>
      </c>
      <c r="E823" t="s">
        <v>15</v>
      </c>
      <c r="F823" t="s">
        <v>32</v>
      </c>
      <c r="G823">
        <v>3</v>
      </c>
      <c r="H823">
        <v>7</v>
      </c>
      <c r="I823" s="13">
        <v>45476</v>
      </c>
      <c r="J823" s="13" t="str">
        <f>TEXT(Table1[[#This Row],[Date]],"[$-en-US]mmm yyyy")</f>
        <v>Jul 2024</v>
      </c>
      <c r="K823" s="13" t="str">
        <f>TEXT(Table1[[#This Row],[Date]],"[$-en-US]ddd")</f>
        <v>Wed</v>
      </c>
    </row>
    <row r="824" spans="1:11" x14ac:dyDescent="0.25">
      <c r="A824">
        <v>16</v>
      </c>
      <c r="B824" t="s">
        <v>9</v>
      </c>
      <c r="C824">
        <v>23.02</v>
      </c>
      <c r="D824" t="s">
        <v>24</v>
      </c>
      <c r="E824" t="s">
        <v>15</v>
      </c>
      <c r="F824" t="s">
        <v>32</v>
      </c>
      <c r="G824">
        <v>3</v>
      </c>
      <c r="H824">
        <v>7</v>
      </c>
      <c r="I824" s="13">
        <v>45476</v>
      </c>
      <c r="J824" s="13" t="str">
        <f>TEXT(Table1[[#This Row],[Date]],"[$-en-US]mmm yyyy")</f>
        <v>Jul 2024</v>
      </c>
      <c r="K824" s="13" t="str">
        <f>TEXT(Table1[[#This Row],[Date]],"[$-en-US]ddd")</f>
        <v>Wed</v>
      </c>
    </row>
    <row r="825" spans="1:11" x14ac:dyDescent="0.25">
      <c r="A825">
        <v>17</v>
      </c>
      <c r="B825" t="s">
        <v>9</v>
      </c>
      <c r="C825">
        <v>37.72</v>
      </c>
      <c r="D825" t="s">
        <v>27</v>
      </c>
      <c r="E825" t="s">
        <v>18</v>
      </c>
      <c r="F825" t="s">
        <v>32</v>
      </c>
      <c r="G825">
        <v>3</v>
      </c>
      <c r="H825">
        <v>7</v>
      </c>
      <c r="I825" s="13">
        <v>45476</v>
      </c>
      <c r="J825" s="13" t="str">
        <f>TEXT(Table1[[#This Row],[Date]],"[$-en-US]mmm yyyy")</f>
        <v>Jul 2024</v>
      </c>
      <c r="K825" s="13" t="str">
        <f>TEXT(Table1[[#This Row],[Date]],"[$-en-US]ddd")</f>
        <v>Wed</v>
      </c>
    </row>
    <row r="826" spans="1:11" x14ac:dyDescent="0.25">
      <c r="A826">
        <v>19</v>
      </c>
      <c r="B826" t="s">
        <v>9</v>
      </c>
      <c r="C826">
        <v>37.72</v>
      </c>
      <c r="D826" t="s">
        <v>10</v>
      </c>
      <c r="E826" t="s">
        <v>18</v>
      </c>
      <c r="F826" t="s">
        <v>32</v>
      </c>
      <c r="G826">
        <v>3</v>
      </c>
      <c r="H826">
        <v>7</v>
      </c>
      <c r="I826" s="13">
        <v>45476</v>
      </c>
      <c r="J826" s="13" t="str">
        <f>TEXT(Table1[[#This Row],[Date]],"[$-en-US]mmm yyyy")</f>
        <v>Jul 2024</v>
      </c>
      <c r="K826" s="13" t="str">
        <f>TEXT(Table1[[#This Row],[Date]],"[$-en-US]ddd")</f>
        <v>Wed</v>
      </c>
    </row>
    <row r="827" spans="1:11" x14ac:dyDescent="0.25">
      <c r="A827">
        <v>10</v>
      </c>
      <c r="B827" t="s">
        <v>9</v>
      </c>
      <c r="C827">
        <v>32.82</v>
      </c>
      <c r="D827" t="s">
        <v>17</v>
      </c>
      <c r="E827" t="s">
        <v>11</v>
      </c>
      <c r="F827" t="s">
        <v>32</v>
      </c>
      <c r="G827">
        <v>4</v>
      </c>
      <c r="H827">
        <v>7</v>
      </c>
      <c r="I827" s="13">
        <v>45477</v>
      </c>
      <c r="J827" s="13" t="str">
        <f>TEXT(Table1[[#This Row],[Date]],"[$-en-US]mmm yyyy")</f>
        <v>Jul 2024</v>
      </c>
      <c r="K827" s="13" t="str">
        <f>TEXT(Table1[[#This Row],[Date]],"[$-en-US]ddd")</f>
        <v>Thu</v>
      </c>
    </row>
    <row r="828" spans="1:11" x14ac:dyDescent="0.25">
      <c r="A828">
        <v>10</v>
      </c>
      <c r="B828" t="s">
        <v>9</v>
      </c>
      <c r="C828">
        <v>27.92</v>
      </c>
      <c r="D828" t="s">
        <v>16</v>
      </c>
      <c r="E828" t="s">
        <v>11</v>
      </c>
      <c r="F828" t="s">
        <v>32</v>
      </c>
      <c r="G828">
        <v>4</v>
      </c>
      <c r="H828">
        <v>7</v>
      </c>
      <c r="I828" s="13">
        <v>45477</v>
      </c>
      <c r="J828" s="13" t="str">
        <f>TEXT(Table1[[#This Row],[Date]],"[$-en-US]mmm yyyy")</f>
        <v>Jul 2024</v>
      </c>
      <c r="K828" s="13" t="str">
        <f>TEXT(Table1[[#This Row],[Date]],"[$-en-US]ddd")</f>
        <v>Thu</v>
      </c>
    </row>
    <row r="829" spans="1:11" x14ac:dyDescent="0.25">
      <c r="A829">
        <v>12</v>
      </c>
      <c r="B829" t="s">
        <v>9</v>
      </c>
      <c r="C829">
        <v>37.72</v>
      </c>
      <c r="D829" t="s">
        <v>19</v>
      </c>
      <c r="E829" t="s">
        <v>15</v>
      </c>
      <c r="F829" t="s">
        <v>32</v>
      </c>
      <c r="G829">
        <v>5</v>
      </c>
      <c r="H829">
        <v>7</v>
      </c>
      <c r="I829" s="13">
        <v>45478</v>
      </c>
      <c r="J829" s="13" t="str">
        <f>TEXT(Table1[[#This Row],[Date]],"[$-en-US]mmm yyyy")</f>
        <v>Jul 2024</v>
      </c>
      <c r="K829" s="13" t="str">
        <f>TEXT(Table1[[#This Row],[Date]],"[$-en-US]ddd")</f>
        <v>Fri</v>
      </c>
    </row>
    <row r="830" spans="1:11" x14ac:dyDescent="0.25">
      <c r="A830">
        <v>13</v>
      </c>
      <c r="B830" t="s">
        <v>9</v>
      </c>
      <c r="C830">
        <v>32.82</v>
      </c>
      <c r="D830" t="s">
        <v>17</v>
      </c>
      <c r="E830" t="s">
        <v>15</v>
      </c>
      <c r="F830" t="s">
        <v>32</v>
      </c>
      <c r="G830">
        <v>5</v>
      </c>
      <c r="H830">
        <v>7</v>
      </c>
      <c r="I830" s="13">
        <v>45478</v>
      </c>
      <c r="J830" s="13" t="str">
        <f>TEXT(Table1[[#This Row],[Date]],"[$-en-US]mmm yyyy")</f>
        <v>Jul 2024</v>
      </c>
      <c r="K830" s="13" t="str">
        <f>TEXT(Table1[[#This Row],[Date]],"[$-en-US]ddd")</f>
        <v>Fri</v>
      </c>
    </row>
    <row r="831" spans="1:11" x14ac:dyDescent="0.25">
      <c r="A831">
        <v>13</v>
      </c>
      <c r="B831" t="s">
        <v>9</v>
      </c>
      <c r="C831">
        <v>32.82</v>
      </c>
      <c r="D831" t="s">
        <v>17</v>
      </c>
      <c r="E831" t="s">
        <v>15</v>
      </c>
      <c r="F831" t="s">
        <v>32</v>
      </c>
      <c r="G831">
        <v>5</v>
      </c>
      <c r="H831">
        <v>7</v>
      </c>
      <c r="I831" s="13">
        <v>45478</v>
      </c>
      <c r="J831" s="13" t="str">
        <f>TEXT(Table1[[#This Row],[Date]],"[$-en-US]mmm yyyy")</f>
        <v>Jul 2024</v>
      </c>
      <c r="K831" s="13" t="str">
        <f>TEXT(Table1[[#This Row],[Date]],"[$-en-US]ddd")</f>
        <v>Fri</v>
      </c>
    </row>
    <row r="832" spans="1:11" x14ac:dyDescent="0.25">
      <c r="A832">
        <v>18</v>
      </c>
      <c r="B832" t="s">
        <v>9</v>
      </c>
      <c r="C832">
        <v>23.02</v>
      </c>
      <c r="D832" t="s">
        <v>24</v>
      </c>
      <c r="E832" t="s">
        <v>18</v>
      </c>
      <c r="F832" t="s">
        <v>32</v>
      </c>
      <c r="G832">
        <v>5</v>
      </c>
      <c r="H832">
        <v>7</v>
      </c>
      <c r="I832" s="13">
        <v>45478</v>
      </c>
      <c r="J832" s="13" t="str">
        <f>TEXT(Table1[[#This Row],[Date]],"[$-en-US]mmm yyyy")</f>
        <v>Jul 2024</v>
      </c>
      <c r="K832" s="13" t="str">
        <f>TEXT(Table1[[#This Row],[Date]],"[$-en-US]ddd")</f>
        <v>Fri</v>
      </c>
    </row>
    <row r="833" spans="1:11" x14ac:dyDescent="0.25">
      <c r="A833">
        <v>19</v>
      </c>
      <c r="B833" t="s">
        <v>9</v>
      </c>
      <c r="C833">
        <v>27.92</v>
      </c>
      <c r="D833" t="s">
        <v>16</v>
      </c>
      <c r="E833" t="s">
        <v>18</v>
      </c>
      <c r="F833" t="s">
        <v>32</v>
      </c>
      <c r="G833">
        <v>5</v>
      </c>
      <c r="H833">
        <v>7</v>
      </c>
      <c r="I833" s="13">
        <v>45478</v>
      </c>
      <c r="J833" s="13" t="str">
        <f>TEXT(Table1[[#This Row],[Date]],"[$-en-US]mmm yyyy")</f>
        <v>Jul 2024</v>
      </c>
      <c r="K833" s="13" t="str">
        <f>TEXT(Table1[[#This Row],[Date]],"[$-en-US]ddd")</f>
        <v>Fri</v>
      </c>
    </row>
    <row r="834" spans="1:11" x14ac:dyDescent="0.25">
      <c r="A834">
        <v>22</v>
      </c>
      <c r="B834" t="s">
        <v>9</v>
      </c>
      <c r="C834">
        <v>23.02</v>
      </c>
      <c r="D834" t="s">
        <v>24</v>
      </c>
      <c r="E834" t="s">
        <v>18</v>
      </c>
      <c r="F834" t="s">
        <v>32</v>
      </c>
      <c r="G834">
        <v>5</v>
      </c>
      <c r="H834">
        <v>7</v>
      </c>
      <c r="I834" s="13">
        <v>45478</v>
      </c>
      <c r="J834" s="13" t="str">
        <f>TEXT(Table1[[#This Row],[Date]],"[$-en-US]mmm yyyy")</f>
        <v>Jul 2024</v>
      </c>
      <c r="K834" s="13" t="str">
        <f>TEXT(Table1[[#This Row],[Date]],"[$-en-US]ddd")</f>
        <v>Fri</v>
      </c>
    </row>
    <row r="835" spans="1:11" x14ac:dyDescent="0.25">
      <c r="A835">
        <v>22</v>
      </c>
      <c r="B835" t="s">
        <v>9</v>
      </c>
      <c r="C835">
        <v>27.92</v>
      </c>
      <c r="D835" t="s">
        <v>16</v>
      </c>
      <c r="E835" t="s">
        <v>18</v>
      </c>
      <c r="F835" t="s">
        <v>32</v>
      </c>
      <c r="G835">
        <v>5</v>
      </c>
      <c r="H835">
        <v>7</v>
      </c>
      <c r="I835" s="13">
        <v>45478</v>
      </c>
      <c r="J835" s="13" t="str">
        <f>TEXT(Table1[[#This Row],[Date]],"[$-en-US]mmm yyyy")</f>
        <v>Jul 2024</v>
      </c>
      <c r="K835" s="13" t="str">
        <f>TEXT(Table1[[#This Row],[Date]],"[$-en-US]ddd")</f>
        <v>Fri</v>
      </c>
    </row>
    <row r="836" spans="1:11" x14ac:dyDescent="0.25">
      <c r="A836">
        <v>22</v>
      </c>
      <c r="B836" t="s">
        <v>9</v>
      </c>
      <c r="C836">
        <v>27.92</v>
      </c>
      <c r="D836" t="s">
        <v>16</v>
      </c>
      <c r="E836" t="s">
        <v>18</v>
      </c>
      <c r="F836" t="s">
        <v>32</v>
      </c>
      <c r="G836">
        <v>5</v>
      </c>
      <c r="H836">
        <v>7</v>
      </c>
      <c r="I836" s="13">
        <v>45478</v>
      </c>
      <c r="J836" s="13" t="str">
        <f>TEXT(Table1[[#This Row],[Date]],"[$-en-US]mmm yyyy")</f>
        <v>Jul 2024</v>
      </c>
      <c r="K836" s="13" t="str">
        <f>TEXT(Table1[[#This Row],[Date]],"[$-en-US]ddd")</f>
        <v>Fri</v>
      </c>
    </row>
    <row r="837" spans="1:11" x14ac:dyDescent="0.25">
      <c r="A837">
        <v>22</v>
      </c>
      <c r="B837" t="s">
        <v>9</v>
      </c>
      <c r="C837">
        <v>37.72</v>
      </c>
      <c r="D837" t="s">
        <v>27</v>
      </c>
      <c r="E837" t="s">
        <v>18</v>
      </c>
      <c r="F837" t="s">
        <v>32</v>
      </c>
      <c r="G837">
        <v>5</v>
      </c>
      <c r="H837">
        <v>7</v>
      </c>
      <c r="I837" s="13">
        <v>45478</v>
      </c>
      <c r="J837" s="13" t="str">
        <f>TEXT(Table1[[#This Row],[Date]],"[$-en-US]mmm yyyy")</f>
        <v>Jul 2024</v>
      </c>
      <c r="K837" s="13" t="str">
        <f>TEXT(Table1[[#This Row],[Date]],"[$-en-US]ddd")</f>
        <v>Fri</v>
      </c>
    </row>
    <row r="838" spans="1:11" x14ac:dyDescent="0.25">
      <c r="A838">
        <v>22</v>
      </c>
      <c r="B838" t="s">
        <v>9</v>
      </c>
      <c r="C838">
        <v>32.82</v>
      </c>
      <c r="D838" t="s">
        <v>17</v>
      </c>
      <c r="E838" t="s">
        <v>18</v>
      </c>
      <c r="F838" t="s">
        <v>32</v>
      </c>
      <c r="G838">
        <v>5</v>
      </c>
      <c r="H838">
        <v>7</v>
      </c>
      <c r="I838" s="13">
        <v>45478</v>
      </c>
      <c r="J838" s="13" t="str">
        <f>TEXT(Table1[[#This Row],[Date]],"[$-en-US]mmm yyyy")</f>
        <v>Jul 2024</v>
      </c>
      <c r="K838" s="13" t="str">
        <f>TEXT(Table1[[#This Row],[Date]],"[$-en-US]ddd")</f>
        <v>Fri</v>
      </c>
    </row>
    <row r="839" spans="1:11" x14ac:dyDescent="0.25">
      <c r="A839">
        <v>10</v>
      </c>
      <c r="B839" t="s">
        <v>9</v>
      </c>
      <c r="C839">
        <v>37.72</v>
      </c>
      <c r="D839" t="s">
        <v>10</v>
      </c>
      <c r="E839" t="s">
        <v>11</v>
      </c>
      <c r="F839" t="s">
        <v>32</v>
      </c>
      <c r="G839">
        <v>6</v>
      </c>
      <c r="H839">
        <v>7</v>
      </c>
      <c r="I839" s="13">
        <v>45479</v>
      </c>
      <c r="J839" s="13" t="str">
        <f>TEXT(Table1[[#This Row],[Date]],"[$-en-US]mmm yyyy")</f>
        <v>Jul 2024</v>
      </c>
      <c r="K839" s="13" t="str">
        <f>TEXT(Table1[[#This Row],[Date]],"[$-en-US]ddd")</f>
        <v>Sat</v>
      </c>
    </row>
    <row r="840" spans="1:11" x14ac:dyDescent="0.25">
      <c r="A840">
        <v>17</v>
      </c>
      <c r="B840" t="s">
        <v>9</v>
      </c>
      <c r="C840">
        <v>32.82</v>
      </c>
      <c r="D840" t="s">
        <v>10</v>
      </c>
      <c r="E840" t="s">
        <v>18</v>
      </c>
      <c r="F840" t="s">
        <v>32</v>
      </c>
      <c r="G840">
        <v>6</v>
      </c>
      <c r="H840">
        <v>7</v>
      </c>
      <c r="I840" s="13">
        <v>45479</v>
      </c>
      <c r="J840" s="13" t="str">
        <f>TEXT(Table1[[#This Row],[Date]],"[$-en-US]mmm yyyy")</f>
        <v>Jul 2024</v>
      </c>
      <c r="K840" s="13" t="str">
        <f>TEXT(Table1[[#This Row],[Date]],"[$-en-US]ddd")</f>
        <v>Sat</v>
      </c>
    </row>
    <row r="841" spans="1:11" x14ac:dyDescent="0.25">
      <c r="A841">
        <v>17</v>
      </c>
      <c r="B841" t="s">
        <v>9</v>
      </c>
      <c r="C841">
        <v>32.82</v>
      </c>
      <c r="D841" t="s">
        <v>10</v>
      </c>
      <c r="E841" t="s">
        <v>18</v>
      </c>
      <c r="F841" t="s">
        <v>32</v>
      </c>
      <c r="G841">
        <v>6</v>
      </c>
      <c r="H841">
        <v>7</v>
      </c>
      <c r="I841" s="13">
        <v>45479</v>
      </c>
      <c r="J841" s="13" t="str">
        <f>TEXT(Table1[[#This Row],[Date]],"[$-en-US]mmm yyyy")</f>
        <v>Jul 2024</v>
      </c>
      <c r="K841" s="13" t="str">
        <f>TEXT(Table1[[#This Row],[Date]],"[$-en-US]ddd")</f>
        <v>Sat</v>
      </c>
    </row>
    <row r="842" spans="1:11" x14ac:dyDescent="0.25">
      <c r="A842">
        <v>19</v>
      </c>
      <c r="B842" t="s">
        <v>9</v>
      </c>
      <c r="C842">
        <v>32.82</v>
      </c>
      <c r="D842" t="s">
        <v>10</v>
      </c>
      <c r="E842" t="s">
        <v>18</v>
      </c>
      <c r="F842" t="s">
        <v>32</v>
      </c>
      <c r="G842">
        <v>6</v>
      </c>
      <c r="H842">
        <v>7</v>
      </c>
      <c r="I842" s="13">
        <v>45479</v>
      </c>
      <c r="J842" s="13" t="str">
        <f>TEXT(Table1[[#This Row],[Date]],"[$-en-US]mmm yyyy")</f>
        <v>Jul 2024</v>
      </c>
      <c r="K842" s="13" t="str">
        <f>TEXT(Table1[[#This Row],[Date]],"[$-en-US]ddd")</f>
        <v>Sat</v>
      </c>
    </row>
    <row r="843" spans="1:11" x14ac:dyDescent="0.25">
      <c r="A843">
        <v>19</v>
      </c>
      <c r="B843" t="s">
        <v>9</v>
      </c>
      <c r="C843">
        <v>27.92</v>
      </c>
      <c r="D843" t="s">
        <v>17</v>
      </c>
      <c r="E843" t="s">
        <v>18</v>
      </c>
      <c r="F843" t="s">
        <v>32</v>
      </c>
      <c r="G843">
        <v>6</v>
      </c>
      <c r="H843">
        <v>7</v>
      </c>
      <c r="I843" s="13">
        <v>45479</v>
      </c>
      <c r="J843" s="13" t="str">
        <f>TEXT(Table1[[#This Row],[Date]],"[$-en-US]mmm yyyy")</f>
        <v>Jul 2024</v>
      </c>
      <c r="K843" s="13" t="str">
        <f>TEXT(Table1[[#This Row],[Date]],"[$-en-US]ddd")</f>
        <v>Sat</v>
      </c>
    </row>
    <row r="844" spans="1:11" x14ac:dyDescent="0.25">
      <c r="A844">
        <v>9</v>
      </c>
      <c r="B844" t="s">
        <v>9</v>
      </c>
      <c r="C844">
        <v>32.82</v>
      </c>
      <c r="D844" t="s">
        <v>27</v>
      </c>
      <c r="E844" t="s">
        <v>11</v>
      </c>
      <c r="F844" t="s">
        <v>32</v>
      </c>
      <c r="G844">
        <v>7</v>
      </c>
      <c r="H844">
        <v>7</v>
      </c>
      <c r="I844" s="13">
        <v>45480</v>
      </c>
      <c r="J844" s="13" t="str">
        <f>TEXT(Table1[[#This Row],[Date]],"[$-en-US]mmm yyyy")</f>
        <v>Jul 2024</v>
      </c>
      <c r="K844" s="13" t="str">
        <f>TEXT(Table1[[#This Row],[Date]],"[$-en-US]ddd")</f>
        <v>Sun</v>
      </c>
    </row>
    <row r="845" spans="1:11" x14ac:dyDescent="0.25">
      <c r="A845">
        <v>9</v>
      </c>
      <c r="B845" t="s">
        <v>9</v>
      </c>
      <c r="C845">
        <v>27.92</v>
      </c>
      <c r="D845" t="s">
        <v>17</v>
      </c>
      <c r="E845" t="s">
        <v>11</v>
      </c>
      <c r="F845" t="s">
        <v>32</v>
      </c>
      <c r="G845">
        <v>7</v>
      </c>
      <c r="H845">
        <v>7</v>
      </c>
      <c r="I845" s="13">
        <v>45480</v>
      </c>
      <c r="J845" s="13" t="str">
        <f>TEXT(Table1[[#This Row],[Date]],"[$-en-US]mmm yyyy")</f>
        <v>Jul 2024</v>
      </c>
      <c r="K845" s="13" t="str">
        <f>TEXT(Table1[[#This Row],[Date]],"[$-en-US]ddd")</f>
        <v>Sun</v>
      </c>
    </row>
    <row r="846" spans="1:11" x14ac:dyDescent="0.25">
      <c r="A846">
        <v>9</v>
      </c>
      <c r="B846" t="s">
        <v>9</v>
      </c>
      <c r="C846">
        <v>27.92</v>
      </c>
      <c r="D846" t="s">
        <v>17</v>
      </c>
      <c r="E846" t="s">
        <v>11</v>
      </c>
      <c r="F846" t="s">
        <v>32</v>
      </c>
      <c r="G846">
        <v>7</v>
      </c>
      <c r="H846">
        <v>7</v>
      </c>
      <c r="I846" s="13">
        <v>45480</v>
      </c>
      <c r="J846" s="13" t="str">
        <f>TEXT(Table1[[#This Row],[Date]],"[$-en-US]mmm yyyy")</f>
        <v>Jul 2024</v>
      </c>
      <c r="K846" s="13" t="str">
        <f>TEXT(Table1[[#This Row],[Date]],"[$-en-US]ddd")</f>
        <v>Sun</v>
      </c>
    </row>
    <row r="847" spans="1:11" x14ac:dyDescent="0.25">
      <c r="A847">
        <v>9</v>
      </c>
      <c r="B847" t="s">
        <v>9</v>
      </c>
      <c r="C847">
        <v>32.82</v>
      </c>
      <c r="D847" t="s">
        <v>27</v>
      </c>
      <c r="E847" t="s">
        <v>11</v>
      </c>
      <c r="F847" t="s">
        <v>32</v>
      </c>
      <c r="G847">
        <v>7</v>
      </c>
      <c r="H847">
        <v>7</v>
      </c>
      <c r="I847" s="13">
        <v>45480</v>
      </c>
      <c r="J847" s="13" t="str">
        <f>TEXT(Table1[[#This Row],[Date]],"[$-en-US]mmm yyyy")</f>
        <v>Jul 2024</v>
      </c>
      <c r="K847" s="13" t="str">
        <f>TEXT(Table1[[#This Row],[Date]],"[$-en-US]ddd")</f>
        <v>Sun</v>
      </c>
    </row>
    <row r="848" spans="1:11" x14ac:dyDescent="0.25">
      <c r="A848">
        <v>9</v>
      </c>
      <c r="B848" t="s">
        <v>9</v>
      </c>
      <c r="C848">
        <v>32.82</v>
      </c>
      <c r="D848" t="s">
        <v>27</v>
      </c>
      <c r="E848" t="s">
        <v>11</v>
      </c>
      <c r="F848" t="s">
        <v>32</v>
      </c>
      <c r="G848">
        <v>7</v>
      </c>
      <c r="H848">
        <v>7</v>
      </c>
      <c r="I848" s="13">
        <v>45480</v>
      </c>
      <c r="J848" s="13" t="str">
        <f>TEXT(Table1[[#This Row],[Date]],"[$-en-US]mmm yyyy")</f>
        <v>Jul 2024</v>
      </c>
      <c r="K848" s="13" t="str">
        <f>TEXT(Table1[[#This Row],[Date]],"[$-en-US]ddd")</f>
        <v>Sun</v>
      </c>
    </row>
    <row r="849" spans="1:11" x14ac:dyDescent="0.25">
      <c r="A849">
        <v>14</v>
      </c>
      <c r="B849" t="s">
        <v>9</v>
      </c>
      <c r="C849">
        <v>32.82</v>
      </c>
      <c r="D849" t="s">
        <v>14</v>
      </c>
      <c r="E849" t="s">
        <v>15</v>
      </c>
      <c r="F849" t="s">
        <v>32</v>
      </c>
      <c r="G849">
        <v>7</v>
      </c>
      <c r="H849">
        <v>7</v>
      </c>
      <c r="I849" s="13">
        <v>45480</v>
      </c>
      <c r="J849" s="13" t="str">
        <f>TEXT(Table1[[#This Row],[Date]],"[$-en-US]mmm yyyy")</f>
        <v>Jul 2024</v>
      </c>
      <c r="K849" s="13" t="str">
        <f>TEXT(Table1[[#This Row],[Date]],"[$-en-US]ddd")</f>
        <v>Sun</v>
      </c>
    </row>
    <row r="850" spans="1:11" x14ac:dyDescent="0.25">
      <c r="A850">
        <v>14</v>
      </c>
      <c r="B850" t="s">
        <v>9</v>
      </c>
      <c r="C850">
        <v>32.82</v>
      </c>
      <c r="D850" t="s">
        <v>19</v>
      </c>
      <c r="E850" t="s">
        <v>15</v>
      </c>
      <c r="F850" t="s">
        <v>32</v>
      </c>
      <c r="G850">
        <v>7</v>
      </c>
      <c r="H850">
        <v>7</v>
      </c>
      <c r="I850" s="13">
        <v>45480</v>
      </c>
      <c r="J850" s="13" t="str">
        <f>TEXT(Table1[[#This Row],[Date]],"[$-en-US]mmm yyyy")</f>
        <v>Jul 2024</v>
      </c>
      <c r="K850" s="13" t="str">
        <f>TEXT(Table1[[#This Row],[Date]],"[$-en-US]ddd")</f>
        <v>Sun</v>
      </c>
    </row>
    <row r="851" spans="1:11" x14ac:dyDescent="0.25">
      <c r="A851">
        <v>17</v>
      </c>
      <c r="B851" t="s">
        <v>9</v>
      </c>
      <c r="C851">
        <v>32.82</v>
      </c>
      <c r="D851" t="s">
        <v>10</v>
      </c>
      <c r="E851" t="s">
        <v>18</v>
      </c>
      <c r="F851" t="s">
        <v>32</v>
      </c>
      <c r="G851">
        <v>7</v>
      </c>
      <c r="H851">
        <v>7</v>
      </c>
      <c r="I851" s="13">
        <v>45480</v>
      </c>
      <c r="J851" s="13" t="str">
        <f>TEXT(Table1[[#This Row],[Date]],"[$-en-US]mmm yyyy")</f>
        <v>Jul 2024</v>
      </c>
      <c r="K851" s="13" t="str">
        <f>TEXT(Table1[[#This Row],[Date]],"[$-en-US]ddd")</f>
        <v>Sun</v>
      </c>
    </row>
    <row r="852" spans="1:11" x14ac:dyDescent="0.25">
      <c r="A852">
        <v>19</v>
      </c>
      <c r="B852" t="s">
        <v>9</v>
      </c>
      <c r="C852">
        <v>32.82</v>
      </c>
      <c r="D852" t="s">
        <v>27</v>
      </c>
      <c r="E852" t="s">
        <v>18</v>
      </c>
      <c r="F852" t="s">
        <v>32</v>
      </c>
      <c r="G852">
        <v>7</v>
      </c>
      <c r="H852">
        <v>7</v>
      </c>
      <c r="I852" s="13">
        <v>45480</v>
      </c>
      <c r="J852" s="13" t="str">
        <f>TEXT(Table1[[#This Row],[Date]],"[$-en-US]mmm yyyy")</f>
        <v>Jul 2024</v>
      </c>
      <c r="K852" s="13" t="str">
        <f>TEXT(Table1[[#This Row],[Date]],"[$-en-US]ddd")</f>
        <v>Sun</v>
      </c>
    </row>
    <row r="853" spans="1:11" x14ac:dyDescent="0.25">
      <c r="A853">
        <v>20</v>
      </c>
      <c r="B853" t="s">
        <v>9</v>
      </c>
      <c r="C853">
        <v>32.82</v>
      </c>
      <c r="D853" t="s">
        <v>14</v>
      </c>
      <c r="E853" t="s">
        <v>18</v>
      </c>
      <c r="F853" t="s">
        <v>32</v>
      </c>
      <c r="G853">
        <v>7</v>
      </c>
      <c r="H853">
        <v>7</v>
      </c>
      <c r="I853" s="13">
        <v>45480</v>
      </c>
      <c r="J853" s="13" t="str">
        <f>TEXT(Table1[[#This Row],[Date]],"[$-en-US]mmm yyyy")</f>
        <v>Jul 2024</v>
      </c>
      <c r="K853" s="13" t="str">
        <f>TEXT(Table1[[#This Row],[Date]],"[$-en-US]ddd")</f>
        <v>Sun</v>
      </c>
    </row>
    <row r="854" spans="1:11" x14ac:dyDescent="0.25">
      <c r="A854">
        <v>22</v>
      </c>
      <c r="B854" t="s">
        <v>9</v>
      </c>
      <c r="C854">
        <v>27.92</v>
      </c>
      <c r="D854" t="s">
        <v>17</v>
      </c>
      <c r="E854" t="s">
        <v>18</v>
      </c>
      <c r="F854" t="s">
        <v>32</v>
      </c>
      <c r="G854">
        <v>7</v>
      </c>
      <c r="H854">
        <v>7</v>
      </c>
      <c r="I854" s="13">
        <v>45480</v>
      </c>
      <c r="J854" s="13" t="str">
        <f>TEXT(Table1[[#This Row],[Date]],"[$-en-US]mmm yyyy")</f>
        <v>Jul 2024</v>
      </c>
      <c r="K854" s="13" t="str">
        <f>TEXT(Table1[[#This Row],[Date]],"[$-en-US]ddd")</f>
        <v>Sun</v>
      </c>
    </row>
    <row r="855" spans="1:11" x14ac:dyDescent="0.25">
      <c r="A855">
        <v>7</v>
      </c>
      <c r="B855" t="s">
        <v>9</v>
      </c>
      <c r="C855">
        <v>32.82</v>
      </c>
      <c r="D855" t="s">
        <v>10</v>
      </c>
      <c r="E855" t="s">
        <v>11</v>
      </c>
      <c r="F855" t="s">
        <v>32</v>
      </c>
      <c r="G855">
        <v>1</v>
      </c>
      <c r="H855">
        <v>7</v>
      </c>
      <c r="I855" s="13">
        <v>45481</v>
      </c>
      <c r="J855" s="13" t="str">
        <f>TEXT(Table1[[#This Row],[Date]],"[$-en-US]mmm yyyy")</f>
        <v>Jul 2024</v>
      </c>
      <c r="K855" s="13" t="str">
        <f>TEXT(Table1[[#This Row],[Date]],"[$-en-US]ddd")</f>
        <v>Mon</v>
      </c>
    </row>
    <row r="856" spans="1:11" x14ac:dyDescent="0.25">
      <c r="A856">
        <v>12</v>
      </c>
      <c r="B856" t="s">
        <v>9</v>
      </c>
      <c r="C856">
        <v>23.02</v>
      </c>
      <c r="D856" t="s">
        <v>16</v>
      </c>
      <c r="E856" t="s">
        <v>15</v>
      </c>
      <c r="F856" t="s">
        <v>32</v>
      </c>
      <c r="G856">
        <v>1</v>
      </c>
      <c r="H856">
        <v>7</v>
      </c>
      <c r="I856" s="13">
        <v>45481</v>
      </c>
      <c r="J856" s="13" t="str">
        <f>TEXT(Table1[[#This Row],[Date]],"[$-en-US]mmm yyyy")</f>
        <v>Jul 2024</v>
      </c>
      <c r="K856" s="13" t="str">
        <f>TEXT(Table1[[#This Row],[Date]],"[$-en-US]ddd")</f>
        <v>Mon</v>
      </c>
    </row>
    <row r="857" spans="1:11" x14ac:dyDescent="0.25">
      <c r="A857">
        <v>14</v>
      </c>
      <c r="B857" t="s">
        <v>9</v>
      </c>
      <c r="C857">
        <v>23.02</v>
      </c>
      <c r="D857" t="s">
        <v>16</v>
      </c>
      <c r="E857" t="s">
        <v>15</v>
      </c>
      <c r="F857" t="s">
        <v>32</v>
      </c>
      <c r="G857">
        <v>1</v>
      </c>
      <c r="H857">
        <v>7</v>
      </c>
      <c r="I857" s="13">
        <v>45481</v>
      </c>
      <c r="J857" s="13" t="str">
        <f>TEXT(Table1[[#This Row],[Date]],"[$-en-US]mmm yyyy")</f>
        <v>Jul 2024</v>
      </c>
      <c r="K857" s="13" t="str">
        <f>TEXT(Table1[[#This Row],[Date]],"[$-en-US]ddd")</f>
        <v>Mon</v>
      </c>
    </row>
    <row r="858" spans="1:11" x14ac:dyDescent="0.25">
      <c r="A858">
        <v>19</v>
      </c>
      <c r="B858" t="s">
        <v>9</v>
      </c>
      <c r="C858">
        <v>27.92</v>
      </c>
      <c r="D858" t="s">
        <v>17</v>
      </c>
      <c r="E858" t="s">
        <v>18</v>
      </c>
      <c r="F858" t="s">
        <v>32</v>
      </c>
      <c r="G858">
        <v>1</v>
      </c>
      <c r="H858">
        <v>7</v>
      </c>
      <c r="I858" s="13">
        <v>45481</v>
      </c>
      <c r="J858" s="13" t="str">
        <f>TEXT(Table1[[#This Row],[Date]],"[$-en-US]mmm yyyy")</f>
        <v>Jul 2024</v>
      </c>
      <c r="K858" s="13" t="str">
        <f>TEXT(Table1[[#This Row],[Date]],"[$-en-US]ddd")</f>
        <v>Mon</v>
      </c>
    </row>
    <row r="859" spans="1:11" x14ac:dyDescent="0.25">
      <c r="A859">
        <v>22</v>
      </c>
      <c r="B859" t="s">
        <v>9</v>
      </c>
      <c r="C859">
        <v>32.82</v>
      </c>
      <c r="D859" t="s">
        <v>10</v>
      </c>
      <c r="E859" t="s">
        <v>18</v>
      </c>
      <c r="F859" t="s">
        <v>32</v>
      </c>
      <c r="G859">
        <v>1</v>
      </c>
      <c r="H859">
        <v>7</v>
      </c>
      <c r="I859" s="13">
        <v>45481</v>
      </c>
      <c r="J859" s="13" t="str">
        <f>TEXT(Table1[[#This Row],[Date]],"[$-en-US]mmm yyyy")</f>
        <v>Jul 2024</v>
      </c>
      <c r="K859" s="13" t="str">
        <f>TEXT(Table1[[#This Row],[Date]],"[$-en-US]ddd")</f>
        <v>Mon</v>
      </c>
    </row>
    <row r="860" spans="1:11" x14ac:dyDescent="0.25">
      <c r="A860">
        <v>10</v>
      </c>
      <c r="B860" t="s">
        <v>9</v>
      </c>
      <c r="C860">
        <v>27.92</v>
      </c>
      <c r="D860" t="s">
        <v>17</v>
      </c>
      <c r="E860" t="s">
        <v>11</v>
      </c>
      <c r="F860" t="s">
        <v>32</v>
      </c>
      <c r="G860">
        <v>2</v>
      </c>
      <c r="H860">
        <v>7</v>
      </c>
      <c r="I860" s="13">
        <v>45482</v>
      </c>
      <c r="J860" s="13" t="str">
        <f>TEXT(Table1[[#This Row],[Date]],"[$-en-US]mmm yyyy")</f>
        <v>Jul 2024</v>
      </c>
      <c r="K860" s="13" t="str">
        <f>TEXT(Table1[[#This Row],[Date]],"[$-en-US]ddd")</f>
        <v>Tue</v>
      </c>
    </row>
    <row r="861" spans="1:11" x14ac:dyDescent="0.25">
      <c r="A861">
        <v>10</v>
      </c>
      <c r="B861" t="s">
        <v>9</v>
      </c>
      <c r="C861">
        <v>27.92</v>
      </c>
      <c r="D861" t="s">
        <v>17</v>
      </c>
      <c r="E861" t="s">
        <v>11</v>
      </c>
      <c r="F861" t="s">
        <v>32</v>
      </c>
      <c r="G861">
        <v>2</v>
      </c>
      <c r="H861">
        <v>7</v>
      </c>
      <c r="I861" s="13">
        <v>45482</v>
      </c>
      <c r="J861" s="13" t="str">
        <f>TEXT(Table1[[#This Row],[Date]],"[$-en-US]mmm yyyy")</f>
        <v>Jul 2024</v>
      </c>
      <c r="K861" s="13" t="str">
        <f>TEXT(Table1[[#This Row],[Date]],"[$-en-US]ddd")</f>
        <v>Tue</v>
      </c>
    </row>
    <row r="862" spans="1:11" x14ac:dyDescent="0.25">
      <c r="A862">
        <v>11</v>
      </c>
      <c r="B862" t="s">
        <v>9</v>
      </c>
      <c r="C862">
        <v>27.92</v>
      </c>
      <c r="D862" t="s">
        <v>17</v>
      </c>
      <c r="E862" t="s">
        <v>11</v>
      </c>
      <c r="F862" t="s">
        <v>32</v>
      </c>
      <c r="G862">
        <v>2</v>
      </c>
      <c r="H862">
        <v>7</v>
      </c>
      <c r="I862" s="13">
        <v>45482</v>
      </c>
      <c r="J862" s="13" t="str">
        <f>TEXT(Table1[[#This Row],[Date]],"[$-en-US]mmm yyyy")</f>
        <v>Jul 2024</v>
      </c>
      <c r="K862" s="13" t="str">
        <f>TEXT(Table1[[#This Row],[Date]],"[$-en-US]ddd")</f>
        <v>Tue</v>
      </c>
    </row>
    <row r="863" spans="1:11" x14ac:dyDescent="0.25">
      <c r="A863">
        <v>11</v>
      </c>
      <c r="B863" t="s">
        <v>9</v>
      </c>
      <c r="C863">
        <v>32.82</v>
      </c>
      <c r="D863" t="s">
        <v>27</v>
      </c>
      <c r="E863" t="s">
        <v>11</v>
      </c>
      <c r="F863" t="s">
        <v>32</v>
      </c>
      <c r="G863">
        <v>2</v>
      </c>
      <c r="H863">
        <v>7</v>
      </c>
      <c r="I863" s="13">
        <v>45482</v>
      </c>
      <c r="J863" s="13" t="str">
        <f>TEXT(Table1[[#This Row],[Date]],"[$-en-US]mmm yyyy")</f>
        <v>Jul 2024</v>
      </c>
      <c r="K863" s="13" t="str">
        <f>TEXT(Table1[[#This Row],[Date]],"[$-en-US]ddd")</f>
        <v>Tue</v>
      </c>
    </row>
    <row r="864" spans="1:11" x14ac:dyDescent="0.25">
      <c r="A864">
        <v>16</v>
      </c>
      <c r="B864" t="s">
        <v>9</v>
      </c>
      <c r="C864">
        <v>27.92</v>
      </c>
      <c r="D864" t="s">
        <v>17</v>
      </c>
      <c r="E864" t="s">
        <v>15</v>
      </c>
      <c r="F864" t="s">
        <v>32</v>
      </c>
      <c r="G864">
        <v>2</v>
      </c>
      <c r="H864">
        <v>7</v>
      </c>
      <c r="I864" s="13">
        <v>45482</v>
      </c>
      <c r="J864" s="13" t="str">
        <f>TEXT(Table1[[#This Row],[Date]],"[$-en-US]mmm yyyy")</f>
        <v>Jul 2024</v>
      </c>
      <c r="K864" s="13" t="str">
        <f>TEXT(Table1[[#This Row],[Date]],"[$-en-US]ddd")</f>
        <v>Tue</v>
      </c>
    </row>
    <row r="865" spans="1:11" x14ac:dyDescent="0.25">
      <c r="A865">
        <v>11</v>
      </c>
      <c r="B865" t="s">
        <v>9</v>
      </c>
      <c r="C865">
        <v>23.02</v>
      </c>
      <c r="D865" t="s">
        <v>16</v>
      </c>
      <c r="E865" t="s">
        <v>11</v>
      </c>
      <c r="F865" t="s">
        <v>32</v>
      </c>
      <c r="G865">
        <v>3</v>
      </c>
      <c r="H865">
        <v>7</v>
      </c>
      <c r="I865" s="13">
        <v>45483</v>
      </c>
      <c r="J865" s="13" t="str">
        <f>TEXT(Table1[[#This Row],[Date]],"[$-en-US]mmm yyyy")</f>
        <v>Jul 2024</v>
      </c>
      <c r="K865" s="13" t="str">
        <f>TEXT(Table1[[#This Row],[Date]],"[$-en-US]ddd")</f>
        <v>Wed</v>
      </c>
    </row>
    <row r="866" spans="1:11" x14ac:dyDescent="0.25">
      <c r="A866">
        <v>12</v>
      </c>
      <c r="B866" t="s">
        <v>9</v>
      </c>
      <c r="C866">
        <v>27.92</v>
      </c>
      <c r="D866" t="s">
        <v>17</v>
      </c>
      <c r="E866" t="s">
        <v>15</v>
      </c>
      <c r="F866" t="s">
        <v>32</v>
      </c>
      <c r="G866">
        <v>3</v>
      </c>
      <c r="H866">
        <v>7</v>
      </c>
      <c r="I866" s="13">
        <v>45483</v>
      </c>
      <c r="J866" s="13" t="str">
        <f>TEXT(Table1[[#This Row],[Date]],"[$-en-US]mmm yyyy")</f>
        <v>Jul 2024</v>
      </c>
      <c r="K866" s="13" t="str">
        <f>TEXT(Table1[[#This Row],[Date]],"[$-en-US]ddd")</f>
        <v>Wed</v>
      </c>
    </row>
    <row r="867" spans="1:11" x14ac:dyDescent="0.25">
      <c r="A867">
        <v>22</v>
      </c>
      <c r="B867" t="s">
        <v>9</v>
      </c>
      <c r="C867">
        <v>32.82</v>
      </c>
      <c r="D867" t="s">
        <v>10</v>
      </c>
      <c r="E867" t="s">
        <v>18</v>
      </c>
      <c r="F867" t="s">
        <v>32</v>
      </c>
      <c r="G867">
        <v>3</v>
      </c>
      <c r="H867">
        <v>7</v>
      </c>
      <c r="I867" s="13">
        <v>45483</v>
      </c>
      <c r="J867" s="13" t="str">
        <f>TEXT(Table1[[#This Row],[Date]],"[$-en-US]mmm yyyy")</f>
        <v>Jul 2024</v>
      </c>
      <c r="K867" s="13" t="str">
        <f>TEXT(Table1[[#This Row],[Date]],"[$-en-US]ddd")</f>
        <v>Wed</v>
      </c>
    </row>
    <row r="868" spans="1:11" x14ac:dyDescent="0.25">
      <c r="A868">
        <v>11</v>
      </c>
      <c r="B868" t="s">
        <v>9</v>
      </c>
      <c r="C868">
        <v>32.82</v>
      </c>
      <c r="D868" t="s">
        <v>14</v>
      </c>
      <c r="E868" t="s">
        <v>11</v>
      </c>
      <c r="F868" t="s">
        <v>32</v>
      </c>
      <c r="G868">
        <v>4</v>
      </c>
      <c r="H868">
        <v>7</v>
      </c>
      <c r="I868" s="13">
        <v>45484</v>
      </c>
      <c r="J868" s="13" t="str">
        <f>TEXT(Table1[[#This Row],[Date]],"[$-en-US]mmm yyyy")</f>
        <v>Jul 2024</v>
      </c>
      <c r="K868" s="13" t="str">
        <f>TEXT(Table1[[#This Row],[Date]],"[$-en-US]ddd")</f>
        <v>Thu</v>
      </c>
    </row>
    <row r="869" spans="1:11" x14ac:dyDescent="0.25">
      <c r="A869">
        <v>16</v>
      </c>
      <c r="B869" t="s">
        <v>9</v>
      </c>
      <c r="C869">
        <v>27.92</v>
      </c>
      <c r="D869" t="s">
        <v>17</v>
      </c>
      <c r="E869" t="s">
        <v>15</v>
      </c>
      <c r="F869" t="s">
        <v>32</v>
      </c>
      <c r="G869">
        <v>4</v>
      </c>
      <c r="H869">
        <v>7</v>
      </c>
      <c r="I869" s="13">
        <v>45484</v>
      </c>
      <c r="J869" s="13" t="str">
        <f>TEXT(Table1[[#This Row],[Date]],"[$-en-US]mmm yyyy")</f>
        <v>Jul 2024</v>
      </c>
      <c r="K869" s="13" t="str">
        <f>TEXT(Table1[[#This Row],[Date]],"[$-en-US]ddd")</f>
        <v>Thu</v>
      </c>
    </row>
    <row r="870" spans="1:11" x14ac:dyDescent="0.25">
      <c r="A870">
        <v>22</v>
      </c>
      <c r="B870" t="s">
        <v>9</v>
      </c>
      <c r="C870">
        <v>32.82</v>
      </c>
      <c r="D870" t="s">
        <v>10</v>
      </c>
      <c r="E870" t="s">
        <v>18</v>
      </c>
      <c r="F870" t="s">
        <v>32</v>
      </c>
      <c r="G870">
        <v>4</v>
      </c>
      <c r="H870">
        <v>7</v>
      </c>
      <c r="I870" s="13">
        <v>45484</v>
      </c>
      <c r="J870" s="13" t="str">
        <f>TEXT(Table1[[#This Row],[Date]],"[$-en-US]mmm yyyy")</f>
        <v>Jul 2024</v>
      </c>
      <c r="K870" s="13" t="str">
        <f>TEXT(Table1[[#This Row],[Date]],"[$-en-US]ddd")</f>
        <v>Thu</v>
      </c>
    </row>
    <row r="871" spans="1:11" x14ac:dyDescent="0.25">
      <c r="A871">
        <v>22</v>
      </c>
      <c r="B871" t="s">
        <v>9</v>
      </c>
      <c r="C871">
        <v>23.02</v>
      </c>
      <c r="D871" t="s">
        <v>16</v>
      </c>
      <c r="E871" t="s">
        <v>18</v>
      </c>
      <c r="F871" t="s">
        <v>32</v>
      </c>
      <c r="G871">
        <v>4</v>
      </c>
      <c r="H871">
        <v>7</v>
      </c>
      <c r="I871" s="13">
        <v>45484</v>
      </c>
      <c r="J871" s="13" t="str">
        <f>TEXT(Table1[[#This Row],[Date]],"[$-en-US]mmm yyyy")</f>
        <v>Jul 2024</v>
      </c>
      <c r="K871" s="13" t="str">
        <f>TEXT(Table1[[#This Row],[Date]],"[$-en-US]ddd")</f>
        <v>Thu</v>
      </c>
    </row>
    <row r="872" spans="1:11" x14ac:dyDescent="0.25">
      <c r="A872">
        <v>8</v>
      </c>
      <c r="B872" t="s">
        <v>9</v>
      </c>
      <c r="C872">
        <v>23.02</v>
      </c>
      <c r="D872" t="s">
        <v>22</v>
      </c>
      <c r="E872" t="s">
        <v>11</v>
      </c>
      <c r="F872" t="s">
        <v>32</v>
      </c>
      <c r="G872">
        <v>5</v>
      </c>
      <c r="H872">
        <v>7</v>
      </c>
      <c r="I872" s="13">
        <v>45485</v>
      </c>
      <c r="J872" s="13" t="str">
        <f>TEXT(Table1[[#This Row],[Date]],"[$-en-US]mmm yyyy")</f>
        <v>Jul 2024</v>
      </c>
      <c r="K872" s="13" t="str">
        <f>TEXT(Table1[[#This Row],[Date]],"[$-en-US]ddd")</f>
        <v>Fri</v>
      </c>
    </row>
    <row r="873" spans="1:11" x14ac:dyDescent="0.25">
      <c r="A873">
        <v>11</v>
      </c>
      <c r="B873" t="s">
        <v>9</v>
      </c>
      <c r="C873">
        <v>32.82</v>
      </c>
      <c r="D873" t="s">
        <v>14</v>
      </c>
      <c r="E873" t="s">
        <v>11</v>
      </c>
      <c r="F873" t="s">
        <v>32</v>
      </c>
      <c r="G873">
        <v>5</v>
      </c>
      <c r="H873">
        <v>7</v>
      </c>
      <c r="I873" s="13">
        <v>45485</v>
      </c>
      <c r="J873" s="13" t="str">
        <f>TEXT(Table1[[#This Row],[Date]],"[$-en-US]mmm yyyy")</f>
        <v>Jul 2024</v>
      </c>
      <c r="K873" s="13" t="str">
        <f>TEXT(Table1[[#This Row],[Date]],"[$-en-US]ddd")</f>
        <v>Fri</v>
      </c>
    </row>
    <row r="874" spans="1:11" x14ac:dyDescent="0.25">
      <c r="A874">
        <v>22</v>
      </c>
      <c r="B874" t="s">
        <v>9</v>
      </c>
      <c r="C874">
        <v>32.82</v>
      </c>
      <c r="D874" t="s">
        <v>14</v>
      </c>
      <c r="E874" t="s">
        <v>18</v>
      </c>
      <c r="F874" t="s">
        <v>32</v>
      </c>
      <c r="G874">
        <v>5</v>
      </c>
      <c r="H874">
        <v>7</v>
      </c>
      <c r="I874" s="13">
        <v>45485</v>
      </c>
      <c r="J874" s="13" t="str">
        <f>TEXT(Table1[[#This Row],[Date]],"[$-en-US]mmm yyyy")</f>
        <v>Jul 2024</v>
      </c>
      <c r="K874" s="13" t="str">
        <f>TEXT(Table1[[#This Row],[Date]],"[$-en-US]ddd")</f>
        <v>Fri</v>
      </c>
    </row>
    <row r="875" spans="1:11" x14ac:dyDescent="0.25">
      <c r="A875">
        <v>22</v>
      </c>
      <c r="B875" t="s">
        <v>9</v>
      </c>
      <c r="C875">
        <v>32.82</v>
      </c>
      <c r="D875" t="s">
        <v>14</v>
      </c>
      <c r="E875" t="s">
        <v>18</v>
      </c>
      <c r="F875" t="s">
        <v>32</v>
      </c>
      <c r="G875">
        <v>5</v>
      </c>
      <c r="H875">
        <v>7</v>
      </c>
      <c r="I875" s="13">
        <v>45485</v>
      </c>
      <c r="J875" s="13" t="str">
        <f>TEXT(Table1[[#This Row],[Date]],"[$-en-US]mmm yyyy")</f>
        <v>Jul 2024</v>
      </c>
      <c r="K875" s="13" t="str">
        <f>TEXT(Table1[[#This Row],[Date]],"[$-en-US]ddd")</f>
        <v>Fri</v>
      </c>
    </row>
    <row r="876" spans="1:11" x14ac:dyDescent="0.25">
      <c r="A876">
        <v>22</v>
      </c>
      <c r="B876" t="s">
        <v>9</v>
      </c>
      <c r="C876">
        <v>32.82</v>
      </c>
      <c r="D876" t="s">
        <v>14</v>
      </c>
      <c r="E876" t="s">
        <v>18</v>
      </c>
      <c r="F876" t="s">
        <v>32</v>
      </c>
      <c r="G876">
        <v>5</v>
      </c>
      <c r="H876">
        <v>7</v>
      </c>
      <c r="I876" s="13">
        <v>45485</v>
      </c>
      <c r="J876" s="13" t="str">
        <f>TEXT(Table1[[#This Row],[Date]],"[$-en-US]mmm yyyy")</f>
        <v>Jul 2024</v>
      </c>
      <c r="K876" s="13" t="str">
        <f>TEXT(Table1[[#This Row],[Date]],"[$-en-US]ddd")</f>
        <v>Fri</v>
      </c>
    </row>
    <row r="877" spans="1:11" x14ac:dyDescent="0.25">
      <c r="A877">
        <v>10</v>
      </c>
      <c r="B877" t="s">
        <v>9</v>
      </c>
      <c r="C877">
        <v>32.82</v>
      </c>
      <c r="D877" t="s">
        <v>10</v>
      </c>
      <c r="E877" t="s">
        <v>11</v>
      </c>
      <c r="F877" t="s">
        <v>32</v>
      </c>
      <c r="G877">
        <v>6</v>
      </c>
      <c r="H877">
        <v>7</v>
      </c>
      <c r="I877" s="13">
        <v>45486</v>
      </c>
      <c r="J877" s="13" t="str">
        <f>TEXT(Table1[[#This Row],[Date]],"[$-en-US]mmm yyyy")</f>
        <v>Jul 2024</v>
      </c>
      <c r="K877" s="13" t="str">
        <f>TEXT(Table1[[#This Row],[Date]],"[$-en-US]ddd")</f>
        <v>Sat</v>
      </c>
    </row>
    <row r="878" spans="1:11" x14ac:dyDescent="0.25">
      <c r="A878">
        <v>11</v>
      </c>
      <c r="B878" t="s">
        <v>9</v>
      </c>
      <c r="C878">
        <v>32.82</v>
      </c>
      <c r="D878" t="s">
        <v>10</v>
      </c>
      <c r="E878" t="s">
        <v>11</v>
      </c>
      <c r="F878" t="s">
        <v>32</v>
      </c>
      <c r="G878">
        <v>6</v>
      </c>
      <c r="H878">
        <v>7</v>
      </c>
      <c r="I878" s="13">
        <v>45486</v>
      </c>
      <c r="J878" s="13" t="str">
        <f>TEXT(Table1[[#This Row],[Date]],"[$-en-US]mmm yyyy")</f>
        <v>Jul 2024</v>
      </c>
      <c r="K878" s="13" t="str">
        <f>TEXT(Table1[[#This Row],[Date]],"[$-en-US]ddd")</f>
        <v>Sat</v>
      </c>
    </row>
    <row r="879" spans="1:11" x14ac:dyDescent="0.25">
      <c r="A879">
        <v>10</v>
      </c>
      <c r="B879" t="s">
        <v>9</v>
      </c>
      <c r="C879">
        <v>23.02</v>
      </c>
      <c r="D879" t="s">
        <v>16</v>
      </c>
      <c r="E879" t="s">
        <v>11</v>
      </c>
      <c r="F879" t="s">
        <v>32</v>
      </c>
      <c r="G879">
        <v>7</v>
      </c>
      <c r="H879">
        <v>7</v>
      </c>
      <c r="I879" s="13">
        <v>45487</v>
      </c>
      <c r="J879" s="13" t="str">
        <f>TEXT(Table1[[#This Row],[Date]],"[$-en-US]mmm yyyy")</f>
        <v>Jul 2024</v>
      </c>
      <c r="K879" s="13" t="str">
        <f>TEXT(Table1[[#This Row],[Date]],"[$-en-US]ddd")</f>
        <v>Sun</v>
      </c>
    </row>
    <row r="880" spans="1:11" x14ac:dyDescent="0.25">
      <c r="A880">
        <v>10</v>
      </c>
      <c r="B880" t="s">
        <v>9</v>
      </c>
      <c r="C880">
        <v>27.92</v>
      </c>
      <c r="D880" t="s">
        <v>17</v>
      </c>
      <c r="E880" t="s">
        <v>11</v>
      </c>
      <c r="F880" t="s">
        <v>32</v>
      </c>
      <c r="G880">
        <v>7</v>
      </c>
      <c r="H880">
        <v>7</v>
      </c>
      <c r="I880" s="13">
        <v>45487</v>
      </c>
      <c r="J880" s="13" t="str">
        <f>TEXT(Table1[[#This Row],[Date]],"[$-en-US]mmm yyyy")</f>
        <v>Jul 2024</v>
      </c>
      <c r="K880" s="13" t="str">
        <f>TEXT(Table1[[#This Row],[Date]],"[$-en-US]ddd")</f>
        <v>Sun</v>
      </c>
    </row>
    <row r="881" spans="1:11" x14ac:dyDescent="0.25">
      <c r="A881">
        <v>10</v>
      </c>
      <c r="B881" t="s">
        <v>9</v>
      </c>
      <c r="C881">
        <v>32.82</v>
      </c>
      <c r="D881" t="s">
        <v>27</v>
      </c>
      <c r="E881" t="s">
        <v>11</v>
      </c>
      <c r="F881" t="s">
        <v>32</v>
      </c>
      <c r="G881">
        <v>7</v>
      </c>
      <c r="H881">
        <v>7</v>
      </c>
      <c r="I881" s="13">
        <v>45487</v>
      </c>
      <c r="J881" s="13" t="str">
        <f>TEXT(Table1[[#This Row],[Date]],"[$-en-US]mmm yyyy")</f>
        <v>Jul 2024</v>
      </c>
      <c r="K881" s="13" t="str">
        <f>TEXT(Table1[[#This Row],[Date]],"[$-en-US]ddd")</f>
        <v>Sun</v>
      </c>
    </row>
    <row r="882" spans="1:11" x14ac:dyDescent="0.25">
      <c r="A882">
        <v>10</v>
      </c>
      <c r="B882" t="s">
        <v>9</v>
      </c>
      <c r="C882">
        <v>32.82</v>
      </c>
      <c r="D882" t="s">
        <v>10</v>
      </c>
      <c r="E882" t="s">
        <v>11</v>
      </c>
      <c r="F882" t="s">
        <v>32</v>
      </c>
      <c r="G882">
        <v>7</v>
      </c>
      <c r="H882">
        <v>7</v>
      </c>
      <c r="I882" s="13">
        <v>45487</v>
      </c>
      <c r="J882" s="13" t="str">
        <f>TEXT(Table1[[#This Row],[Date]],"[$-en-US]mmm yyyy")</f>
        <v>Jul 2024</v>
      </c>
      <c r="K882" s="13" t="str">
        <f>TEXT(Table1[[#This Row],[Date]],"[$-en-US]ddd")</f>
        <v>Sun</v>
      </c>
    </row>
    <row r="883" spans="1:11" x14ac:dyDescent="0.25">
      <c r="A883">
        <v>11</v>
      </c>
      <c r="B883" t="s">
        <v>9</v>
      </c>
      <c r="C883">
        <v>23.02</v>
      </c>
      <c r="D883" t="s">
        <v>16</v>
      </c>
      <c r="E883" t="s">
        <v>11</v>
      </c>
      <c r="F883" t="s">
        <v>32</v>
      </c>
      <c r="G883">
        <v>7</v>
      </c>
      <c r="H883">
        <v>7</v>
      </c>
      <c r="I883" s="13">
        <v>45487</v>
      </c>
      <c r="J883" s="13" t="str">
        <f>TEXT(Table1[[#This Row],[Date]],"[$-en-US]mmm yyyy")</f>
        <v>Jul 2024</v>
      </c>
      <c r="K883" s="13" t="str">
        <f>TEXT(Table1[[#This Row],[Date]],"[$-en-US]ddd")</f>
        <v>Sun</v>
      </c>
    </row>
    <row r="884" spans="1:11" x14ac:dyDescent="0.25">
      <c r="A884">
        <v>22</v>
      </c>
      <c r="B884" t="s">
        <v>9</v>
      </c>
      <c r="C884">
        <v>32.82</v>
      </c>
      <c r="D884" t="s">
        <v>10</v>
      </c>
      <c r="E884" t="s">
        <v>18</v>
      </c>
      <c r="F884" t="s">
        <v>32</v>
      </c>
      <c r="G884">
        <v>7</v>
      </c>
      <c r="H884">
        <v>7</v>
      </c>
      <c r="I884" s="13">
        <v>45487</v>
      </c>
      <c r="J884" s="13" t="str">
        <f>TEXT(Table1[[#This Row],[Date]],"[$-en-US]mmm yyyy")</f>
        <v>Jul 2024</v>
      </c>
      <c r="K884" s="13" t="str">
        <f>TEXT(Table1[[#This Row],[Date]],"[$-en-US]ddd")</f>
        <v>Sun</v>
      </c>
    </row>
    <row r="885" spans="1:11" x14ac:dyDescent="0.25">
      <c r="A885">
        <v>7</v>
      </c>
      <c r="B885" t="s">
        <v>9</v>
      </c>
      <c r="C885">
        <v>32.82</v>
      </c>
      <c r="D885" t="s">
        <v>27</v>
      </c>
      <c r="E885" t="s">
        <v>11</v>
      </c>
      <c r="F885" t="s">
        <v>32</v>
      </c>
      <c r="G885">
        <v>1</v>
      </c>
      <c r="H885">
        <v>7</v>
      </c>
      <c r="I885" s="13">
        <v>45488</v>
      </c>
      <c r="J885" s="13" t="str">
        <f>TEXT(Table1[[#This Row],[Date]],"[$-en-US]mmm yyyy")</f>
        <v>Jul 2024</v>
      </c>
      <c r="K885" s="13" t="str">
        <f>TEXT(Table1[[#This Row],[Date]],"[$-en-US]ddd")</f>
        <v>Mon</v>
      </c>
    </row>
    <row r="886" spans="1:11" x14ac:dyDescent="0.25">
      <c r="A886">
        <v>12</v>
      </c>
      <c r="B886" t="s">
        <v>9</v>
      </c>
      <c r="C886">
        <v>27.92</v>
      </c>
      <c r="D886" t="s">
        <v>17</v>
      </c>
      <c r="E886" t="s">
        <v>15</v>
      </c>
      <c r="F886" t="s">
        <v>32</v>
      </c>
      <c r="G886">
        <v>2</v>
      </c>
      <c r="H886">
        <v>7</v>
      </c>
      <c r="I886" s="13">
        <v>45489</v>
      </c>
      <c r="J886" s="13" t="str">
        <f>TEXT(Table1[[#This Row],[Date]],"[$-en-US]mmm yyyy")</f>
        <v>Jul 2024</v>
      </c>
      <c r="K886" s="13" t="str">
        <f>TEXT(Table1[[#This Row],[Date]],"[$-en-US]ddd")</f>
        <v>Tue</v>
      </c>
    </row>
    <row r="887" spans="1:11" x14ac:dyDescent="0.25">
      <c r="A887">
        <v>19</v>
      </c>
      <c r="B887" t="s">
        <v>9</v>
      </c>
      <c r="C887">
        <v>32.82</v>
      </c>
      <c r="D887" t="s">
        <v>14</v>
      </c>
      <c r="E887" t="s">
        <v>18</v>
      </c>
      <c r="F887" t="s">
        <v>32</v>
      </c>
      <c r="G887">
        <v>2</v>
      </c>
      <c r="H887">
        <v>7</v>
      </c>
      <c r="I887" s="13">
        <v>45489</v>
      </c>
      <c r="J887" s="13" t="str">
        <f>TEXT(Table1[[#This Row],[Date]],"[$-en-US]mmm yyyy")</f>
        <v>Jul 2024</v>
      </c>
      <c r="K887" s="13" t="str">
        <f>TEXT(Table1[[#This Row],[Date]],"[$-en-US]ddd")</f>
        <v>Tue</v>
      </c>
    </row>
    <row r="888" spans="1:11" x14ac:dyDescent="0.25">
      <c r="A888">
        <v>13</v>
      </c>
      <c r="B888" t="s">
        <v>9</v>
      </c>
      <c r="C888">
        <v>27.92</v>
      </c>
      <c r="D888" t="s">
        <v>17</v>
      </c>
      <c r="E888" t="s">
        <v>15</v>
      </c>
      <c r="F888" t="s">
        <v>32</v>
      </c>
      <c r="G888">
        <v>3</v>
      </c>
      <c r="H888">
        <v>7</v>
      </c>
      <c r="I888" s="13">
        <v>45490</v>
      </c>
      <c r="J888" s="13" t="str">
        <f>TEXT(Table1[[#This Row],[Date]],"[$-en-US]mmm yyyy")</f>
        <v>Jul 2024</v>
      </c>
      <c r="K888" s="13" t="str">
        <f>TEXT(Table1[[#This Row],[Date]],"[$-en-US]ddd")</f>
        <v>Wed</v>
      </c>
    </row>
    <row r="889" spans="1:11" x14ac:dyDescent="0.25">
      <c r="A889">
        <v>11</v>
      </c>
      <c r="B889" t="s">
        <v>9</v>
      </c>
      <c r="C889">
        <v>27.92</v>
      </c>
      <c r="D889" t="s">
        <v>17</v>
      </c>
      <c r="E889" t="s">
        <v>11</v>
      </c>
      <c r="F889" t="s">
        <v>32</v>
      </c>
      <c r="G889">
        <v>4</v>
      </c>
      <c r="H889">
        <v>7</v>
      </c>
      <c r="I889" s="13">
        <v>45491</v>
      </c>
      <c r="J889" s="13" t="str">
        <f>TEXT(Table1[[#This Row],[Date]],"[$-en-US]mmm yyyy")</f>
        <v>Jul 2024</v>
      </c>
      <c r="K889" s="13" t="str">
        <f>TEXT(Table1[[#This Row],[Date]],"[$-en-US]ddd")</f>
        <v>Thu</v>
      </c>
    </row>
    <row r="890" spans="1:11" x14ac:dyDescent="0.25">
      <c r="A890">
        <v>11</v>
      </c>
      <c r="B890" t="s">
        <v>9</v>
      </c>
      <c r="C890">
        <v>18.12</v>
      </c>
      <c r="D890" t="s">
        <v>24</v>
      </c>
      <c r="E890" t="s">
        <v>11</v>
      </c>
      <c r="F890" t="s">
        <v>32</v>
      </c>
      <c r="G890">
        <v>4</v>
      </c>
      <c r="H890">
        <v>7</v>
      </c>
      <c r="I890" s="13">
        <v>45491</v>
      </c>
      <c r="J890" s="13" t="str">
        <f>TEXT(Table1[[#This Row],[Date]],"[$-en-US]mmm yyyy")</f>
        <v>Jul 2024</v>
      </c>
      <c r="K890" s="13" t="str">
        <f>TEXT(Table1[[#This Row],[Date]],"[$-en-US]ddd")</f>
        <v>Thu</v>
      </c>
    </row>
    <row r="891" spans="1:11" x14ac:dyDescent="0.25">
      <c r="A891">
        <v>11</v>
      </c>
      <c r="B891" t="s">
        <v>9</v>
      </c>
      <c r="C891">
        <v>23.02</v>
      </c>
      <c r="D891" t="s">
        <v>16</v>
      </c>
      <c r="E891" t="s">
        <v>11</v>
      </c>
      <c r="F891" t="s">
        <v>32</v>
      </c>
      <c r="G891">
        <v>4</v>
      </c>
      <c r="H891">
        <v>7</v>
      </c>
      <c r="I891" s="13">
        <v>45491</v>
      </c>
      <c r="J891" s="13" t="str">
        <f>TEXT(Table1[[#This Row],[Date]],"[$-en-US]mmm yyyy")</f>
        <v>Jul 2024</v>
      </c>
      <c r="K891" s="13" t="str">
        <f>TEXT(Table1[[#This Row],[Date]],"[$-en-US]ddd")</f>
        <v>Thu</v>
      </c>
    </row>
    <row r="892" spans="1:11" x14ac:dyDescent="0.25">
      <c r="A892">
        <v>11</v>
      </c>
      <c r="B892" t="s">
        <v>9</v>
      </c>
      <c r="C892">
        <v>23.02</v>
      </c>
      <c r="D892" t="s">
        <v>16</v>
      </c>
      <c r="E892" t="s">
        <v>11</v>
      </c>
      <c r="F892" t="s">
        <v>32</v>
      </c>
      <c r="G892">
        <v>4</v>
      </c>
      <c r="H892">
        <v>7</v>
      </c>
      <c r="I892" s="13">
        <v>45491</v>
      </c>
      <c r="J892" s="13" t="str">
        <f>TEXT(Table1[[#This Row],[Date]],"[$-en-US]mmm yyyy")</f>
        <v>Jul 2024</v>
      </c>
      <c r="K892" s="13" t="str">
        <f>TEXT(Table1[[#This Row],[Date]],"[$-en-US]ddd")</f>
        <v>Thu</v>
      </c>
    </row>
    <row r="893" spans="1:11" x14ac:dyDescent="0.25">
      <c r="A893">
        <v>11</v>
      </c>
      <c r="B893" t="s">
        <v>9</v>
      </c>
      <c r="C893">
        <v>23.02</v>
      </c>
      <c r="D893" t="s">
        <v>22</v>
      </c>
      <c r="E893" t="s">
        <v>11</v>
      </c>
      <c r="F893" t="s">
        <v>32</v>
      </c>
      <c r="G893">
        <v>4</v>
      </c>
      <c r="H893">
        <v>7</v>
      </c>
      <c r="I893" s="13">
        <v>45491</v>
      </c>
      <c r="J893" s="13" t="str">
        <f>TEXT(Table1[[#This Row],[Date]],"[$-en-US]mmm yyyy")</f>
        <v>Jul 2024</v>
      </c>
      <c r="K893" s="13" t="str">
        <f>TEXT(Table1[[#This Row],[Date]],"[$-en-US]ddd")</f>
        <v>Thu</v>
      </c>
    </row>
    <row r="894" spans="1:11" x14ac:dyDescent="0.25">
      <c r="A894">
        <v>13</v>
      </c>
      <c r="B894" t="s">
        <v>9</v>
      </c>
      <c r="C894">
        <v>32.82</v>
      </c>
      <c r="D894" t="s">
        <v>10</v>
      </c>
      <c r="E894" t="s">
        <v>15</v>
      </c>
      <c r="F894" t="s">
        <v>32</v>
      </c>
      <c r="G894">
        <v>4</v>
      </c>
      <c r="H894">
        <v>7</v>
      </c>
      <c r="I894" s="13">
        <v>45491</v>
      </c>
      <c r="J894" s="13" t="str">
        <f>TEXT(Table1[[#This Row],[Date]],"[$-en-US]mmm yyyy")</f>
        <v>Jul 2024</v>
      </c>
      <c r="K894" s="13" t="str">
        <f>TEXT(Table1[[#This Row],[Date]],"[$-en-US]ddd")</f>
        <v>Thu</v>
      </c>
    </row>
    <row r="895" spans="1:11" x14ac:dyDescent="0.25">
      <c r="A895">
        <v>18</v>
      </c>
      <c r="B895" t="s">
        <v>9</v>
      </c>
      <c r="C895">
        <v>32.82</v>
      </c>
      <c r="D895" t="s">
        <v>27</v>
      </c>
      <c r="E895" t="s">
        <v>18</v>
      </c>
      <c r="F895" t="s">
        <v>32</v>
      </c>
      <c r="G895">
        <v>4</v>
      </c>
      <c r="H895">
        <v>7</v>
      </c>
      <c r="I895" s="13">
        <v>45491</v>
      </c>
      <c r="J895" s="13" t="str">
        <f>TEXT(Table1[[#This Row],[Date]],"[$-en-US]mmm yyyy")</f>
        <v>Jul 2024</v>
      </c>
      <c r="K895" s="13" t="str">
        <f>TEXT(Table1[[#This Row],[Date]],"[$-en-US]ddd")</f>
        <v>Thu</v>
      </c>
    </row>
    <row r="896" spans="1:11" x14ac:dyDescent="0.25">
      <c r="A896">
        <v>19</v>
      </c>
      <c r="B896" t="s">
        <v>9</v>
      </c>
      <c r="C896">
        <v>32.82</v>
      </c>
      <c r="D896" t="s">
        <v>10</v>
      </c>
      <c r="E896" t="s">
        <v>18</v>
      </c>
      <c r="F896" t="s">
        <v>32</v>
      </c>
      <c r="G896">
        <v>4</v>
      </c>
      <c r="H896">
        <v>7</v>
      </c>
      <c r="I896" s="13">
        <v>45491</v>
      </c>
      <c r="J896" s="13" t="str">
        <f>TEXT(Table1[[#This Row],[Date]],"[$-en-US]mmm yyyy")</f>
        <v>Jul 2024</v>
      </c>
      <c r="K896" s="13" t="str">
        <f>TEXT(Table1[[#This Row],[Date]],"[$-en-US]ddd")</f>
        <v>Thu</v>
      </c>
    </row>
    <row r="897" spans="1:11" x14ac:dyDescent="0.25">
      <c r="A897">
        <v>21</v>
      </c>
      <c r="B897" t="s">
        <v>9</v>
      </c>
      <c r="C897">
        <v>32.82</v>
      </c>
      <c r="D897" t="s">
        <v>14</v>
      </c>
      <c r="E897" t="s">
        <v>18</v>
      </c>
      <c r="F897" t="s">
        <v>32</v>
      </c>
      <c r="G897">
        <v>4</v>
      </c>
      <c r="H897">
        <v>7</v>
      </c>
      <c r="I897" s="13">
        <v>45491</v>
      </c>
      <c r="J897" s="13" t="str">
        <f>TEXT(Table1[[#This Row],[Date]],"[$-en-US]mmm yyyy")</f>
        <v>Jul 2024</v>
      </c>
      <c r="K897" s="13" t="str">
        <f>TEXT(Table1[[#This Row],[Date]],"[$-en-US]ddd")</f>
        <v>Thu</v>
      </c>
    </row>
    <row r="898" spans="1:11" x14ac:dyDescent="0.25">
      <c r="A898">
        <v>21</v>
      </c>
      <c r="B898" t="s">
        <v>9</v>
      </c>
      <c r="C898">
        <v>32.82</v>
      </c>
      <c r="D898" t="s">
        <v>10</v>
      </c>
      <c r="E898" t="s">
        <v>18</v>
      </c>
      <c r="F898" t="s">
        <v>32</v>
      </c>
      <c r="G898">
        <v>4</v>
      </c>
      <c r="H898">
        <v>7</v>
      </c>
      <c r="I898" s="13">
        <v>45491</v>
      </c>
      <c r="J898" s="13" t="str">
        <f>TEXT(Table1[[#This Row],[Date]],"[$-en-US]mmm yyyy")</f>
        <v>Jul 2024</v>
      </c>
      <c r="K898" s="13" t="str">
        <f>TEXT(Table1[[#This Row],[Date]],"[$-en-US]ddd")</f>
        <v>Thu</v>
      </c>
    </row>
    <row r="899" spans="1:11" x14ac:dyDescent="0.25">
      <c r="A899">
        <v>21</v>
      </c>
      <c r="B899" t="s">
        <v>9</v>
      </c>
      <c r="C899">
        <v>32.82</v>
      </c>
      <c r="D899" t="s">
        <v>10</v>
      </c>
      <c r="E899" t="s">
        <v>18</v>
      </c>
      <c r="F899" t="s">
        <v>32</v>
      </c>
      <c r="G899">
        <v>4</v>
      </c>
      <c r="H899">
        <v>7</v>
      </c>
      <c r="I899" s="13">
        <v>45491</v>
      </c>
      <c r="J899" s="13" t="str">
        <f>TEXT(Table1[[#This Row],[Date]],"[$-en-US]mmm yyyy")</f>
        <v>Jul 2024</v>
      </c>
      <c r="K899" s="13" t="str">
        <f>TEXT(Table1[[#This Row],[Date]],"[$-en-US]ddd")</f>
        <v>Thu</v>
      </c>
    </row>
    <row r="900" spans="1:11" x14ac:dyDescent="0.25">
      <c r="A900">
        <v>11</v>
      </c>
      <c r="B900" t="s">
        <v>9</v>
      </c>
      <c r="C900">
        <v>23.02</v>
      </c>
      <c r="D900" t="s">
        <v>16</v>
      </c>
      <c r="E900" t="s">
        <v>11</v>
      </c>
      <c r="F900" t="s">
        <v>32</v>
      </c>
      <c r="G900">
        <v>5</v>
      </c>
      <c r="H900">
        <v>7</v>
      </c>
      <c r="I900" s="13">
        <v>45492</v>
      </c>
      <c r="J900" s="13" t="str">
        <f>TEXT(Table1[[#This Row],[Date]],"[$-en-US]mmm yyyy")</f>
        <v>Jul 2024</v>
      </c>
      <c r="K900" s="13" t="str">
        <f>TEXT(Table1[[#This Row],[Date]],"[$-en-US]ddd")</f>
        <v>Fri</v>
      </c>
    </row>
    <row r="901" spans="1:11" x14ac:dyDescent="0.25">
      <c r="A901">
        <v>11</v>
      </c>
      <c r="B901" t="s">
        <v>9</v>
      </c>
      <c r="C901">
        <v>27.92</v>
      </c>
      <c r="D901" t="s">
        <v>17</v>
      </c>
      <c r="E901" t="s">
        <v>11</v>
      </c>
      <c r="F901" t="s">
        <v>32</v>
      </c>
      <c r="G901">
        <v>5</v>
      </c>
      <c r="H901">
        <v>7</v>
      </c>
      <c r="I901" s="13">
        <v>45492</v>
      </c>
      <c r="J901" s="13" t="str">
        <f>TEXT(Table1[[#This Row],[Date]],"[$-en-US]mmm yyyy")</f>
        <v>Jul 2024</v>
      </c>
      <c r="K901" s="13" t="str">
        <f>TEXT(Table1[[#This Row],[Date]],"[$-en-US]ddd")</f>
        <v>Fri</v>
      </c>
    </row>
    <row r="902" spans="1:11" x14ac:dyDescent="0.25">
      <c r="A902">
        <v>12</v>
      </c>
      <c r="B902" t="s">
        <v>9</v>
      </c>
      <c r="C902">
        <v>32.82</v>
      </c>
      <c r="D902" t="s">
        <v>10</v>
      </c>
      <c r="E902" t="s">
        <v>15</v>
      </c>
      <c r="F902" t="s">
        <v>32</v>
      </c>
      <c r="G902">
        <v>5</v>
      </c>
      <c r="H902">
        <v>7</v>
      </c>
      <c r="I902" s="13">
        <v>45492</v>
      </c>
      <c r="J902" s="13" t="str">
        <f>TEXT(Table1[[#This Row],[Date]],"[$-en-US]mmm yyyy")</f>
        <v>Jul 2024</v>
      </c>
      <c r="K902" s="13" t="str">
        <f>TEXT(Table1[[#This Row],[Date]],"[$-en-US]ddd")</f>
        <v>Fri</v>
      </c>
    </row>
    <row r="903" spans="1:11" x14ac:dyDescent="0.25">
      <c r="A903">
        <v>12</v>
      </c>
      <c r="B903" t="s">
        <v>9</v>
      </c>
      <c r="C903">
        <v>27.92</v>
      </c>
      <c r="D903" t="s">
        <v>17</v>
      </c>
      <c r="E903" t="s">
        <v>15</v>
      </c>
      <c r="F903" t="s">
        <v>32</v>
      </c>
      <c r="G903">
        <v>5</v>
      </c>
      <c r="H903">
        <v>7</v>
      </c>
      <c r="I903" s="13">
        <v>45492</v>
      </c>
      <c r="J903" s="13" t="str">
        <f>TEXT(Table1[[#This Row],[Date]],"[$-en-US]mmm yyyy")</f>
        <v>Jul 2024</v>
      </c>
      <c r="K903" s="13" t="str">
        <f>TEXT(Table1[[#This Row],[Date]],"[$-en-US]ddd")</f>
        <v>Fri</v>
      </c>
    </row>
    <row r="904" spans="1:11" x14ac:dyDescent="0.25">
      <c r="A904">
        <v>14</v>
      </c>
      <c r="B904" t="s">
        <v>9</v>
      </c>
      <c r="C904">
        <v>32.82</v>
      </c>
      <c r="D904" t="s">
        <v>10</v>
      </c>
      <c r="E904" t="s">
        <v>15</v>
      </c>
      <c r="F904" t="s">
        <v>32</v>
      </c>
      <c r="G904">
        <v>5</v>
      </c>
      <c r="H904">
        <v>7</v>
      </c>
      <c r="I904" s="13">
        <v>45492</v>
      </c>
      <c r="J904" s="13" t="str">
        <f>TEXT(Table1[[#This Row],[Date]],"[$-en-US]mmm yyyy")</f>
        <v>Jul 2024</v>
      </c>
      <c r="K904" s="13" t="str">
        <f>TEXT(Table1[[#This Row],[Date]],"[$-en-US]ddd")</f>
        <v>Fri</v>
      </c>
    </row>
    <row r="905" spans="1:11" x14ac:dyDescent="0.25">
      <c r="A905">
        <v>14</v>
      </c>
      <c r="B905" t="s">
        <v>9</v>
      </c>
      <c r="C905">
        <v>32.82</v>
      </c>
      <c r="D905" t="s">
        <v>19</v>
      </c>
      <c r="E905" t="s">
        <v>15</v>
      </c>
      <c r="F905" t="s">
        <v>32</v>
      </c>
      <c r="G905">
        <v>5</v>
      </c>
      <c r="H905">
        <v>7</v>
      </c>
      <c r="I905" s="13">
        <v>45492</v>
      </c>
      <c r="J905" s="13" t="str">
        <f>TEXT(Table1[[#This Row],[Date]],"[$-en-US]mmm yyyy")</f>
        <v>Jul 2024</v>
      </c>
      <c r="K905" s="13" t="str">
        <f>TEXT(Table1[[#This Row],[Date]],"[$-en-US]ddd")</f>
        <v>Fri</v>
      </c>
    </row>
    <row r="906" spans="1:11" x14ac:dyDescent="0.25">
      <c r="A906">
        <v>16</v>
      </c>
      <c r="B906" t="s">
        <v>9</v>
      </c>
      <c r="C906">
        <v>32.82</v>
      </c>
      <c r="D906" t="s">
        <v>10</v>
      </c>
      <c r="E906" t="s">
        <v>15</v>
      </c>
      <c r="F906" t="s">
        <v>32</v>
      </c>
      <c r="G906">
        <v>5</v>
      </c>
      <c r="H906">
        <v>7</v>
      </c>
      <c r="I906" s="13">
        <v>45492</v>
      </c>
      <c r="J906" s="13" t="str">
        <f>TEXT(Table1[[#This Row],[Date]],"[$-en-US]mmm yyyy")</f>
        <v>Jul 2024</v>
      </c>
      <c r="K906" s="13" t="str">
        <f>TEXT(Table1[[#This Row],[Date]],"[$-en-US]ddd")</f>
        <v>Fri</v>
      </c>
    </row>
    <row r="907" spans="1:11" x14ac:dyDescent="0.25">
      <c r="A907">
        <v>16</v>
      </c>
      <c r="B907" t="s">
        <v>9</v>
      </c>
      <c r="C907">
        <v>32.82</v>
      </c>
      <c r="D907" t="s">
        <v>10</v>
      </c>
      <c r="E907" t="s">
        <v>15</v>
      </c>
      <c r="F907" t="s">
        <v>32</v>
      </c>
      <c r="G907">
        <v>5</v>
      </c>
      <c r="H907">
        <v>7</v>
      </c>
      <c r="I907" s="13">
        <v>45492</v>
      </c>
      <c r="J907" s="13" t="str">
        <f>TEXT(Table1[[#This Row],[Date]],"[$-en-US]mmm yyyy")</f>
        <v>Jul 2024</v>
      </c>
      <c r="K907" s="13" t="str">
        <f>TEXT(Table1[[#This Row],[Date]],"[$-en-US]ddd")</f>
        <v>Fri</v>
      </c>
    </row>
    <row r="908" spans="1:11" x14ac:dyDescent="0.25">
      <c r="A908">
        <v>8</v>
      </c>
      <c r="B908" t="s">
        <v>9</v>
      </c>
      <c r="C908">
        <v>23.02</v>
      </c>
      <c r="D908" t="s">
        <v>16</v>
      </c>
      <c r="E908" t="s">
        <v>11</v>
      </c>
      <c r="F908" t="s">
        <v>32</v>
      </c>
      <c r="G908">
        <v>6</v>
      </c>
      <c r="H908">
        <v>7</v>
      </c>
      <c r="I908" s="13">
        <v>45493</v>
      </c>
      <c r="J908" s="13" t="str">
        <f>TEXT(Table1[[#This Row],[Date]],"[$-en-US]mmm yyyy")</f>
        <v>Jul 2024</v>
      </c>
      <c r="K908" s="13" t="str">
        <f>TEXT(Table1[[#This Row],[Date]],"[$-en-US]ddd")</f>
        <v>Sat</v>
      </c>
    </row>
    <row r="909" spans="1:11" x14ac:dyDescent="0.25">
      <c r="A909">
        <v>8</v>
      </c>
      <c r="B909" t="s">
        <v>9</v>
      </c>
      <c r="C909">
        <v>32.82</v>
      </c>
      <c r="D909" t="s">
        <v>10</v>
      </c>
      <c r="E909" t="s">
        <v>11</v>
      </c>
      <c r="F909" t="s">
        <v>32</v>
      </c>
      <c r="G909">
        <v>6</v>
      </c>
      <c r="H909">
        <v>7</v>
      </c>
      <c r="I909" s="13">
        <v>45493</v>
      </c>
      <c r="J909" s="13" t="str">
        <f>TEXT(Table1[[#This Row],[Date]],"[$-en-US]mmm yyyy")</f>
        <v>Jul 2024</v>
      </c>
      <c r="K909" s="13" t="str">
        <f>TEXT(Table1[[#This Row],[Date]],"[$-en-US]ddd")</f>
        <v>Sat</v>
      </c>
    </row>
    <row r="910" spans="1:11" x14ac:dyDescent="0.25">
      <c r="A910">
        <v>8</v>
      </c>
      <c r="B910" t="s">
        <v>9</v>
      </c>
      <c r="C910">
        <v>23.02</v>
      </c>
      <c r="D910" t="s">
        <v>16</v>
      </c>
      <c r="E910" t="s">
        <v>11</v>
      </c>
      <c r="F910" t="s">
        <v>32</v>
      </c>
      <c r="G910">
        <v>6</v>
      </c>
      <c r="H910">
        <v>7</v>
      </c>
      <c r="I910" s="13">
        <v>45493</v>
      </c>
      <c r="J910" s="13" t="str">
        <f>TEXT(Table1[[#This Row],[Date]],"[$-en-US]mmm yyyy")</f>
        <v>Jul 2024</v>
      </c>
      <c r="K910" s="13" t="str">
        <f>TEXT(Table1[[#This Row],[Date]],"[$-en-US]ddd")</f>
        <v>Sat</v>
      </c>
    </row>
    <row r="911" spans="1:11" x14ac:dyDescent="0.25">
      <c r="A911">
        <v>9</v>
      </c>
      <c r="B911" t="s">
        <v>9</v>
      </c>
      <c r="C911">
        <v>32.82</v>
      </c>
      <c r="D911" t="s">
        <v>10</v>
      </c>
      <c r="E911" t="s">
        <v>11</v>
      </c>
      <c r="F911" t="s">
        <v>32</v>
      </c>
      <c r="G911">
        <v>6</v>
      </c>
      <c r="H911">
        <v>7</v>
      </c>
      <c r="I911" s="13">
        <v>45493</v>
      </c>
      <c r="J911" s="13" t="str">
        <f>TEXT(Table1[[#This Row],[Date]],"[$-en-US]mmm yyyy")</f>
        <v>Jul 2024</v>
      </c>
      <c r="K911" s="13" t="str">
        <f>TEXT(Table1[[#This Row],[Date]],"[$-en-US]ddd")</f>
        <v>Sat</v>
      </c>
    </row>
    <row r="912" spans="1:11" x14ac:dyDescent="0.25">
      <c r="A912">
        <v>9</v>
      </c>
      <c r="B912" t="s">
        <v>9</v>
      </c>
      <c r="C912">
        <v>32.82</v>
      </c>
      <c r="D912" t="s">
        <v>10</v>
      </c>
      <c r="E912" t="s">
        <v>11</v>
      </c>
      <c r="F912" t="s">
        <v>32</v>
      </c>
      <c r="G912">
        <v>6</v>
      </c>
      <c r="H912">
        <v>7</v>
      </c>
      <c r="I912" s="13">
        <v>45493</v>
      </c>
      <c r="J912" s="13" t="str">
        <f>TEXT(Table1[[#This Row],[Date]],"[$-en-US]mmm yyyy")</f>
        <v>Jul 2024</v>
      </c>
      <c r="K912" s="13" t="str">
        <f>TEXT(Table1[[#This Row],[Date]],"[$-en-US]ddd")</f>
        <v>Sat</v>
      </c>
    </row>
    <row r="913" spans="1:11" x14ac:dyDescent="0.25">
      <c r="A913">
        <v>10</v>
      </c>
      <c r="B913" t="s">
        <v>9</v>
      </c>
      <c r="C913">
        <v>23.02</v>
      </c>
      <c r="D913" t="s">
        <v>16</v>
      </c>
      <c r="E913" t="s">
        <v>11</v>
      </c>
      <c r="F913" t="s">
        <v>32</v>
      </c>
      <c r="G913">
        <v>6</v>
      </c>
      <c r="H913">
        <v>7</v>
      </c>
      <c r="I913" s="13">
        <v>45493</v>
      </c>
      <c r="J913" s="13" t="str">
        <f>TEXT(Table1[[#This Row],[Date]],"[$-en-US]mmm yyyy")</f>
        <v>Jul 2024</v>
      </c>
      <c r="K913" s="13" t="str">
        <f>TEXT(Table1[[#This Row],[Date]],"[$-en-US]ddd")</f>
        <v>Sat</v>
      </c>
    </row>
    <row r="914" spans="1:11" x14ac:dyDescent="0.25">
      <c r="A914">
        <v>15</v>
      </c>
      <c r="B914" t="s">
        <v>9</v>
      </c>
      <c r="C914">
        <v>32.82</v>
      </c>
      <c r="D914" t="s">
        <v>10</v>
      </c>
      <c r="E914" t="s">
        <v>15</v>
      </c>
      <c r="F914" t="s">
        <v>32</v>
      </c>
      <c r="G914">
        <v>6</v>
      </c>
      <c r="H914">
        <v>7</v>
      </c>
      <c r="I914" s="13">
        <v>45493</v>
      </c>
      <c r="J914" s="13" t="str">
        <f>TEXT(Table1[[#This Row],[Date]],"[$-en-US]mmm yyyy")</f>
        <v>Jul 2024</v>
      </c>
      <c r="K914" s="13" t="str">
        <f>TEXT(Table1[[#This Row],[Date]],"[$-en-US]ddd")</f>
        <v>Sat</v>
      </c>
    </row>
    <row r="915" spans="1:11" x14ac:dyDescent="0.25">
      <c r="A915">
        <v>10</v>
      </c>
      <c r="B915" t="s">
        <v>9</v>
      </c>
      <c r="C915">
        <v>32.82</v>
      </c>
      <c r="D915" t="s">
        <v>19</v>
      </c>
      <c r="E915" t="s">
        <v>11</v>
      </c>
      <c r="F915" t="s">
        <v>32</v>
      </c>
      <c r="G915">
        <v>7</v>
      </c>
      <c r="H915">
        <v>7</v>
      </c>
      <c r="I915" s="13">
        <v>45494</v>
      </c>
      <c r="J915" s="13" t="str">
        <f>TEXT(Table1[[#This Row],[Date]],"[$-en-US]mmm yyyy")</f>
        <v>Jul 2024</v>
      </c>
      <c r="K915" s="13" t="str">
        <f>TEXT(Table1[[#This Row],[Date]],"[$-en-US]ddd")</f>
        <v>Sun</v>
      </c>
    </row>
    <row r="916" spans="1:11" x14ac:dyDescent="0.25">
      <c r="A916">
        <v>11</v>
      </c>
      <c r="B916" t="s">
        <v>9</v>
      </c>
      <c r="C916">
        <v>32.82</v>
      </c>
      <c r="D916" t="s">
        <v>27</v>
      </c>
      <c r="E916" t="s">
        <v>11</v>
      </c>
      <c r="F916" t="s">
        <v>32</v>
      </c>
      <c r="G916">
        <v>7</v>
      </c>
      <c r="H916">
        <v>7</v>
      </c>
      <c r="I916" s="13">
        <v>45494</v>
      </c>
      <c r="J916" s="13" t="str">
        <f>TEXT(Table1[[#This Row],[Date]],"[$-en-US]mmm yyyy")</f>
        <v>Jul 2024</v>
      </c>
      <c r="K916" s="13" t="str">
        <f>TEXT(Table1[[#This Row],[Date]],"[$-en-US]ddd")</f>
        <v>Sun</v>
      </c>
    </row>
    <row r="917" spans="1:11" x14ac:dyDescent="0.25">
      <c r="A917">
        <v>13</v>
      </c>
      <c r="B917" t="s">
        <v>9</v>
      </c>
      <c r="C917">
        <v>23.02</v>
      </c>
      <c r="D917" t="s">
        <v>22</v>
      </c>
      <c r="E917" t="s">
        <v>15</v>
      </c>
      <c r="F917" t="s">
        <v>32</v>
      </c>
      <c r="G917">
        <v>7</v>
      </c>
      <c r="H917">
        <v>7</v>
      </c>
      <c r="I917" s="13">
        <v>45494</v>
      </c>
      <c r="J917" s="13" t="str">
        <f>TEXT(Table1[[#This Row],[Date]],"[$-en-US]mmm yyyy")</f>
        <v>Jul 2024</v>
      </c>
      <c r="K917" s="13" t="str">
        <f>TEXT(Table1[[#This Row],[Date]],"[$-en-US]ddd")</f>
        <v>Sun</v>
      </c>
    </row>
    <row r="918" spans="1:11" x14ac:dyDescent="0.25">
      <c r="A918">
        <v>13</v>
      </c>
      <c r="B918" t="s">
        <v>9</v>
      </c>
      <c r="C918">
        <v>32.82</v>
      </c>
      <c r="D918" t="s">
        <v>10</v>
      </c>
      <c r="E918" t="s">
        <v>15</v>
      </c>
      <c r="F918" t="s">
        <v>32</v>
      </c>
      <c r="G918">
        <v>7</v>
      </c>
      <c r="H918">
        <v>7</v>
      </c>
      <c r="I918" s="13">
        <v>45494</v>
      </c>
      <c r="J918" s="13" t="str">
        <f>TEXT(Table1[[#This Row],[Date]],"[$-en-US]mmm yyyy")</f>
        <v>Jul 2024</v>
      </c>
      <c r="K918" s="13" t="str">
        <f>TEXT(Table1[[#This Row],[Date]],"[$-en-US]ddd")</f>
        <v>Sun</v>
      </c>
    </row>
    <row r="919" spans="1:11" x14ac:dyDescent="0.25">
      <c r="A919">
        <v>8</v>
      </c>
      <c r="B919" t="s">
        <v>9</v>
      </c>
      <c r="C919">
        <v>23.02</v>
      </c>
      <c r="D919" t="s">
        <v>16</v>
      </c>
      <c r="E919" t="s">
        <v>11</v>
      </c>
      <c r="F919" t="s">
        <v>32</v>
      </c>
      <c r="G919">
        <v>1</v>
      </c>
      <c r="H919">
        <v>7</v>
      </c>
      <c r="I919" s="13">
        <v>45495</v>
      </c>
      <c r="J919" s="13" t="str">
        <f>TEXT(Table1[[#This Row],[Date]],"[$-en-US]mmm yyyy")</f>
        <v>Jul 2024</v>
      </c>
      <c r="K919" s="13" t="str">
        <f>TEXT(Table1[[#This Row],[Date]],"[$-en-US]ddd")</f>
        <v>Mon</v>
      </c>
    </row>
    <row r="920" spans="1:11" x14ac:dyDescent="0.25">
      <c r="A920">
        <v>8</v>
      </c>
      <c r="B920" t="s">
        <v>9</v>
      </c>
      <c r="C920">
        <v>23.02</v>
      </c>
      <c r="D920" t="s">
        <v>16</v>
      </c>
      <c r="E920" t="s">
        <v>11</v>
      </c>
      <c r="F920" t="s">
        <v>32</v>
      </c>
      <c r="G920">
        <v>1</v>
      </c>
      <c r="H920">
        <v>7</v>
      </c>
      <c r="I920" s="13">
        <v>45495</v>
      </c>
      <c r="J920" s="13" t="str">
        <f>TEXT(Table1[[#This Row],[Date]],"[$-en-US]mmm yyyy")</f>
        <v>Jul 2024</v>
      </c>
      <c r="K920" s="13" t="str">
        <f>TEXT(Table1[[#This Row],[Date]],"[$-en-US]ddd")</f>
        <v>Mon</v>
      </c>
    </row>
    <row r="921" spans="1:11" x14ac:dyDescent="0.25">
      <c r="A921">
        <v>10</v>
      </c>
      <c r="B921" t="s">
        <v>9</v>
      </c>
      <c r="C921">
        <v>27.92</v>
      </c>
      <c r="D921" t="s">
        <v>17</v>
      </c>
      <c r="E921" t="s">
        <v>11</v>
      </c>
      <c r="F921" t="s">
        <v>32</v>
      </c>
      <c r="G921">
        <v>1</v>
      </c>
      <c r="H921">
        <v>7</v>
      </c>
      <c r="I921" s="13">
        <v>45495</v>
      </c>
      <c r="J921" s="13" t="str">
        <f>TEXT(Table1[[#This Row],[Date]],"[$-en-US]mmm yyyy")</f>
        <v>Jul 2024</v>
      </c>
      <c r="K921" s="13" t="str">
        <f>TEXT(Table1[[#This Row],[Date]],"[$-en-US]ddd")</f>
        <v>Mon</v>
      </c>
    </row>
    <row r="922" spans="1:11" x14ac:dyDescent="0.25">
      <c r="A922">
        <v>16</v>
      </c>
      <c r="B922" t="s">
        <v>9</v>
      </c>
      <c r="C922">
        <v>32.82</v>
      </c>
      <c r="D922" t="s">
        <v>10</v>
      </c>
      <c r="E922" t="s">
        <v>15</v>
      </c>
      <c r="F922" t="s">
        <v>32</v>
      </c>
      <c r="G922">
        <v>1</v>
      </c>
      <c r="H922">
        <v>7</v>
      </c>
      <c r="I922" s="13">
        <v>45495</v>
      </c>
      <c r="J922" s="13" t="str">
        <f>TEXT(Table1[[#This Row],[Date]],"[$-en-US]mmm yyyy")</f>
        <v>Jul 2024</v>
      </c>
      <c r="K922" s="13" t="str">
        <f>TEXT(Table1[[#This Row],[Date]],"[$-en-US]ddd")</f>
        <v>Mon</v>
      </c>
    </row>
    <row r="923" spans="1:11" x14ac:dyDescent="0.25">
      <c r="A923">
        <v>8</v>
      </c>
      <c r="B923" t="s">
        <v>9</v>
      </c>
      <c r="C923">
        <v>32.82</v>
      </c>
      <c r="D923" t="s">
        <v>10</v>
      </c>
      <c r="E923" t="s">
        <v>11</v>
      </c>
      <c r="F923" t="s">
        <v>32</v>
      </c>
      <c r="G923">
        <v>2</v>
      </c>
      <c r="H923">
        <v>7</v>
      </c>
      <c r="I923" s="13">
        <v>45496</v>
      </c>
      <c r="J923" s="13" t="str">
        <f>TEXT(Table1[[#This Row],[Date]],"[$-en-US]mmm yyyy")</f>
        <v>Jul 2024</v>
      </c>
      <c r="K923" s="13" t="str">
        <f>TEXT(Table1[[#This Row],[Date]],"[$-en-US]ddd")</f>
        <v>Tue</v>
      </c>
    </row>
    <row r="924" spans="1:11" x14ac:dyDescent="0.25">
      <c r="A924">
        <v>8</v>
      </c>
      <c r="B924" t="s">
        <v>9</v>
      </c>
      <c r="C924">
        <v>23.02</v>
      </c>
      <c r="D924" t="s">
        <v>16</v>
      </c>
      <c r="E924" t="s">
        <v>11</v>
      </c>
      <c r="F924" t="s">
        <v>32</v>
      </c>
      <c r="G924">
        <v>2</v>
      </c>
      <c r="H924">
        <v>7</v>
      </c>
      <c r="I924" s="13">
        <v>45496</v>
      </c>
      <c r="J924" s="13" t="str">
        <f>TEXT(Table1[[#This Row],[Date]],"[$-en-US]mmm yyyy")</f>
        <v>Jul 2024</v>
      </c>
      <c r="K924" s="13" t="str">
        <f>TEXT(Table1[[#This Row],[Date]],"[$-en-US]ddd")</f>
        <v>Tue</v>
      </c>
    </row>
    <row r="925" spans="1:11" x14ac:dyDescent="0.25">
      <c r="A925">
        <v>8</v>
      </c>
      <c r="B925" t="s">
        <v>9</v>
      </c>
      <c r="C925">
        <v>27.92</v>
      </c>
      <c r="D925" t="s">
        <v>17</v>
      </c>
      <c r="E925" t="s">
        <v>11</v>
      </c>
      <c r="F925" t="s">
        <v>32</v>
      </c>
      <c r="G925">
        <v>2</v>
      </c>
      <c r="H925">
        <v>7</v>
      </c>
      <c r="I925" s="13">
        <v>45496</v>
      </c>
      <c r="J925" s="13" t="str">
        <f>TEXT(Table1[[#This Row],[Date]],"[$-en-US]mmm yyyy")</f>
        <v>Jul 2024</v>
      </c>
      <c r="K925" s="13" t="str">
        <f>TEXT(Table1[[#This Row],[Date]],"[$-en-US]ddd")</f>
        <v>Tue</v>
      </c>
    </row>
    <row r="926" spans="1:11" x14ac:dyDescent="0.25">
      <c r="A926">
        <v>8</v>
      </c>
      <c r="B926" t="s">
        <v>9</v>
      </c>
      <c r="C926">
        <v>32.82</v>
      </c>
      <c r="D926" t="s">
        <v>19</v>
      </c>
      <c r="E926" t="s">
        <v>11</v>
      </c>
      <c r="F926" t="s">
        <v>32</v>
      </c>
      <c r="G926">
        <v>2</v>
      </c>
      <c r="H926">
        <v>7</v>
      </c>
      <c r="I926" s="13">
        <v>45496</v>
      </c>
      <c r="J926" s="13" t="str">
        <f>TEXT(Table1[[#This Row],[Date]],"[$-en-US]mmm yyyy")</f>
        <v>Jul 2024</v>
      </c>
      <c r="K926" s="13" t="str">
        <f>TEXT(Table1[[#This Row],[Date]],"[$-en-US]ddd")</f>
        <v>Tue</v>
      </c>
    </row>
    <row r="927" spans="1:11" x14ac:dyDescent="0.25">
      <c r="A927">
        <v>8</v>
      </c>
      <c r="B927" t="s">
        <v>9</v>
      </c>
      <c r="C927">
        <v>32.82</v>
      </c>
      <c r="D927" t="s">
        <v>10</v>
      </c>
      <c r="E927" t="s">
        <v>11</v>
      </c>
      <c r="F927" t="s">
        <v>32</v>
      </c>
      <c r="G927">
        <v>2</v>
      </c>
      <c r="H927">
        <v>7</v>
      </c>
      <c r="I927" s="13">
        <v>45496</v>
      </c>
      <c r="J927" s="13" t="str">
        <f>TEXT(Table1[[#This Row],[Date]],"[$-en-US]mmm yyyy")</f>
        <v>Jul 2024</v>
      </c>
      <c r="K927" s="13" t="str">
        <f>TEXT(Table1[[#This Row],[Date]],"[$-en-US]ddd")</f>
        <v>Tue</v>
      </c>
    </row>
    <row r="928" spans="1:11" x14ac:dyDescent="0.25">
      <c r="A928">
        <v>9</v>
      </c>
      <c r="B928" t="s">
        <v>9</v>
      </c>
      <c r="C928">
        <v>23.02</v>
      </c>
      <c r="D928" t="s">
        <v>16</v>
      </c>
      <c r="E928" t="s">
        <v>11</v>
      </c>
      <c r="F928" t="s">
        <v>32</v>
      </c>
      <c r="G928">
        <v>2</v>
      </c>
      <c r="H928">
        <v>7</v>
      </c>
      <c r="I928" s="13">
        <v>45496</v>
      </c>
      <c r="J928" s="13" t="str">
        <f>TEXT(Table1[[#This Row],[Date]],"[$-en-US]mmm yyyy")</f>
        <v>Jul 2024</v>
      </c>
      <c r="K928" s="13" t="str">
        <f>TEXT(Table1[[#This Row],[Date]],"[$-en-US]ddd")</f>
        <v>Tue</v>
      </c>
    </row>
    <row r="929" spans="1:11" x14ac:dyDescent="0.25">
      <c r="A929">
        <v>10</v>
      </c>
      <c r="B929" t="s">
        <v>9</v>
      </c>
      <c r="C929">
        <v>27.92</v>
      </c>
      <c r="D929" t="s">
        <v>17</v>
      </c>
      <c r="E929" t="s">
        <v>11</v>
      </c>
      <c r="F929" t="s">
        <v>32</v>
      </c>
      <c r="G929">
        <v>2</v>
      </c>
      <c r="H929">
        <v>7</v>
      </c>
      <c r="I929" s="13">
        <v>45496</v>
      </c>
      <c r="J929" s="13" t="str">
        <f>TEXT(Table1[[#This Row],[Date]],"[$-en-US]mmm yyyy")</f>
        <v>Jul 2024</v>
      </c>
      <c r="K929" s="13" t="str">
        <f>TEXT(Table1[[#This Row],[Date]],"[$-en-US]ddd")</f>
        <v>Tue</v>
      </c>
    </row>
    <row r="930" spans="1:11" x14ac:dyDescent="0.25">
      <c r="A930">
        <v>15</v>
      </c>
      <c r="B930" t="s">
        <v>9</v>
      </c>
      <c r="C930">
        <v>27.92</v>
      </c>
      <c r="D930" t="s">
        <v>17</v>
      </c>
      <c r="E930" t="s">
        <v>15</v>
      </c>
      <c r="F930" t="s">
        <v>32</v>
      </c>
      <c r="G930">
        <v>2</v>
      </c>
      <c r="H930">
        <v>7</v>
      </c>
      <c r="I930" s="13">
        <v>45496</v>
      </c>
      <c r="J930" s="13" t="str">
        <f>TEXT(Table1[[#This Row],[Date]],"[$-en-US]mmm yyyy")</f>
        <v>Jul 2024</v>
      </c>
      <c r="K930" s="13" t="str">
        <f>TEXT(Table1[[#This Row],[Date]],"[$-en-US]ddd")</f>
        <v>Tue</v>
      </c>
    </row>
    <row r="931" spans="1:11" x14ac:dyDescent="0.25">
      <c r="A931">
        <v>15</v>
      </c>
      <c r="B931" t="s">
        <v>9</v>
      </c>
      <c r="C931">
        <v>32.82</v>
      </c>
      <c r="D931" t="s">
        <v>10</v>
      </c>
      <c r="E931" t="s">
        <v>15</v>
      </c>
      <c r="F931" t="s">
        <v>32</v>
      </c>
      <c r="G931">
        <v>2</v>
      </c>
      <c r="H931">
        <v>7</v>
      </c>
      <c r="I931" s="13">
        <v>45496</v>
      </c>
      <c r="J931" s="13" t="str">
        <f>TEXT(Table1[[#This Row],[Date]],"[$-en-US]mmm yyyy")</f>
        <v>Jul 2024</v>
      </c>
      <c r="K931" s="13" t="str">
        <f>TEXT(Table1[[#This Row],[Date]],"[$-en-US]ddd")</f>
        <v>Tue</v>
      </c>
    </row>
    <row r="932" spans="1:11" x14ac:dyDescent="0.25">
      <c r="A932">
        <v>21</v>
      </c>
      <c r="B932" t="s">
        <v>9</v>
      </c>
      <c r="C932">
        <v>32.82</v>
      </c>
      <c r="D932" t="s">
        <v>10</v>
      </c>
      <c r="E932" t="s">
        <v>18</v>
      </c>
      <c r="F932" t="s">
        <v>32</v>
      </c>
      <c r="G932">
        <v>2</v>
      </c>
      <c r="H932">
        <v>7</v>
      </c>
      <c r="I932" s="13">
        <v>45496</v>
      </c>
      <c r="J932" s="13" t="str">
        <f>TEXT(Table1[[#This Row],[Date]],"[$-en-US]mmm yyyy")</f>
        <v>Jul 2024</v>
      </c>
      <c r="K932" s="13" t="str">
        <f>TEXT(Table1[[#This Row],[Date]],"[$-en-US]ddd")</f>
        <v>Tue</v>
      </c>
    </row>
    <row r="933" spans="1:11" x14ac:dyDescent="0.25">
      <c r="A933">
        <v>21</v>
      </c>
      <c r="B933" t="s">
        <v>9</v>
      </c>
      <c r="C933">
        <v>23.02</v>
      </c>
      <c r="D933" t="s">
        <v>16</v>
      </c>
      <c r="E933" t="s">
        <v>18</v>
      </c>
      <c r="F933" t="s">
        <v>32</v>
      </c>
      <c r="G933">
        <v>2</v>
      </c>
      <c r="H933">
        <v>7</v>
      </c>
      <c r="I933" s="13">
        <v>45496</v>
      </c>
      <c r="J933" s="13" t="str">
        <f>TEXT(Table1[[#This Row],[Date]],"[$-en-US]mmm yyyy")</f>
        <v>Jul 2024</v>
      </c>
      <c r="K933" s="13" t="str">
        <f>TEXT(Table1[[#This Row],[Date]],"[$-en-US]ddd")</f>
        <v>Tue</v>
      </c>
    </row>
    <row r="934" spans="1:11" x14ac:dyDescent="0.25">
      <c r="A934">
        <v>21</v>
      </c>
      <c r="B934" t="s">
        <v>9</v>
      </c>
      <c r="C934">
        <v>23.02</v>
      </c>
      <c r="D934" t="s">
        <v>16</v>
      </c>
      <c r="E934" t="s">
        <v>18</v>
      </c>
      <c r="F934" t="s">
        <v>32</v>
      </c>
      <c r="G934">
        <v>2</v>
      </c>
      <c r="H934">
        <v>7</v>
      </c>
      <c r="I934" s="13">
        <v>45496</v>
      </c>
      <c r="J934" s="13" t="str">
        <f>TEXT(Table1[[#This Row],[Date]],"[$-en-US]mmm yyyy")</f>
        <v>Jul 2024</v>
      </c>
      <c r="K934" s="13" t="str">
        <f>TEXT(Table1[[#This Row],[Date]],"[$-en-US]ddd")</f>
        <v>Tue</v>
      </c>
    </row>
    <row r="935" spans="1:11" x14ac:dyDescent="0.25">
      <c r="A935">
        <v>9</v>
      </c>
      <c r="B935" t="s">
        <v>9</v>
      </c>
      <c r="C935">
        <v>27.92</v>
      </c>
      <c r="D935" t="s">
        <v>17</v>
      </c>
      <c r="E935" t="s">
        <v>11</v>
      </c>
      <c r="F935" t="s">
        <v>32</v>
      </c>
      <c r="G935">
        <v>3</v>
      </c>
      <c r="H935">
        <v>7</v>
      </c>
      <c r="I935" s="13">
        <v>45497</v>
      </c>
      <c r="J935" s="13" t="str">
        <f>TEXT(Table1[[#This Row],[Date]],"[$-en-US]mmm yyyy")</f>
        <v>Jul 2024</v>
      </c>
      <c r="K935" s="13" t="str">
        <f>TEXT(Table1[[#This Row],[Date]],"[$-en-US]ddd")</f>
        <v>Wed</v>
      </c>
    </row>
    <row r="936" spans="1:11" x14ac:dyDescent="0.25">
      <c r="A936">
        <v>9</v>
      </c>
      <c r="B936" t="s">
        <v>9</v>
      </c>
      <c r="C936">
        <v>27.92</v>
      </c>
      <c r="D936" t="s">
        <v>17</v>
      </c>
      <c r="E936" t="s">
        <v>11</v>
      </c>
      <c r="F936" t="s">
        <v>32</v>
      </c>
      <c r="G936">
        <v>3</v>
      </c>
      <c r="H936">
        <v>7</v>
      </c>
      <c r="I936" s="13">
        <v>45497</v>
      </c>
      <c r="J936" s="13" t="str">
        <f>TEXT(Table1[[#This Row],[Date]],"[$-en-US]mmm yyyy")</f>
        <v>Jul 2024</v>
      </c>
      <c r="K936" s="13" t="str">
        <f>TEXT(Table1[[#This Row],[Date]],"[$-en-US]ddd")</f>
        <v>Wed</v>
      </c>
    </row>
    <row r="937" spans="1:11" x14ac:dyDescent="0.25">
      <c r="A937">
        <v>9</v>
      </c>
      <c r="B937" t="s">
        <v>9</v>
      </c>
      <c r="C937">
        <v>18.12</v>
      </c>
      <c r="D937" t="s">
        <v>24</v>
      </c>
      <c r="E937" t="s">
        <v>11</v>
      </c>
      <c r="F937" t="s">
        <v>32</v>
      </c>
      <c r="G937">
        <v>3</v>
      </c>
      <c r="H937">
        <v>7</v>
      </c>
      <c r="I937" s="13">
        <v>45497</v>
      </c>
      <c r="J937" s="13" t="str">
        <f>TEXT(Table1[[#This Row],[Date]],"[$-en-US]mmm yyyy")</f>
        <v>Jul 2024</v>
      </c>
      <c r="K937" s="13" t="str">
        <f>TEXT(Table1[[#This Row],[Date]],"[$-en-US]ddd")</f>
        <v>Wed</v>
      </c>
    </row>
    <row r="938" spans="1:11" x14ac:dyDescent="0.25">
      <c r="A938">
        <v>11</v>
      </c>
      <c r="B938" t="s">
        <v>9</v>
      </c>
      <c r="C938">
        <v>32.82</v>
      </c>
      <c r="D938" t="s">
        <v>27</v>
      </c>
      <c r="E938" t="s">
        <v>11</v>
      </c>
      <c r="F938" t="s">
        <v>32</v>
      </c>
      <c r="G938">
        <v>3</v>
      </c>
      <c r="H938">
        <v>7</v>
      </c>
      <c r="I938" s="13">
        <v>45497</v>
      </c>
      <c r="J938" s="13" t="str">
        <f>TEXT(Table1[[#This Row],[Date]],"[$-en-US]mmm yyyy")</f>
        <v>Jul 2024</v>
      </c>
      <c r="K938" s="13" t="str">
        <f>TEXT(Table1[[#This Row],[Date]],"[$-en-US]ddd")</f>
        <v>Wed</v>
      </c>
    </row>
    <row r="939" spans="1:11" x14ac:dyDescent="0.25">
      <c r="A939">
        <v>13</v>
      </c>
      <c r="B939" t="s">
        <v>9</v>
      </c>
      <c r="C939">
        <v>32.82</v>
      </c>
      <c r="D939" t="s">
        <v>10</v>
      </c>
      <c r="E939" t="s">
        <v>15</v>
      </c>
      <c r="F939" t="s">
        <v>32</v>
      </c>
      <c r="G939">
        <v>3</v>
      </c>
      <c r="H939">
        <v>7</v>
      </c>
      <c r="I939" s="13">
        <v>45497</v>
      </c>
      <c r="J939" s="13" t="str">
        <f>TEXT(Table1[[#This Row],[Date]],"[$-en-US]mmm yyyy")</f>
        <v>Jul 2024</v>
      </c>
      <c r="K939" s="13" t="str">
        <f>TEXT(Table1[[#This Row],[Date]],"[$-en-US]ddd")</f>
        <v>Wed</v>
      </c>
    </row>
    <row r="940" spans="1:11" x14ac:dyDescent="0.25">
      <c r="A940">
        <v>14</v>
      </c>
      <c r="B940" t="s">
        <v>9</v>
      </c>
      <c r="C940">
        <v>18.12</v>
      </c>
      <c r="D940" t="s">
        <v>24</v>
      </c>
      <c r="E940" t="s">
        <v>15</v>
      </c>
      <c r="F940" t="s">
        <v>32</v>
      </c>
      <c r="G940">
        <v>3</v>
      </c>
      <c r="H940">
        <v>7</v>
      </c>
      <c r="I940" s="13">
        <v>45497</v>
      </c>
      <c r="J940" s="13" t="str">
        <f>TEXT(Table1[[#This Row],[Date]],"[$-en-US]mmm yyyy")</f>
        <v>Jul 2024</v>
      </c>
      <c r="K940" s="13" t="str">
        <f>TEXT(Table1[[#This Row],[Date]],"[$-en-US]ddd")</f>
        <v>Wed</v>
      </c>
    </row>
    <row r="941" spans="1:11" x14ac:dyDescent="0.25">
      <c r="A941">
        <v>15</v>
      </c>
      <c r="B941" t="s">
        <v>9</v>
      </c>
      <c r="C941">
        <v>32.82</v>
      </c>
      <c r="D941" t="s">
        <v>10</v>
      </c>
      <c r="E941" t="s">
        <v>15</v>
      </c>
      <c r="F941" t="s">
        <v>32</v>
      </c>
      <c r="G941">
        <v>3</v>
      </c>
      <c r="H941">
        <v>7</v>
      </c>
      <c r="I941" s="13">
        <v>45497</v>
      </c>
      <c r="J941" s="13" t="str">
        <f>TEXT(Table1[[#This Row],[Date]],"[$-en-US]mmm yyyy")</f>
        <v>Jul 2024</v>
      </c>
      <c r="K941" s="13" t="str">
        <f>TEXT(Table1[[#This Row],[Date]],"[$-en-US]ddd")</f>
        <v>Wed</v>
      </c>
    </row>
    <row r="942" spans="1:11" x14ac:dyDescent="0.25">
      <c r="A942">
        <v>19</v>
      </c>
      <c r="B942" t="s">
        <v>9</v>
      </c>
      <c r="C942">
        <v>32.82</v>
      </c>
      <c r="D942" t="s">
        <v>27</v>
      </c>
      <c r="E942" t="s">
        <v>18</v>
      </c>
      <c r="F942" t="s">
        <v>32</v>
      </c>
      <c r="G942">
        <v>3</v>
      </c>
      <c r="H942">
        <v>7</v>
      </c>
      <c r="I942" s="13">
        <v>45497</v>
      </c>
      <c r="J942" s="13" t="str">
        <f>TEXT(Table1[[#This Row],[Date]],"[$-en-US]mmm yyyy")</f>
        <v>Jul 2024</v>
      </c>
      <c r="K942" s="13" t="str">
        <f>TEXT(Table1[[#This Row],[Date]],"[$-en-US]ddd")</f>
        <v>Wed</v>
      </c>
    </row>
    <row r="943" spans="1:11" x14ac:dyDescent="0.25">
      <c r="A943">
        <v>19</v>
      </c>
      <c r="B943" t="s">
        <v>9</v>
      </c>
      <c r="C943">
        <v>32.82</v>
      </c>
      <c r="D943" t="s">
        <v>27</v>
      </c>
      <c r="E943" t="s">
        <v>18</v>
      </c>
      <c r="F943" t="s">
        <v>32</v>
      </c>
      <c r="G943">
        <v>3</v>
      </c>
      <c r="H943">
        <v>7</v>
      </c>
      <c r="I943" s="13">
        <v>45497</v>
      </c>
      <c r="J943" s="13" t="str">
        <f>TEXT(Table1[[#This Row],[Date]],"[$-en-US]mmm yyyy")</f>
        <v>Jul 2024</v>
      </c>
      <c r="K943" s="13" t="str">
        <f>TEXT(Table1[[#This Row],[Date]],"[$-en-US]ddd")</f>
        <v>Wed</v>
      </c>
    </row>
    <row r="944" spans="1:11" x14ac:dyDescent="0.25">
      <c r="A944">
        <v>21</v>
      </c>
      <c r="B944" t="s">
        <v>9</v>
      </c>
      <c r="C944">
        <v>27.92</v>
      </c>
      <c r="D944" t="s">
        <v>17</v>
      </c>
      <c r="E944" t="s">
        <v>18</v>
      </c>
      <c r="F944" t="s">
        <v>32</v>
      </c>
      <c r="G944">
        <v>3</v>
      </c>
      <c r="H944">
        <v>7</v>
      </c>
      <c r="I944" s="13">
        <v>45497</v>
      </c>
      <c r="J944" s="13" t="str">
        <f>TEXT(Table1[[#This Row],[Date]],"[$-en-US]mmm yyyy")</f>
        <v>Jul 2024</v>
      </c>
      <c r="K944" s="13" t="str">
        <f>TEXT(Table1[[#This Row],[Date]],"[$-en-US]ddd")</f>
        <v>Wed</v>
      </c>
    </row>
    <row r="945" spans="1:11" x14ac:dyDescent="0.25">
      <c r="A945">
        <v>21</v>
      </c>
      <c r="B945" t="s">
        <v>9</v>
      </c>
      <c r="C945">
        <v>23.02</v>
      </c>
      <c r="D945" t="s">
        <v>16</v>
      </c>
      <c r="E945" t="s">
        <v>18</v>
      </c>
      <c r="F945" t="s">
        <v>32</v>
      </c>
      <c r="G945">
        <v>3</v>
      </c>
      <c r="H945">
        <v>7</v>
      </c>
      <c r="I945" s="13">
        <v>45497</v>
      </c>
      <c r="J945" s="13" t="str">
        <f>TEXT(Table1[[#This Row],[Date]],"[$-en-US]mmm yyyy")</f>
        <v>Jul 2024</v>
      </c>
      <c r="K945" s="13" t="str">
        <f>TEXT(Table1[[#This Row],[Date]],"[$-en-US]ddd")</f>
        <v>Wed</v>
      </c>
    </row>
    <row r="946" spans="1:11" x14ac:dyDescent="0.25">
      <c r="A946">
        <v>21</v>
      </c>
      <c r="B946" t="s">
        <v>9</v>
      </c>
      <c r="C946">
        <v>23.02</v>
      </c>
      <c r="D946" t="s">
        <v>16</v>
      </c>
      <c r="E946" t="s">
        <v>18</v>
      </c>
      <c r="F946" t="s">
        <v>32</v>
      </c>
      <c r="G946">
        <v>3</v>
      </c>
      <c r="H946">
        <v>7</v>
      </c>
      <c r="I946" s="13">
        <v>45497</v>
      </c>
      <c r="J946" s="13" t="str">
        <f>TEXT(Table1[[#This Row],[Date]],"[$-en-US]mmm yyyy")</f>
        <v>Jul 2024</v>
      </c>
      <c r="K946" s="13" t="str">
        <f>TEXT(Table1[[#This Row],[Date]],"[$-en-US]ddd")</f>
        <v>Wed</v>
      </c>
    </row>
    <row r="947" spans="1:11" x14ac:dyDescent="0.25">
      <c r="A947">
        <v>7</v>
      </c>
      <c r="B947" t="s">
        <v>9</v>
      </c>
      <c r="C947">
        <v>23.02</v>
      </c>
      <c r="D947" t="s">
        <v>16</v>
      </c>
      <c r="E947" t="s">
        <v>11</v>
      </c>
      <c r="F947" t="s">
        <v>32</v>
      </c>
      <c r="G947">
        <v>4</v>
      </c>
      <c r="H947">
        <v>7</v>
      </c>
      <c r="I947" s="13">
        <v>45498</v>
      </c>
      <c r="J947" s="13" t="str">
        <f>TEXT(Table1[[#This Row],[Date]],"[$-en-US]mmm yyyy")</f>
        <v>Jul 2024</v>
      </c>
      <c r="K947" s="13" t="str">
        <f>TEXT(Table1[[#This Row],[Date]],"[$-en-US]ddd")</f>
        <v>Thu</v>
      </c>
    </row>
    <row r="948" spans="1:11" x14ac:dyDescent="0.25">
      <c r="A948">
        <v>8</v>
      </c>
      <c r="B948" t="s">
        <v>9</v>
      </c>
      <c r="C948">
        <v>32.82</v>
      </c>
      <c r="D948" t="s">
        <v>10</v>
      </c>
      <c r="E948" t="s">
        <v>11</v>
      </c>
      <c r="F948" t="s">
        <v>32</v>
      </c>
      <c r="G948">
        <v>4</v>
      </c>
      <c r="H948">
        <v>7</v>
      </c>
      <c r="I948" s="13">
        <v>45498</v>
      </c>
      <c r="J948" s="13" t="str">
        <f>TEXT(Table1[[#This Row],[Date]],"[$-en-US]mmm yyyy")</f>
        <v>Jul 2024</v>
      </c>
      <c r="K948" s="13" t="str">
        <f>TEXT(Table1[[#This Row],[Date]],"[$-en-US]ddd")</f>
        <v>Thu</v>
      </c>
    </row>
    <row r="949" spans="1:11" x14ac:dyDescent="0.25">
      <c r="A949">
        <v>10</v>
      </c>
      <c r="B949" t="s">
        <v>9</v>
      </c>
      <c r="C949">
        <v>27.92</v>
      </c>
      <c r="D949" t="s">
        <v>17</v>
      </c>
      <c r="E949" t="s">
        <v>11</v>
      </c>
      <c r="F949" t="s">
        <v>32</v>
      </c>
      <c r="G949">
        <v>4</v>
      </c>
      <c r="H949">
        <v>7</v>
      </c>
      <c r="I949" s="13">
        <v>45498</v>
      </c>
      <c r="J949" s="13" t="str">
        <f>TEXT(Table1[[#This Row],[Date]],"[$-en-US]mmm yyyy")</f>
        <v>Jul 2024</v>
      </c>
      <c r="K949" s="13" t="str">
        <f>TEXT(Table1[[#This Row],[Date]],"[$-en-US]ddd")</f>
        <v>Thu</v>
      </c>
    </row>
    <row r="950" spans="1:11" x14ac:dyDescent="0.25">
      <c r="A950">
        <v>11</v>
      </c>
      <c r="B950" t="s">
        <v>9</v>
      </c>
      <c r="C950">
        <v>23.02</v>
      </c>
      <c r="D950" t="s">
        <v>16</v>
      </c>
      <c r="E950" t="s">
        <v>11</v>
      </c>
      <c r="F950" t="s">
        <v>32</v>
      </c>
      <c r="G950">
        <v>4</v>
      </c>
      <c r="H950">
        <v>7</v>
      </c>
      <c r="I950" s="13">
        <v>45498</v>
      </c>
      <c r="J950" s="13" t="str">
        <f>TEXT(Table1[[#This Row],[Date]],"[$-en-US]mmm yyyy")</f>
        <v>Jul 2024</v>
      </c>
      <c r="K950" s="13" t="str">
        <f>TEXT(Table1[[#This Row],[Date]],"[$-en-US]ddd")</f>
        <v>Thu</v>
      </c>
    </row>
    <row r="951" spans="1:11" x14ac:dyDescent="0.25">
      <c r="A951">
        <v>15</v>
      </c>
      <c r="B951" t="s">
        <v>9</v>
      </c>
      <c r="C951">
        <v>32.82</v>
      </c>
      <c r="D951" t="s">
        <v>27</v>
      </c>
      <c r="E951" t="s">
        <v>15</v>
      </c>
      <c r="F951" t="s">
        <v>32</v>
      </c>
      <c r="G951">
        <v>4</v>
      </c>
      <c r="H951">
        <v>7</v>
      </c>
      <c r="I951" s="13">
        <v>45498</v>
      </c>
      <c r="J951" s="13" t="str">
        <f>TEXT(Table1[[#This Row],[Date]],"[$-en-US]mmm yyyy")</f>
        <v>Jul 2024</v>
      </c>
      <c r="K951" s="13" t="str">
        <f>TEXT(Table1[[#This Row],[Date]],"[$-en-US]ddd")</f>
        <v>Thu</v>
      </c>
    </row>
    <row r="952" spans="1:11" x14ac:dyDescent="0.25">
      <c r="A952">
        <v>19</v>
      </c>
      <c r="B952" t="s">
        <v>9</v>
      </c>
      <c r="C952">
        <v>32.82</v>
      </c>
      <c r="D952" t="s">
        <v>27</v>
      </c>
      <c r="E952" t="s">
        <v>18</v>
      </c>
      <c r="F952" t="s">
        <v>32</v>
      </c>
      <c r="G952">
        <v>4</v>
      </c>
      <c r="H952">
        <v>7</v>
      </c>
      <c r="I952" s="13">
        <v>45498</v>
      </c>
      <c r="J952" s="13" t="str">
        <f>TEXT(Table1[[#This Row],[Date]],"[$-en-US]mmm yyyy")</f>
        <v>Jul 2024</v>
      </c>
      <c r="K952" s="13" t="str">
        <f>TEXT(Table1[[#This Row],[Date]],"[$-en-US]ddd")</f>
        <v>Thu</v>
      </c>
    </row>
    <row r="953" spans="1:11" x14ac:dyDescent="0.25">
      <c r="A953">
        <v>21</v>
      </c>
      <c r="B953" t="s">
        <v>9</v>
      </c>
      <c r="C953">
        <v>23.02</v>
      </c>
      <c r="D953" t="s">
        <v>22</v>
      </c>
      <c r="E953" t="s">
        <v>18</v>
      </c>
      <c r="F953" t="s">
        <v>32</v>
      </c>
      <c r="G953">
        <v>4</v>
      </c>
      <c r="H953">
        <v>7</v>
      </c>
      <c r="I953" s="13">
        <v>45498</v>
      </c>
      <c r="J953" s="13" t="str">
        <f>TEXT(Table1[[#This Row],[Date]],"[$-en-US]mmm yyyy")</f>
        <v>Jul 2024</v>
      </c>
      <c r="K953" s="13" t="str">
        <f>TEXT(Table1[[#This Row],[Date]],"[$-en-US]ddd")</f>
        <v>Thu</v>
      </c>
    </row>
    <row r="954" spans="1:11" x14ac:dyDescent="0.25">
      <c r="A954">
        <v>21</v>
      </c>
      <c r="B954" t="s">
        <v>9</v>
      </c>
      <c r="C954">
        <v>18.12</v>
      </c>
      <c r="D954" t="s">
        <v>24</v>
      </c>
      <c r="E954" t="s">
        <v>18</v>
      </c>
      <c r="F954" t="s">
        <v>32</v>
      </c>
      <c r="G954">
        <v>4</v>
      </c>
      <c r="H954">
        <v>7</v>
      </c>
      <c r="I954" s="13">
        <v>45498</v>
      </c>
      <c r="J954" s="13" t="str">
        <f>TEXT(Table1[[#This Row],[Date]],"[$-en-US]mmm yyyy")</f>
        <v>Jul 2024</v>
      </c>
      <c r="K954" s="13" t="str">
        <f>TEXT(Table1[[#This Row],[Date]],"[$-en-US]ddd")</f>
        <v>Thu</v>
      </c>
    </row>
    <row r="955" spans="1:11" x14ac:dyDescent="0.25">
      <c r="A955">
        <v>22</v>
      </c>
      <c r="B955" t="s">
        <v>9</v>
      </c>
      <c r="C955">
        <v>23.02</v>
      </c>
      <c r="D955" t="s">
        <v>22</v>
      </c>
      <c r="E955" t="s">
        <v>18</v>
      </c>
      <c r="F955" t="s">
        <v>32</v>
      </c>
      <c r="G955">
        <v>4</v>
      </c>
      <c r="H955">
        <v>7</v>
      </c>
      <c r="I955" s="13">
        <v>45498</v>
      </c>
      <c r="J955" s="13" t="str">
        <f>TEXT(Table1[[#This Row],[Date]],"[$-en-US]mmm yyyy")</f>
        <v>Jul 2024</v>
      </c>
      <c r="K955" s="13" t="str">
        <f>TEXT(Table1[[#This Row],[Date]],"[$-en-US]ddd")</f>
        <v>Thu</v>
      </c>
    </row>
    <row r="956" spans="1:11" x14ac:dyDescent="0.25">
      <c r="A956">
        <v>22</v>
      </c>
      <c r="B956" t="s">
        <v>9</v>
      </c>
      <c r="C956">
        <v>32.82</v>
      </c>
      <c r="D956" t="s">
        <v>19</v>
      </c>
      <c r="E956" t="s">
        <v>18</v>
      </c>
      <c r="F956" t="s">
        <v>32</v>
      </c>
      <c r="G956">
        <v>4</v>
      </c>
      <c r="H956">
        <v>7</v>
      </c>
      <c r="I956" s="13">
        <v>45498</v>
      </c>
      <c r="J956" s="13" t="str">
        <f>TEXT(Table1[[#This Row],[Date]],"[$-en-US]mmm yyyy")</f>
        <v>Jul 2024</v>
      </c>
      <c r="K956" s="13" t="str">
        <f>TEXT(Table1[[#This Row],[Date]],"[$-en-US]ddd")</f>
        <v>Thu</v>
      </c>
    </row>
    <row r="957" spans="1:11" x14ac:dyDescent="0.25">
      <c r="A957">
        <v>8</v>
      </c>
      <c r="B957" t="s">
        <v>9</v>
      </c>
      <c r="C957">
        <v>32.82</v>
      </c>
      <c r="D957" t="s">
        <v>10</v>
      </c>
      <c r="E957" t="s">
        <v>11</v>
      </c>
      <c r="F957" t="s">
        <v>32</v>
      </c>
      <c r="G957">
        <v>5</v>
      </c>
      <c r="H957">
        <v>7</v>
      </c>
      <c r="I957" s="13">
        <v>45499</v>
      </c>
      <c r="J957" s="13" t="str">
        <f>TEXT(Table1[[#This Row],[Date]],"[$-en-US]mmm yyyy")</f>
        <v>Jul 2024</v>
      </c>
      <c r="K957" s="13" t="str">
        <f>TEXT(Table1[[#This Row],[Date]],"[$-en-US]ddd")</f>
        <v>Fri</v>
      </c>
    </row>
    <row r="958" spans="1:11" x14ac:dyDescent="0.25">
      <c r="A958">
        <v>9</v>
      </c>
      <c r="B958" t="s">
        <v>9</v>
      </c>
      <c r="C958">
        <v>27.92</v>
      </c>
      <c r="D958" t="s">
        <v>17</v>
      </c>
      <c r="E958" t="s">
        <v>11</v>
      </c>
      <c r="F958" t="s">
        <v>32</v>
      </c>
      <c r="G958">
        <v>5</v>
      </c>
      <c r="H958">
        <v>7</v>
      </c>
      <c r="I958" s="13">
        <v>45499</v>
      </c>
      <c r="J958" s="13" t="str">
        <f>TEXT(Table1[[#This Row],[Date]],"[$-en-US]mmm yyyy")</f>
        <v>Jul 2024</v>
      </c>
      <c r="K958" s="13" t="str">
        <f>TEXT(Table1[[#This Row],[Date]],"[$-en-US]ddd")</f>
        <v>Fri</v>
      </c>
    </row>
    <row r="959" spans="1:11" x14ac:dyDescent="0.25">
      <c r="A959">
        <v>9</v>
      </c>
      <c r="B959" t="s">
        <v>9</v>
      </c>
      <c r="C959">
        <v>18.12</v>
      </c>
      <c r="D959" t="s">
        <v>24</v>
      </c>
      <c r="E959" t="s">
        <v>11</v>
      </c>
      <c r="F959" t="s">
        <v>32</v>
      </c>
      <c r="G959">
        <v>5</v>
      </c>
      <c r="H959">
        <v>7</v>
      </c>
      <c r="I959" s="13">
        <v>45499</v>
      </c>
      <c r="J959" s="13" t="str">
        <f>TEXT(Table1[[#This Row],[Date]],"[$-en-US]mmm yyyy")</f>
        <v>Jul 2024</v>
      </c>
      <c r="K959" s="13" t="str">
        <f>TEXT(Table1[[#This Row],[Date]],"[$-en-US]ddd")</f>
        <v>Fri</v>
      </c>
    </row>
    <row r="960" spans="1:11" x14ac:dyDescent="0.25">
      <c r="A960">
        <v>9</v>
      </c>
      <c r="B960" t="s">
        <v>9</v>
      </c>
      <c r="C960">
        <v>23.02</v>
      </c>
      <c r="D960" t="s">
        <v>22</v>
      </c>
      <c r="E960" t="s">
        <v>11</v>
      </c>
      <c r="F960" t="s">
        <v>32</v>
      </c>
      <c r="G960">
        <v>5</v>
      </c>
      <c r="H960">
        <v>7</v>
      </c>
      <c r="I960" s="13">
        <v>45499</v>
      </c>
      <c r="J960" s="13" t="str">
        <f>TEXT(Table1[[#This Row],[Date]],"[$-en-US]mmm yyyy")</f>
        <v>Jul 2024</v>
      </c>
      <c r="K960" s="13" t="str">
        <f>TEXT(Table1[[#This Row],[Date]],"[$-en-US]ddd")</f>
        <v>Fri</v>
      </c>
    </row>
    <row r="961" spans="1:11" x14ac:dyDescent="0.25">
      <c r="A961">
        <v>9</v>
      </c>
      <c r="B961" t="s">
        <v>9</v>
      </c>
      <c r="C961">
        <v>23.02</v>
      </c>
      <c r="D961" t="s">
        <v>22</v>
      </c>
      <c r="E961" t="s">
        <v>11</v>
      </c>
      <c r="F961" t="s">
        <v>32</v>
      </c>
      <c r="G961">
        <v>5</v>
      </c>
      <c r="H961">
        <v>7</v>
      </c>
      <c r="I961" s="13">
        <v>45499</v>
      </c>
      <c r="J961" s="13" t="str">
        <f>TEXT(Table1[[#This Row],[Date]],"[$-en-US]mmm yyyy")</f>
        <v>Jul 2024</v>
      </c>
      <c r="K961" s="13" t="str">
        <f>TEXT(Table1[[#This Row],[Date]],"[$-en-US]ddd")</f>
        <v>Fri</v>
      </c>
    </row>
    <row r="962" spans="1:11" x14ac:dyDescent="0.25">
      <c r="A962">
        <v>9</v>
      </c>
      <c r="B962" t="s">
        <v>9</v>
      </c>
      <c r="C962">
        <v>32.82</v>
      </c>
      <c r="D962" t="s">
        <v>10</v>
      </c>
      <c r="E962" t="s">
        <v>11</v>
      </c>
      <c r="F962" t="s">
        <v>32</v>
      </c>
      <c r="G962">
        <v>5</v>
      </c>
      <c r="H962">
        <v>7</v>
      </c>
      <c r="I962" s="13">
        <v>45499</v>
      </c>
      <c r="J962" s="13" t="str">
        <f>TEXT(Table1[[#This Row],[Date]],"[$-en-US]mmm yyyy")</f>
        <v>Jul 2024</v>
      </c>
      <c r="K962" s="13" t="str">
        <f>TEXT(Table1[[#This Row],[Date]],"[$-en-US]ddd")</f>
        <v>Fri</v>
      </c>
    </row>
    <row r="963" spans="1:11" x14ac:dyDescent="0.25">
      <c r="A963">
        <v>10</v>
      </c>
      <c r="B963" t="s">
        <v>9</v>
      </c>
      <c r="C963">
        <v>32.82</v>
      </c>
      <c r="D963" t="s">
        <v>10</v>
      </c>
      <c r="E963" t="s">
        <v>11</v>
      </c>
      <c r="F963" t="s">
        <v>32</v>
      </c>
      <c r="G963">
        <v>5</v>
      </c>
      <c r="H963">
        <v>7</v>
      </c>
      <c r="I963" s="13">
        <v>45499</v>
      </c>
      <c r="J963" s="13" t="str">
        <f>TEXT(Table1[[#This Row],[Date]],"[$-en-US]mmm yyyy")</f>
        <v>Jul 2024</v>
      </c>
      <c r="K963" s="13" t="str">
        <f>TEXT(Table1[[#This Row],[Date]],"[$-en-US]ddd")</f>
        <v>Fri</v>
      </c>
    </row>
    <row r="964" spans="1:11" x14ac:dyDescent="0.25">
      <c r="A964">
        <v>11</v>
      </c>
      <c r="B964" t="s">
        <v>9</v>
      </c>
      <c r="C964">
        <v>27.92</v>
      </c>
      <c r="D964" t="s">
        <v>17</v>
      </c>
      <c r="E964" t="s">
        <v>11</v>
      </c>
      <c r="F964" t="s">
        <v>32</v>
      </c>
      <c r="G964">
        <v>5</v>
      </c>
      <c r="H964">
        <v>7</v>
      </c>
      <c r="I964" s="13">
        <v>45499</v>
      </c>
      <c r="J964" s="13" t="str">
        <f>TEXT(Table1[[#This Row],[Date]],"[$-en-US]mmm yyyy")</f>
        <v>Jul 2024</v>
      </c>
      <c r="K964" s="13" t="str">
        <f>TEXT(Table1[[#This Row],[Date]],"[$-en-US]ddd")</f>
        <v>Fri</v>
      </c>
    </row>
    <row r="965" spans="1:11" x14ac:dyDescent="0.25">
      <c r="A965">
        <v>12</v>
      </c>
      <c r="B965" t="s">
        <v>9</v>
      </c>
      <c r="C965">
        <v>27.92</v>
      </c>
      <c r="D965" t="s">
        <v>17</v>
      </c>
      <c r="E965" t="s">
        <v>15</v>
      </c>
      <c r="F965" t="s">
        <v>32</v>
      </c>
      <c r="G965">
        <v>5</v>
      </c>
      <c r="H965">
        <v>7</v>
      </c>
      <c r="I965" s="13">
        <v>45499</v>
      </c>
      <c r="J965" s="13" t="str">
        <f>TEXT(Table1[[#This Row],[Date]],"[$-en-US]mmm yyyy")</f>
        <v>Jul 2024</v>
      </c>
      <c r="K965" s="13" t="str">
        <f>TEXT(Table1[[#This Row],[Date]],"[$-en-US]ddd")</f>
        <v>Fri</v>
      </c>
    </row>
    <row r="966" spans="1:11" x14ac:dyDescent="0.25">
      <c r="A966">
        <v>12</v>
      </c>
      <c r="B966" t="s">
        <v>9</v>
      </c>
      <c r="C966">
        <v>32.82</v>
      </c>
      <c r="D966" t="s">
        <v>27</v>
      </c>
      <c r="E966" t="s">
        <v>15</v>
      </c>
      <c r="F966" t="s">
        <v>32</v>
      </c>
      <c r="G966">
        <v>5</v>
      </c>
      <c r="H966">
        <v>7</v>
      </c>
      <c r="I966" s="13">
        <v>45499</v>
      </c>
      <c r="J966" s="13" t="str">
        <f>TEXT(Table1[[#This Row],[Date]],"[$-en-US]mmm yyyy")</f>
        <v>Jul 2024</v>
      </c>
      <c r="K966" s="13" t="str">
        <f>TEXT(Table1[[#This Row],[Date]],"[$-en-US]ddd")</f>
        <v>Fri</v>
      </c>
    </row>
    <row r="967" spans="1:11" x14ac:dyDescent="0.25">
      <c r="A967">
        <v>12</v>
      </c>
      <c r="B967" t="s">
        <v>9</v>
      </c>
      <c r="C967">
        <v>32.82</v>
      </c>
      <c r="D967" t="s">
        <v>27</v>
      </c>
      <c r="E967" t="s">
        <v>15</v>
      </c>
      <c r="F967" t="s">
        <v>32</v>
      </c>
      <c r="G967">
        <v>5</v>
      </c>
      <c r="H967">
        <v>7</v>
      </c>
      <c r="I967" s="13">
        <v>45499</v>
      </c>
      <c r="J967" s="13" t="str">
        <f>TEXT(Table1[[#This Row],[Date]],"[$-en-US]mmm yyyy")</f>
        <v>Jul 2024</v>
      </c>
      <c r="K967" s="13" t="str">
        <f>TEXT(Table1[[#This Row],[Date]],"[$-en-US]ddd")</f>
        <v>Fri</v>
      </c>
    </row>
    <row r="968" spans="1:11" x14ac:dyDescent="0.25">
      <c r="A968">
        <v>13</v>
      </c>
      <c r="B968" t="s">
        <v>9</v>
      </c>
      <c r="C968">
        <v>32.82</v>
      </c>
      <c r="D968" t="s">
        <v>10</v>
      </c>
      <c r="E968" t="s">
        <v>15</v>
      </c>
      <c r="F968" t="s">
        <v>32</v>
      </c>
      <c r="G968">
        <v>5</v>
      </c>
      <c r="H968">
        <v>7</v>
      </c>
      <c r="I968" s="13">
        <v>45499</v>
      </c>
      <c r="J968" s="13" t="str">
        <f>TEXT(Table1[[#This Row],[Date]],"[$-en-US]mmm yyyy")</f>
        <v>Jul 2024</v>
      </c>
      <c r="K968" s="13" t="str">
        <f>TEXT(Table1[[#This Row],[Date]],"[$-en-US]ddd")</f>
        <v>Fri</v>
      </c>
    </row>
    <row r="969" spans="1:11" x14ac:dyDescent="0.25">
      <c r="A969">
        <v>17</v>
      </c>
      <c r="B969" t="s">
        <v>9</v>
      </c>
      <c r="C969">
        <v>23.02</v>
      </c>
      <c r="D969" t="s">
        <v>16</v>
      </c>
      <c r="E969" t="s">
        <v>18</v>
      </c>
      <c r="F969" t="s">
        <v>32</v>
      </c>
      <c r="G969">
        <v>5</v>
      </c>
      <c r="H969">
        <v>7</v>
      </c>
      <c r="I969" s="13">
        <v>45499</v>
      </c>
      <c r="J969" s="13" t="str">
        <f>TEXT(Table1[[#This Row],[Date]],"[$-en-US]mmm yyyy")</f>
        <v>Jul 2024</v>
      </c>
      <c r="K969" s="13" t="str">
        <f>TEXT(Table1[[#This Row],[Date]],"[$-en-US]ddd")</f>
        <v>Fri</v>
      </c>
    </row>
    <row r="970" spans="1:11" x14ac:dyDescent="0.25">
      <c r="A970">
        <v>17</v>
      </c>
      <c r="B970" t="s">
        <v>9</v>
      </c>
      <c r="C970">
        <v>32.82</v>
      </c>
      <c r="D970" t="s">
        <v>27</v>
      </c>
      <c r="E970" t="s">
        <v>18</v>
      </c>
      <c r="F970" t="s">
        <v>32</v>
      </c>
      <c r="G970">
        <v>5</v>
      </c>
      <c r="H970">
        <v>7</v>
      </c>
      <c r="I970" s="13">
        <v>45499</v>
      </c>
      <c r="J970" s="13" t="str">
        <f>TEXT(Table1[[#This Row],[Date]],"[$-en-US]mmm yyyy")</f>
        <v>Jul 2024</v>
      </c>
      <c r="K970" s="13" t="str">
        <f>TEXT(Table1[[#This Row],[Date]],"[$-en-US]ddd")</f>
        <v>Fri</v>
      </c>
    </row>
    <row r="971" spans="1:11" x14ac:dyDescent="0.25">
      <c r="A971">
        <v>21</v>
      </c>
      <c r="B971" t="s">
        <v>9</v>
      </c>
      <c r="C971">
        <v>32.82</v>
      </c>
      <c r="D971" t="s">
        <v>10</v>
      </c>
      <c r="E971" t="s">
        <v>18</v>
      </c>
      <c r="F971" t="s">
        <v>32</v>
      </c>
      <c r="G971">
        <v>5</v>
      </c>
      <c r="H971">
        <v>7</v>
      </c>
      <c r="I971" s="13">
        <v>45499</v>
      </c>
      <c r="J971" s="13" t="str">
        <f>TEXT(Table1[[#This Row],[Date]],"[$-en-US]mmm yyyy")</f>
        <v>Jul 2024</v>
      </c>
      <c r="K971" s="13" t="str">
        <f>TEXT(Table1[[#This Row],[Date]],"[$-en-US]ddd")</f>
        <v>Fri</v>
      </c>
    </row>
    <row r="972" spans="1:11" x14ac:dyDescent="0.25">
      <c r="A972">
        <v>22</v>
      </c>
      <c r="B972" t="s">
        <v>9</v>
      </c>
      <c r="C972">
        <v>27.92</v>
      </c>
      <c r="D972" t="s">
        <v>17</v>
      </c>
      <c r="E972" t="s">
        <v>18</v>
      </c>
      <c r="F972" t="s">
        <v>32</v>
      </c>
      <c r="G972">
        <v>5</v>
      </c>
      <c r="H972">
        <v>7</v>
      </c>
      <c r="I972" s="13">
        <v>45499</v>
      </c>
      <c r="J972" s="13" t="str">
        <f>TEXT(Table1[[#This Row],[Date]],"[$-en-US]mmm yyyy")</f>
        <v>Jul 2024</v>
      </c>
      <c r="K972" s="13" t="str">
        <f>TEXT(Table1[[#This Row],[Date]],"[$-en-US]ddd")</f>
        <v>Fri</v>
      </c>
    </row>
    <row r="973" spans="1:11" x14ac:dyDescent="0.25">
      <c r="A973">
        <v>9</v>
      </c>
      <c r="B973" t="s">
        <v>9</v>
      </c>
      <c r="C973">
        <v>32.82</v>
      </c>
      <c r="D973" t="s">
        <v>27</v>
      </c>
      <c r="E973" t="s">
        <v>11</v>
      </c>
      <c r="F973" t="s">
        <v>32</v>
      </c>
      <c r="G973">
        <v>6</v>
      </c>
      <c r="H973">
        <v>7</v>
      </c>
      <c r="I973" s="13">
        <v>45500</v>
      </c>
      <c r="J973" s="13" t="str">
        <f>TEXT(Table1[[#This Row],[Date]],"[$-en-US]mmm yyyy")</f>
        <v>Jul 2024</v>
      </c>
      <c r="K973" s="13" t="str">
        <f>TEXT(Table1[[#This Row],[Date]],"[$-en-US]ddd")</f>
        <v>Sat</v>
      </c>
    </row>
    <row r="974" spans="1:11" x14ac:dyDescent="0.25">
      <c r="A974">
        <v>11</v>
      </c>
      <c r="B974" t="s">
        <v>9</v>
      </c>
      <c r="C974">
        <v>27.92</v>
      </c>
      <c r="D974" t="s">
        <v>17</v>
      </c>
      <c r="E974" t="s">
        <v>11</v>
      </c>
      <c r="F974" t="s">
        <v>32</v>
      </c>
      <c r="G974">
        <v>6</v>
      </c>
      <c r="H974">
        <v>7</v>
      </c>
      <c r="I974" s="13">
        <v>45500</v>
      </c>
      <c r="J974" s="13" t="str">
        <f>TEXT(Table1[[#This Row],[Date]],"[$-en-US]mmm yyyy")</f>
        <v>Jul 2024</v>
      </c>
      <c r="K974" s="13" t="str">
        <f>TEXT(Table1[[#This Row],[Date]],"[$-en-US]ddd")</f>
        <v>Sat</v>
      </c>
    </row>
    <row r="975" spans="1:11" x14ac:dyDescent="0.25">
      <c r="A975">
        <v>12</v>
      </c>
      <c r="B975" t="s">
        <v>9</v>
      </c>
      <c r="C975">
        <v>27.92</v>
      </c>
      <c r="D975" t="s">
        <v>17</v>
      </c>
      <c r="E975" t="s">
        <v>15</v>
      </c>
      <c r="F975" t="s">
        <v>32</v>
      </c>
      <c r="G975">
        <v>6</v>
      </c>
      <c r="H975">
        <v>7</v>
      </c>
      <c r="I975" s="13">
        <v>45500</v>
      </c>
      <c r="J975" s="13" t="str">
        <f>TEXT(Table1[[#This Row],[Date]],"[$-en-US]mmm yyyy")</f>
        <v>Jul 2024</v>
      </c>
      <c r="K975" s="13" t="str">
        <f>TEXT(Table1[[#This Row],[Date]],"[$-en-US]ddd")</f>
        <v>Sat</v>
      </c>
    </row>
    <row r="976" spans="1:11" x14ac:dyDescent="0.25">
      <c r="A976">
        <v>12</v>
      </c>
      <c r="B976" t="s">
        <v>9</v>
      </c>
      <c r="C976">
        <v>18.12</v>
      </c>
      <c r="D976" t="s">
        <v>24</v>
      </c>
      <c r="E976" t="s">
        <v>15</v>
      </c>
      <c r="F976" t="s">
        <v>32</v>
      </c>
      <c r="G976">
        <v>6</v>
      </c>
      <c r="H976">
        <v>7</v>
      </c>
      <c r="I976" s="13">
        <v>45500</v>
      </c>
      <c r="J976" s="13" t="str">
        <f>TEXT(Table1[[#This Row],[Date]],"[$-en-US]mmm yyyy")</f>
        <v>Jul 2024</v>
      </c>
      <c r="K976" s="13" t="str">
        <f>TEXT(Table1[[#This Row],[Date]],"[$-en-US]ddd")</f>
        <v>Sat</v>
      </c>
    </row>
    <row r="977" spans="1:11" x14ac:dyDescent="0.25">
      <c r="A977">
        <v>12</v>
      </c>
      <c r="B977" t="s">
        <v>9</v>
      </c>
      <c r="C977">
        <v>27.92</v>
      </c>
      <c r="D977" t="s">
        <v>17</v>
      </c>
      <c r="E977" t="s">
        <v>15</v>
      </c>
      <c r="F977" t="s">
        <v>32</v>
      </c>
      <c r="G977">
        <v>6</v>
      </c>
      <c r="H977">
        <v>7</v>
      </c>
      <c r="I977" s="13">
        <v>45500</v>
      </c>
      <c r="J977" s="13" t="str">
        <f>TEXT(Table1[[#This Row],[Date]],"[$-en-US]mmm yyyy")</f>
        <v>Jul 2024</v>
      </c>
      <c r="K977" s="13" t="str">
        <f>TEXT(Table1[[#This Row],[Date]],"[$-en-US]ddd")</f>
        <v>Sat</v>
      </c>
    </row>
    <row r="978" spans="1:11" x14ac:dyDescent="0.25">
      <c r="A978">
        <v>14</v>
      </c>
      <c r="B978" t="s">
        <v>9</v>
      </c>
      <c r="C978">
        <v>18.12</v>
      </c>
      <c r="D978" t="s">
        <v>24</v>
      </c>
      <c r="E978" t="s">
        <v>15</v>
      </c>
      <c r="F978" t="s">
        <v>32</v>
      </c>
      <c r="G978">
        <v>6</v>
      </c>
      <c r="H978">
        <v>7</v>
      </c>
      <c r="I978" s="13">
        <v>45500</v>
      </c>
      <c r="J978" s="13" t="str">
        <f>TEXT(Table1[[#This Row],[Date]],"[$-en-US]mmm yyyy")</f>
        <v>Jul 2024</v>
      </c>
      <c r="K978" s="13" t="str">
        <f>TEXT(Table1[[#This Row],[Date]],"[$-en-US]ddd")</f>
        <v>Sat</v>
      </c>
    </row>
    <row r="979" spans="1:11" x14ac:dyDescent="0.25">
      <c r="A979">
        <v>14</v>
      </c>
      <c r="B979" t="s">
        <v>9</v>
      </c>
      <c r="C979">
        <v>32.82</v>
      </c>
      <c r="D979" t="s">
        <v>10</v>
      </c>
      <c r="E979" t="s">
        <v>15</v>
      </c>
      <c r="F979" t="s">
        <v>32</v>
      </c>
      <c r="G979">
        <v>6</v>
      </c>
      <c r="H979">
        <v>7</v>
      </c>
      <c r="I979" s="13">
        <v>45500</v>
      </c>
      <c r="J979" s="13" t="str">
        <f>TEXT(Table1[[#This Row],[Date]],"[$-en-US]mmm yyyy")</f>
        <v>Jul 2024</v>
      </c>
      <c r="K979" s="13" t="str">
        <f>TEXT(Table1[[#This Row],[Date]],"[$-en-US]ddd")</f>
        <v>Sat</v>
      </c>
    </row>
    <row r="980" spans="1:11" x14ac:dyDescent="0.25">
      <c r="A980">
        <v>17</v>
      </c>
      <c r="B980" t="s">
        <v>9</v>
      </c>
      <c r="C980">
        <v>32.82</v>
      </c>
      <c r="D980" t="s">
        <v>27</v>
      </c>
      <c r="E980" t="s">
        <v>18</v>
      </c>
      <c r="F980" t="s">
        <v>32</v>
      </c>
      <c r="G980">
        <v>6</v>
      </c>
      <c r="H980">
        <v>7</v>
      </c>
      <c r="I980" s="13">
        <v>45500</v>
      </c>
      <c r="J980" s="13" t="str">
        <f>TEXT(Table1[[#This Row],[Date]],"[$-en-US]mmm yyyy")</f>
        <v>Jul 2024</v>
      </c>
      <c r="K980" s="13" t="str">
        <f>TEXT(Table1[[#This Row],[Date]],"[$-en-US]ddd")</f>
        <v>Sat</v>
      </c>
    </row>
    <row r="981" spans="1:11" x14ac:dyDescent="0.25">
      <c r="A981">
        <v>17</v>
      </c>
      <c r="B981" t="s">
        <v>9</v>
      </c>
      <c r="C981">
        <v>32.82</v>
      </c>
      <c r="D981" t="s">
        <v>27</v>
      </c>
      <c r="E981" t="s">
        <v>18</v>
      </c>
      <c r="F981" t="s">
        <v>32</v>
      </c>
      <c r="G981">
        <v>6</v>
      </c>
      <c r="H981">
        <v>7</v>
      </c>
      <c r="I981" s="13">
        <v>45500</v>
      </c>
      <c r="J981" s="13" t="str">
        <f>TEXT(Table1[[#This Row],[Date]],"[$-en-US]mmm yyyy")</f>
        <v>Jul 2024</v>
      </c>
      <c r="K981" s="13" t="str">
        <f>TEXT(Table1[[#This Row],[Date]],"[$-en-US]ddd")</f>
        <v>Sat</v>
      </c>
    </row>
    <row r="982" spans="1:11" x14ac:dyDescent="0.25">
      <c r="A982">
        <v>17</v>
      </c>
      <c r="B982" t="s">
        <v>9</v>
      </c>
      <c r="C982">
        <v>27.92</v>
      </c>
      <c r="D982" t="s">
        <v>17</v>
      </c>
      <c r="E982" t="s">
        <v>18</v>
      </c>
      <c r="F982" t="s">
        <v>32</v>
      </c>
      <c r="G982">
        <v>6</v>
      </c>
      <c r="H982">
        <v>7</v>
      </c>
      <c r="I982" s="13">
        <v>45500</v>
      </c>
      <c r="J982" s="13" t="str">
        <f>TEXT(Table1[[#This Row],[Date]],"[$-en-US]mmm yyyy")</f>
        <v>Jul 2024</v>
      </c>
      <c r="K982" s="13" t="str">
        <f>TEXT(Table1[[#This Row],[Date]],"[$-en-US]ddd")</f>
        <v>Sat</v>
      </c>
    </row>
    <row r="983" spans="1:11" x14ac:dyDescent="0.25">
      <c r="A983">
        <v>17</v>
      </c>
      <c r="B983" t="s">
        <v>9</v>
      </c>
      <c r="C983">
        <v>27.92</v>
      </c>
      <c r="D983" t="s">
        <v>17</v>
      </c>
      <c r="E983" t="s">
        <v>18</v>
      </c>
      <c r="F983" t="s">
        <v>32</v>
      </c>
      <c r="G983">
        <v>6</v>
      </c>
      <c r="H983">
        <v>7</v>
      </c>
      <c r="I983" s="13">
        <v>45500</v>
      </c>
      <c r="J983" s="13" t="str">
        <f>TEXT(Table1[[#This Row],[Date]],"[$-en-US]mmm yyyy")</f>
        <v>Jul 2024</v>
      </c>
      <c r="K983" s="13" t="str">
        <f>TEXT(Table1[[#This Row],[Date]],"[$-en-US]ddd")</f>
        <v>Sat</v>
      </c>
    </row>
    <row r="984" spans="1:11" x14ac:dyDescent="0.25">
      <c r="A984">
        <v>20</v>
      </c>
      <c r="B984" t="s">
        <v>9</v>
      </c>
      <c r="C984">
        <v>32.82</v>
      </c>
      <c r="D984" t="s">
        <v>10</v>
      </c>
      <c r="E984" t="s">
        <v>18</v>
      </c>
      <c r="F984" t="s">
        <v>32</v>
      </c>
      <c r="G984">
        <v>6</v>
      </c>
      <c r="H984">
        <v>7</v>
      </c>
      <c r="I984" s="13">
        <v>45500</v>
      </c>
      <c r="J984" s="13" t="str">
        <f>TEXT(Table1[[#This Row],[Date]],"[$-en-US]mmm yyyy")</f>
        <v>Jul 2024</v>
      </c>
      <c r="K984" s="13" t="str">
        <f>TEXT(Table1[[#This Row],[Date]],"[$-en-US]ddd")</f>
        <v>Sat</v>
      </c>
    </row>
    <row r="985" spans="1:11" x14ac:dyDescent="0.25">
      <c r="A985">
        <v>22</v>
      </c>
      <c r="B985" t="s">
        <v>9</v>
      </c>
      <c r="C985">
        <v>32.82</v>
      </c>
      <c r="D985" t="s">
        <v>27</v>
      </c>
      <c r="E985" t="s">
        <v>18</v>
      </c>
      <c r="F985" t="s">
        <v>32</v>
      </c>
      <c r="G985">
        <v>6</v>
      </c>
      <c r="H985">
        <v>7</v>
      </c>
      <c r="I985" s="13">
        <v>45500</v>
      </c>
      <c r="J985" s="13" t="str">
        <f>TEXT(Table1[[#This Row],[Date]],"[$-en-US]mmm yyyy")</f>
        <v>Jul 2024</v>
      </c>
      <c r="K985" s="13" t="str">
        <f>TEXT(Table1[[#This Row],[Date]],"[$-en-US]ddd")</f>
        <v>Sat</v>
      </c>
    </row>
    <row r="986" spans="1:11" x14ac:dyDescent="0.25">
      <c r="A986">
        <v>11</v>
      </c>
      <c r="B986" t="s">
        <v>9</v>
      </c>
      <c r="C986">
        <v>18.12</v>
      </c>
      <c r="D986" t="s">
        <v>24</v>
      </c>
      <c r="E986" t="s">
        <v>11</v>
      </c>
      <c r="F986" t="s">
        <v>32</v>
      </c>
      <c r="G986">
        <v>7</v>
      </c>
      <c r="H986">
        <v>7</v>
      </c>
      <c r="I986" s="13">
        <v>45501</v>
      </c>
      <c r="J986" s="13" t="str">
        <f>TEXT(Table1[[#This Row],[Date]],"[$-en-US]mmm yyyy")</f>
        <v>Jul 2024</v>
      </c>
      <c r="K986" s="13" t="str">
        <f>TEXT(Table1[[#This Row],[Date]],"[$-en-US]ddd")</f>
        <v>Sun</v>
      </c>
    </row>
    <row r="987" spans="1:11" x14ac:dyDescent="0.25">
      <c r="A987">
        <v>14</v>
      </c>
      <c r="B987" t="s">
        <v>9</v>
      </c>
      <c r="C987">
        <v>27.92</v>
      </c>
      <c r="D987" t="s">
        <v>17</v>
      </c>
      <c r="E987" t="s">
        <v>15</v>
      </c>
      <c r="F987" t="s">
        <v>32</v>
      </c>
      <c r="G987">
        <v>7</v>
      </c>
      <c r="H987">
        <v>7</v>
      </c>
      <c r="I987" s="13">
        <v>45501</v>
      </c>
      <c r="J987" s="13" t="str">
        <f>TEXT(Table1[[#This Row],[Date]],"[$-en-US]mmm yyyy")</f>
        <v>Jul 2024</v>
      </c>
      <c r="K987" s="13" t="str">
        <f>TEXT(Table1[[#This Row],[Date]],"[$-en-US]ddd")</f>
        <v>Sun</v>
      </c>
    </row>
    <row r="988" spans="1:11" x14ac:dyDescent="0.25">
      <c r="A988">
        <v>14</v>
      </c>
      <c r="B988" t="s">
        <v>9</v>
      </c>
      <c r="C988">
        <v>32.82</v>
      </c>
      <c r="D988" t="s">
        <v>10</v>
      </c>
      <c r="E988" t="s">
        <v>15</v>
      </c>
      <c r="F988" t="s">
        <v>32</v>
      </c>
      <c r="G988">
        <v>7</v>
      </c>
      <c r="H988">
        <v>7</v>
      </c>
      <c r="I988" s="13">
        <v>45501</v>
      </c>
      <c r="J988" s="13" t="str">
        <f>TEXT(Table1[[#This Row],[Date]],"[$-en-US]mmm yyyy")</f>
        <v>Jul 2024</v>
      </c>
      <c r="K988" s="13" t="str">
        <f>TEXT(Table1[[#This Row],[Date]],"[$-en-US]ddd")</f>
        <v>Sun</v>
      </c>
    </row>
    <row r="989" spans="1:11" x14ac:dyDescent="0.25">
      <c r="A989">
        <v>8</v>
      </c>
      <c r="B989" t="s">
        <v>9</v>
      </c>
      <c r="C989">
        <v>32.82</v>
      </c>
      <c r="D989" t="s">
        <v>10</v>
      </c>
      <c r="E989" t="s">
        <v>11</v>
      </c>
      <c r="F989" t="s">
        <v>32</v>
      </c>
      <c r="G989">
        <v>1</v>
      </c>
      <c r="H989">
        <v>7</v>
      </c>
      <c r="I989" s="13">
        <v>45502</v>
      </c>
      <c r="J989" s="13" t="str">
        <f>TEXT(Table1[[#This Row],[Date]],"[$-en-US]mmm yyyy")</f>
        <v>Jul 2024</v>
      </c>
      <c r="K989" s="13" t="str">
        <f>TEXT(Table1[[#This Row],[Date]],"[$-en-US]ddd")</f>
        <v>Mon</v>
      </c>
    </row>
    <row r="990" spans="1:11" x14ac:dyDescent="0.25">
      <c r="A990">
        <v>9</v>
      </c>
      <c r="B990" t="s">
        <v>9</v>
      </c>
      <c r="C990">
        <v>23.02</v>
      </c>
      <c r="D990" t="s">
        <v>16</v>
      </c>
      <c r="E990" t="s">
        <v>11</v>
      </c>
      <c r="F990" t="s">
        <v>32</v>
      </c>
      <c r="G990">
        <v>1</v>
      </c>
      <c r="H990">
        <v>7</v>
      </c>
      <c r="I990" s="13">
        <v>45502</v>
      </c>
      <c r="J990" s="13" t="str">
        <f>TEXT(Table1[[#This Row],[Date]],"[$-en-US]mmm yyyy")</f>
        <v>Jul 2024</v>
      </c>
      <c r="K990" s="13" t="str">
        <f>TEXT(Table1[[#This Row],[Date]],"[$-en-US]ddd")</f>
        <v>Mon</v>
      </c>
    </row>
    <row r="991" spans="1:11" x14ac:dyDescent="0.25">
      <c r="A991">
        <v>9</v>
      </c>
      <c r="B991" t="s">
        <v>9</v>
      </c>
      <c r="C991">
        <v>27.92</v>
      </c>
      <c r="D991" t="s">
        <v>17</v>
      </c>
      <c r="E991" t="s">
        <v>11</v>
      </c>
      <c r="F991" t="s">
        <v>32</v>
      </c>
      <c r="G991">
        <v>1</v>
      </c>
      <c r="H991">
        <v>7</v>
      </c>
      <c r="I991" s="13">
        <v>45502</v>
      </c>
      <c r="J991" s="13" t="str">
        <f>TEXT(Table1[[#This Row],[Date]],"[$-en-US]mmm yyyy")</f>
        <v>Jul 2024</v>
      </c>
      <c r="K991" s="13" t="str">
        <f>TEXT(Table1[[#This Row],[Date]],"[$-en-US]ddd")</f>
        <v>Mon</v>
      </c>
    </row>
    <row r="992" spans="1:11" x14ac:dyDescent="0.25">
      <c r="A992">
        <v>9</v>
      </c>
      <c r="B992" t="s">
        <v>9</v>
      </c>
      <c r="C992">
        <v>23.02</v>
      </c>
      <c r="D992" t="s">
        <v>16</v>
      </c>
      <c r="E992" t="s">
        <v>11</v>
      </c>
      <c r="F992" t="s">
        <v>32</v>
      </c>
      <c r="G992">
        <v>1</v>
      </c>
      <c r="H992">
        <v>7</v>
      </c>
      <c r="I992" s="13">
        <v>45502</v>
      </c>
      <c r="J992" s="13" t="str">
        <f>TEXT(Table1[[#This Row],[Date]],"[$-en-US]mmm yyyy")</f>
        <v>Jul 2024</v>
      </c>
      <c r="K992" s="13" t="str">
        <f>TEXT(Table1[[#This Row],[Date]],"[$-en-US]ddd")</f>
        <v>Mon</v>
      </c>
    </row>
    <row r="993" spans="1:11" x14ac:dyDescent="0.25">
      <c r="A993">
        <v>9</v>
      </c>
      <c r="B993" t="s">
        <v>9</v>
      </c>
      <c r="C993">
        <v>27.92</v>
      </c>
      <c r="D993" t="s">
        <v>17</v>
      </c>
      <c r="E993" t="s">
        <v>11</v>
      </c>
      <c r="F993" t="s">
        <v>32</v>
      </c>
      <c r="G993">
        <v>1</v>
      </c>
      <c r="H993">
        <v>7</v>
      </c>
      <c r="I993" s="13">
        <v>45502</v>
      </c>
      <c r="J993" s="13" t="str">
        <f>TEXT(Table1[[#This Row],[Date]],"[$-en-US]mmm yyyy")</f>
        <v>Jul 2024</v>
      </c>
      <c r="K993" s="13" t="str">
        <f>TEXT(Table1[[#This Row],[Date]],"[$-en-US]ddd")</f>
        <v>Mon</v>
      </c>
    </row>
    <row r="994" spans="1:11" x14ac:dyDescent="0.25">
      <c r="A994">
        <v>9</v>
      </c>
      <c r="B994" t="s">
        <v>9</v>
      </c>
      <c r="C994">
        <v>32.82</v>
      </c>
      <c r="D994" t="s">
        <v>27</v>
      </c>
      <c r="E994" t="s">
        <v>11</v>
      </c>
      <c r="F994" t="s">
        <v>32</v>
      </c>
      <c r="G994">
        <v>1</v>
      </c>
      <c r="H994">
        <v>7</v>
      </c>
      <c r="I994" s="13">
        <v>45502</v>
      </c>
      <c r="J994" s="13" t="str">
        <f>TEXT(Table1[[#This Row],[Date]],"[$-en-US]mmm yyyy")</f>
        <v>Jul 2024</v>
      </c>
      <c r="K994" s="13" t="str">
        <f>TEXT(Table1[[#This Row],[Date]],"[$-en-US]ddd")</f>
        <v>Mon</v>
      </c>
    </row>
    <row r="995" spans="1:11" x14ac:dyDescent="0.25">
      <c r="A995">
        <v>10</v>
      </c>
      <c r="B995" t="s">
        <v>9</v>
      </c>
      <c r="C995">
        <v>32.82</v>
      </c>
      <c r="D995" t="s">
        <v>14</v>
      </c>
      <c r="E995" t="s">
        <v>11</v>
      </c>
      <c r="F995" t="s">
        <v>32</v>
      </c>
      <c r="G995">
        <v>1</v>
      </c>
      <c r="H995">
        <v>7</v>
      </c>
      <c r="I995" s="13">
        <v>45502</v>
      </c>
      <c r="J995" s="13" t="str">
        <f>TEXT(Table1[[#This Row],[Date]],"[$-en-US]mmm yyyy")</f>
        <v>Jul 2024</v>
      </c>
      <c r="K995" s="13" t="str">
        <f>TEXT(Table1[[#This Row],[Date]],"[$-en-US]ddd")</f>
        <v>Mon</v>
      </c>
    </row>
    <row r="996" spans="1:11" x14ac:dyDescent="0.25">
      <c r="A996">
        <v>10</v>
      </c>
      <c r="B996" t="s">
        <v>9</v>
      </c>
      <c r="C996">
        <v>32.82</v>
      </c>
      <c r="D996" t="s">
        <v>14</v>
      </c>
      <c r="E996" t="s">
        <v>11</v>
      </c>
      <c r="F996" t="s">
        <v>32</v>
      </c>
      <c r="G996">
        <v>1</v>
      </c>
      <c r="H996">
        <v>7</v>
      </c>
      <c r="I996" s="13">
        <v>45502</v>
      </c>
      <c r="J996" s="13" t="str">
        <f>TEXT(Table1[[#This Row],[Date]],"[$-en-US]mmm yyyy")</f>
        <v>Jul 2024</v>
      </c>
      <c r="K996" s="13" t="str">
        <f>TEXT(Table1[[#This Row],[Date]],"[$-en-US]ddd")</f>
        <v>Mon</v>
      </c>
    </row>
    <row r="997" spans="1:11" x14ac:dyDescent="0.25">
      <c r="A997">
        <v>19</v>
      </c>
      <c r="B997" t="s">
        <v>9</v>
      </c>
      <c r="C997">
        <v>32.82</v>
      </c>
      <c r="D997" t="s">
        <v>27</v>
      </c>
      <c r="E997" t="s">
        <v>18</v>
      </c>
      <c r="F997" t="s">
        <v>32</v>
      </c>
      <c r="G997">
        <v>1</v>
      </c>
      <c r="H997">
        <v>7</v>
      </c>
      <c r="I997" s="13">
        <v>45502</v>
      </c>
      <c r="J997" s="13" t="str">
        <f>TEXT(Table1[[#This Row],[Date]],"[$-en-US]mmm yyyy")</f>
        <v>Jul 2024</v>
      </c>
      <c r="K997" s="13" t="str">
        <f>TEXT(Table1[[#This Row],[Date]],"[$-en-US]ddd")</f>
        <v>Mon</v>
      </c>
    </row>
    <row r="998" spans="1:11" x14ac:dyDescent="0.25">
      <c r="A998">
        <v>19</v>
      </c>
      <c r="B998" t="s">
        <v>9</v>
      </c>
      <c r="C998">
        <v>23.02</v>
      </c>
      <c r="D998" t="s">
        <v>16</v>
      </c>
      <c r="E998" t="s">
        <v>18</v>
      </c>
      <c r="F998" t="s">
        <v>32</v>
      </c>
      <c r="G998">
        <v>1</v>
      </c>
      <c r="H998">
        <v>7</v>
      </c>
      <c r="I998" s="13">
        <v>45502</v>
      </c>
      <c r="J998" s="13" t="str">
        <f>TEXT(Table1[[#This Row],[Date]],"[$-en-US]mmm yyyy")</f>
        <v>Jul 2024</v>
      </c>
      <c r="K998" s="13" t="str">
        <f>TEXT(Table1[[#This Row],[Date]],"[$-en-US]ddd")</f>
        <v>Mon</v>
      </c>
    </row>
    <row r="999" spans="1:11" x14ac:dyDescent="0.25">
      <c r="A999">
        <v>21</v>
      </c>
      <c r="B999" t="s">
        <v>9</v>
      </c>
      <c r="C999">
        <v>32.82</v>
      </c>
      <c r="D999" t="s">
        <v>19</v>
      </c>
      <c r="E999" t="s">
        <v>18</v>
      </c>
      <c r="F999" t="s">
        <v>32</v>
      </c>
      <c r="G999">
        <v>1</v>
      </c>
      <c r="H999">
        <v>7</v>
      </c>
      <c r="I999" s="13">
        <v>45502</v>
      </c>
      <c r="J999" s="13" t="str">
        <f>TEXT(Table1[[#This Row],[Date]],"[$-en-US]mmm yyyy")</f>
        <v>Jul 2024</v>
      </c>
      <c r="K999" s="13" t="str">
        <f>TEXT(Table1[[#This Row],[Date]],"[$-en-US]ddd")</f>
        <v>Mon</v>
      </c>
    </row>
    <row r="1000" spans="1:11" x14ac:dyDescent="0.25">
      <c r="A1000">
        <v>7</v>
      </c>
      <c r="B1000" t="s">
        <v>9</v>
      </c>
      <c r="C1000">
        <v>27.92</v>
      </c>
      <c r="D1000" t="s">
        <v>17</v>
      </c>
      <c r="E1000" t="s">
        <v>11</v>
      </c>
      <c r="F1000" t="s">
        <v>32</v>
      </c>
      <c r="G1000">
        <v>2</v>
      </c>
      <c r="H1000">
        <v>7</v>
      </c>
      <c r="I1000" s="13">
        <v>45503</v>
      </c>
      <c r="J1000" s="13" t="str">
        <f>TEXT(Table1[[#This Row],[Date]],"[$-en-US]mmm yyyy")</f>
        <v>Jul 2024</v>
      </c>
      <c r="K1000" s="13" t="str">
        <f>TEXT(Table1[[#This Row],[Date]],"[$-en-US]ddd")</f>
        <v>Tue</v>
      </c>
    </row>
    <row r="1001" spans="1:11" x14ac:dyDescent="0.25">
      <c r="A1001">
        <v>8</v>
      </c>
      <c r="B1001" t="s">
        <v>9</v>
      </c>
      <c r="C1001">
        <v>23.02</v>
      </c>
      <c r="D1001" t="s">
        <v>22</v>
      </c>
      <c r="E1001" t="s">
        <v>11</v>
      </c>
      <c r="F1001" t="s">
        <v>32</v>
      </c>
      <c r="G1001">
        <v>2</v>
      </c>
      <c r="H1001">
        <v>7</v>
      </c>
      <c r="I1001" s="13">
        <v>45503</v>
      </c>
      <c r="J1001" s="13" t="str">
        <f>TEXT(Table1[[#This Row],[Date]],"[$-en-US]mmm yyyy")</f>
        <v>Jul 2024</v>
      </c>
      <c r="K1001" s="13" t="str">
        <f>TEXT(Table1[[#This Row],[Date]],"[$-en-US]ddd")</f>
        <v>Tue</v>
      </c>
    </row>
    <row r="1002" spans="1:11" x14ac:dyDescent="0.25">
      <c r="A1002">
        <v>8</v>
      </c>
      <c r="B1002" t="s">
        <v>9</v>
      </c>
      <c r="C1002">
        <v>32.82</v>
      </c>
      <c r="D1002" t="s">
        <v>27</v>
      </c>
      <c r="E1002" t="s">
        <v>11</v>
      </c>
      <c r="F1002" t="s">
        <v>32</v>
      </c>
      <c r="G1002">
        <v>2</v>
      </c>
      <c r="H1002">
        <v>7</v>
      </c>
      <c r="I1002" s="13">
        <v>45503</v>
      </c>
      <c r="J1002" s="13" t="str">
        <f>TEXT(Table1[[#This Row],[Date]],"[$-en-US]mmm yyyy")</f>
        <v>Jul 2024</v>
      </c>
      <c r="K1002" s="13" t="str">
        <f>TEXT(Table1[[#This Row],[Date]],"[$-en-US]ddd")</f>
        <v>Tue</v>
      </c>
    </row>
    <row r="1003" spans="1:11" x14ac:dyDescent="0.25">
      <c r="A1003">
        <v>9</v>
      </c>
      <c r="B1003" t="s">
        <v>9</v>
      </c>
      <c r="C1003">
        <v>27.92</v>
      </c>
      <c r="D1003" t="s">
        <v>17</v>
      </c>
      <c r="E1003" t="s">
        <v>11</v>
      </c>
      <c r="F1003" t="s">
        <v>32</v>
      </c>
      <c r="G1003">
        <v>2</v>
      </c>
      <c r="H1003">
        <v>7</v>
      </c>
      <c r="I1003" s="13">
        <v>45503</v>
      </c>
      <c r="J1003" s="13" t="str">
        <f>TEXT(Table1[[#This Row],[Date]],"[$-en-US]mmm yyyy")</f>
        <v>Jul 2024</v>
      </c>
      <c r="K1003" s="13" t="str">
        <f>TEXT(Table1[[#This Row],[Date]],"[$-en-US]ddd")</f>
        <v>Tue</v>
      </c>
    </row>
    <row r="1004" spans="1:11" x14ac:dyDescent="0.25">
      <c r="A1004">
        <v>10</v>
      </c>
      <c r="B1004" t="s">
        <v>9</v>
      </c>
      <c r="C1004">
        <v>23.02</v>
      </c>
      <c r="D1004" t="s">
        <v>22</v>
      </c>
      <c r="E1004" t="s">
        <v>11</v>
      </c>
      <c r="F1004" t="s">
        <v>32</v>
      </c>
      <c r="G1004">
        <v>2</v>
      </c>
      <c r="H1004">
        <v>7</v>
      </c>
      <c r="I1004" s="13">
        <v>45503</v>
      </c>
      <c r="J1004" s="13" t="str">
        <f>TEXT(Table1[[#This Row],[Date]],"[$-en-US]mmm yyyy")</f>
        <v>Jul 2024</v>
      </c>
      <c r="K1004" s="13" t="str">
        <f>TEXT(Table1[[#This Row],[Date]],"[$-en-US]ddd")</f>
        <v>Tue</v>
      </c>
    </row>
    <row r="1005" spans="1:11" x14ac:dyDescent="0.25">
      <c r="A1005">
        <v>10</v>
      </c>
      <c r="B1005" t="s">
        <v>9</v>
      </c>
      <c r="C1005">
        <v>27.92</v>
      </c>
      <c r="D1005" t="s">
        <v>17</v>
      </c>
      <c r="E1005" t="s">
        <v>11</v>
      </c>
      <c r="F1005" t="s">
        <v>32</v>
      </c>
      <c r="G1005">
        <v>2</v>
      </c>
      <c r="H1005">
        <v>7</v>
      </c>
      <c r="I1005" s="13">
        <v>45503</v>
      </c>
      <c r="J1005" s="13" t="str">
        <f>TEXT(Table1[[#This Row],[Date]],"[$-en-US]mmm yyyy")</f>
        <v>Jul 2024</v>
      </c>
      <c r="K1005" s="13" t="str">
        <f>TEXT(Table1[[#This Row],[Date]],"[$-en-US]ddd")</f>
        <v>Tue</v>
      </c>
    </row>
    <row r="1006" spans="1:11" x14ac:dyDescent="0.25">
      <c r="A1006">
        <v>10</v>
      </c>
      <c r="B1006" t="s">
        <v>9</v>
      </c>
      <c r="C1006">
        <v>32.82</v>
      </c>
      <c r="D1006" t="s">
        <v>10</v>
      </c>
      <c r="E1006" t="s">
        <v>11</v>
      </c>
      <c r="F1006" t="s">
        <v>32</v>
      </c>
      <c r="G1006">
        <v>2</v>
      </c>
      <c r="H1006">
        <v>7</v>
      </c>
      <c r="I1006" s="13">
        <v>45503</v>
      </c>
      <c r="J1006" s="13" t="str">
        <f>TEXT(Table1[[#This Row],[Date]],"[$-en-US]mmm yyyy")</f>
        <v>Jul 2024</v>
      </c>
      <c r="K1006" s="13" t="str">
        <f>TEXT(Table1[[#This Row],[Date]],"[$-en-US]ddd")</f>
        <v>Tue</v>
      </c>
    </row>
    <row r="1007" spans="1:11" x14ac:dyDescent="0.25">
      <c r="A1007">
        <v>11</v>
      </c>
      <c r="B1007" t="s">
        <v>9</v>
      </c>
      <c r="C1007">
        <v>23.02</v>
      </c>
      <c r="D1007" t="s">
        <v>16</v>
      </c>
      <c r="E1007" t="s">
        <v>11</v>
      </c>
      <c r="F1007" t="s">
        <v>32</v>
      </c>
      <c r="G1007">
        <v>2</v>
      </c>
      <c r="H1007">
        <v>7</v>
      </c>
      <c r="I1007" s="13">
        <v>45503</v>
      </c>
      <c r="J1007" s="13" t="str">
        <f>TEXT(Table1[[#This Row],[Date]],"[$-en-US]mmm yyyy")</f>
        <v>Jul 2024</v>
      </c>
      <c r="K1007" s="13" t="str">
        <f>TEXT(Table1[[#This Row],[Date]],"[$-en-US]ddd")</f>
        <v>Tue</v>
      </c>
    </row>
    <row r="1008" spans="1:11" x14ac:dyDescent="0.25">
      <c r="A1008">
        <v>11</v>
      </c>
      <c r="B1008" t="s">
        <v>9</v>
      </c>
      <c r="C1008">
        <v>18.12</v>
      </c>
      <c r="D1008" t="s">
        <v>24</v>
      </c>
      <c r="E1008" t="s">
        <v>11</v>
      </c>
      <c r="F1008" t="s">
        <v>32</v>
      </c>
      <c r="G1008">
        <v>2</v>
      </c>
      <c r="H1008">
        <v>7</v>
      </c>
      <c r="I1008" s="13">
        <v>45503</v>
      </c>
      <c r="J1008" s="13" t="str">
        <f>TEXT(Table1[[#This Row],[Date]],"[$-en-US]mmm yyyy")</f>
        <v>Jul 2024</v>
      </c>
      <c r="K1008" s="13" t="str">
        <f>TEXT(Table1[[#This Row],[Date]],"[$-en-US]ddd")</f>
        <v>Tue</v>
      </c>
    </row>
    <row r="1009" spans="1:11" x14ac:dyDescent="0.25">
      <c r="A1009">
        <v>11</v>
      </c>
      <c r="B1009" t="s">
        <v>9</v>
      </c>
      <c r="C1009">
        <v>27.92</v>
      </c>
      <c r="D1009" t="s">
        <v>17</v>
      </c>
      <c r="E1009" t="s">
        <v>11</v>
      </c>
      <c r="F1009" t="s">
        <v>32</v>
      </c>
      <c r="G1009">
        <v>2</v>
      </c>
      <c r="H1009">
        <v>7</v>
      </c>
      <c r="I1009" s="13">
        <v>45503</v>
      </c>
      <c r="J1009" s="13" t="str">
        <f>TEXT(Table1[[#This Row],[Date]],"[$-en-US]mmm yyyy")</f>
        <v>Jul 2024</v>
      </c>
      <c r="K1009" s="13" t="str">
        <f>TEXT(Table1[[#This Row],[Date]],"[$-en-US]ddd")</f>
        <v>Tue</v>
      </c>
    </row>
    <row r="1010" spans="1:11" x14ac:dyDescent="0.25">
      <c r="A1010">
        <v>11</v>
      </c>
      <c r="B1010" t="s">
        <v>9</v>
      </c>
      <c r="C1010">
        <v>27.92</v>
      </c>
      <c r="D1010" t="s">
        <v>17</v>
      </c>
      <c r="E1010" t="s">
        <v>11</v>
      </c>
      <c r="F1010" t="s">
        <v>32</v>
      </c>
      <c r="G1010">
        <v>2</v>
      </c>
      <c r="H1010">
        <v>7</v>
      </c>
      <c r="I1010" s="13">
        <v>45503</v>
      </c>
      <c r="J1010" s="13" t="str">
        <f>TEXT(Table1[[#This Row],[Date]],"[$-en-US]mmm yyyy")</f>
        <v>Jul 2024</v>
      </c>
      <c r="K1010" s="13" t="str">
        <f>TEXT(Table1[[#This Row],[Date]],"[$-en-US]ddd")</f>
        <v>Tue</v>
      </c>
    </row>
    <row r="1011" spans="1:11" x14ac:dyDescent="0.25">
      <c r="A1011">
        <v>11</v>
      </c>
      <c r="B1011" t="s">
        <v>9</v>
      </c>
      <c r="C1011">
        <v>27.92</v>
      </c>
      <c r="D1011" t="s">
        <v>17</v>
      </c>
      <c r="E1011" t="s">
        <v>11</v>
      </c>
      <c r="F1011" t="s">
        <v>32</v>
      </c>
      <c r="G1011">
        <v>2</v>
      </c>
      <c r="H1011">
        <v>7</v>
      </c>
      <c r="I1011" s="13">
        <v>45503</v>
      </c>
      <c r="J1011" s="13" t="str">
        <f>TEXT(Table1[[#This Row],[Date]],"[$-en-US]mmm yyyy")</f>
        <v>Jul 2024</v>
      </c>
      <c r="K1011" s="13" t="str">
        <f>TEXT(Table1[[#This Row],[Date]],"[$-en-US]ddd")</f>
        <v>Tue</v>
      </c>
    </row>
    <row r="1012" spans="1:11" x14ac:dyDescent="0.25">
      <c r="A1012">
        <v>11</v>
      </c>
      <c r="B1012" t="s">
        <v>9</v>
      </c>
      <c r="C1012">
        <v>27.92</v>
      </c>
      <c r="D1012" t="s">
        <v>17</v>
      </c>
      <c r="E1012" t="s">
        <v>11</v>
      </c>
      <c r="F1012" t="s">
        <v>32</v>
      </c>
      <c r="G1012">
        <v>2</v>
      </c>
      <c r="H1012">
        <v>7</v>
      </c>
      <c r="I1012" s="13">
        <v>45503</v>
      </c>
      <c r="J1012" s="13" t="str">
        <f>TEXT(Table1[[#This Row],[Date]],"[$-en-US]mmm yyyy")</f>
        <v>Jul 2024</v>
      </c>
      <c r="K1012" s="13" t="str">
        <f>TEXT(Table1[[#This Row],[Date]],"[$-en-US]ddd")</f>
        <v>Tue</v>
      </c>
    </row>
    <row r="1013" spans="1:11" x14ac:dyDescent="0.25">
      <c r="A1013">
        <v>12</v>
      </c>
      <c r="B1013" t="s">
        <v>9</v>
      </c>
      <c r="C1013">
        <v>32.82</v>
      </c>
      <c r="D1013" t="s">
        <v>10</v>
      </c>
      <c r="E1013" t="s">
        <v>15</v>
      </c>
      <c r="F1013" t="s">
        <v>32</v>
      </c>
      <c r="G1013">
        <v>2</v>
      </c>
      <c r="H1013">
        <v>7</v>
      </c>
      <c r="I1013" s="13">
        <v>45503</v>
      </c>
      <c r="J1013" s="13" t="str">
        <f>TEXT(Table1[[#This Row],[Date]],"[$-en-US]mmm yyyy")</f>
        <v>Jul 2024</v>
      </c>
      <c r="K1013" s="13" t="str">
        <f>TEXT(Table1[[#This Row],[Date]],"[$-en-US]ddd")</f>
        <v>Tue</v>
      </c>
    </row>
    <row r="1014" spans="1:11" x14ac:dyDescent="0.25">
      <c r="A1014">
        <v>15</v>
      </c>
      <c r="B1014" t="s">
        <v>9</v>
      </c>
      <c r="C1014">
        <v>27.92</v>
      </c>
      <c r="D1014" t="s">
        <v>17</v>
      </c>
      <c r="E1014" t="s">
        <v>15</v>
      </c>
      <c r="F1014" t="s">
        <v>32</v>
      </c>
      <c r="G1014">
        <v>2</v>
      </c>
      <c r="H1014">
        <v>7</v>
      </c>
      <c r="I1014" s="13">
        <v>45503</v>
      </c>
      <c r="J1014" s="13" t="str">
        <f>TEXT(Table1[[#This Row],[Date]],"[$-en-US]mmm yyyy")</f>
        <v>Jul 2024</v>
      </c>
      <c r="K1014" s="13" t="str">
        <f>TEXT(Table1[[#This Row],[Date]],"[$-en-US]ddd")</f>
        <v>Tue</v>
      </c>
    </row>
    <row r="1015" spans="1:11" x14ac:dyDescent="0.25">
      <c r="A1015">
        <v>16</v>
      </c>
      <c r="B1015" t="s">
        <v>9</v>
      </c>
      <c r="C1015">
        <v>23.02</v>
      </c>
      <c r="D1015" t="s">
        <v>22</v>
      </c>
      <c r="E1015" t="s">
        <v>15</v>
      </c>
      <c r="F1015" t="s">
        <v>32</v>
      </c>
      <c r="G1015">
        <v>2</v>
      </c>
      <c r="H1015">
        <v>7</v>
      </c>
      <c r="I1015" s="13">
        <v>45503</v>
      </c>
      <c r="J1015" s="13" t="str">
        <f>TEXT(Table1[[#This Row],[Date]],"[$-en-US]mmm yyyy")</f>
        <v>Jul 2024</v>
      </c>
      <c r="K1015" s="13" t="str">
        <f>TEXT(Table1[[#This Row],[Date]],"[$-en-US]ddd")</f>
        <v>Tue</v>
      </c>
    </row>
    <row r="1016" spans="1:11" x14ac:dyDescent="0.25">
      <c r="A1016">
        <v>16</v>
      </c>
      <c r="B1016" t="s">
        <v>9</v>
      </c>
      <c r="C1016">
        <v>27.92</v>
      </c>
      <c r="D1016" t="s">
        <v>17</v>
      </c>
      <c r="E1016" t="s">
        <v>15</v>
      </c>
      <c r="F1016" t="s">
        <v>32</v>
      </c>
      <c r="G1016">
        <v>2</v>
      </c>
      <c r="H1016">
        <v>7</v>
      </c>
      <c r="I1016" s="13">
        <v>45503</v>
      </c>
      <c r="J1016" s="13" t="str">
        <f>TEXT(Table1[[#This Row],[Date]],"[$-en-US]mmm yyyy")</f>
        <v>Jul 2024</v>
      </c>
      <c r="K1016" s="13" t="str">
        <f>TEXT(Table1[[#This Row],[Date]],"[$-en-US]ddd")</f>
        <v>Tue</v>
      </c>
    </row>
    <row r="1017" spans="1:11" x14ac:dyDescent="0.25">
      <c r="A1017">
        <v>20</v>
      </c>
      <c r="B1017" t="s">
        <v>9</v>
      </c>
      <c r="C1017">
        <v>18.12</v>
      </c>
      <c r="D1017" t="s">
        <v>24</v>
      </c>
      <c r="E1017" t="s">
        <v>18</v>
      </c>
      <c r="F1017" t="s">
        <v>32</v>
      </c>
      <c r="G1017">
        <v>2</v>
      </c>
      <c r="H1017">
        <v>7</v>
      </c>
      <c r="I1017" s="13">
        <v>45503</v>
      </c>
      <c r="J1017" s="13" t="str">
        <f>TEXT(Table1[[#This Row],[Date]],"[$-en-US]mmm yyyy")</f>
        <v>Jul 2024</v>
      </c>
      <c r="K1017" s="13" t="str">
        <f>TEXT(Table1[[#This Row],[Date]],"[$-en-US]ddd")</f>
        <v>Tue</v>
      </c>
    </row>
    <row r="1018" spans="1:11" x14ac:dyDescent="0.25">
      <c r="A1018">
        <v>20</v>
      </c>
      <c r="B1018" t="s">
        <v>9</v>
      </c>
      <c r="C1018">
        <v>27.92</v>
      </c>
      <c r="D1018" t="s">
        <v>17</v>
      </c>
      <c r="E1018" t="s">
        <v>18</v>
      </c>
      <c r="F1018" t="s">
        <v>32</v>
      </c>
      <c r="G1018">
        <v>2</v>
      </c>
      <c r="H1018">
        <v>7</v>
      </c>
      <c r="I1018" s="13">
        <v>45503</v>
      </c>
      <c r="J1018" s="13" t="str">
        <f>TEXT(Table1[[#This Row],[Date]],"[$-en-US]mmm yyyy")</f>
        <v>Jul 2024</v>
      </c>
      <c r="K1018" s="13" t="str">
        <f>TEXT(Table1[[#This Row],[Date]],"[$-en-US]ddd")</f>
        <v>Tue</v>
      </c>
    </row>
    <row r="1019" spans="1:11" x14ac:dyDescent="0.25">
      <c r="A1019">
        <v>20</v>
      </c>
      <c r="B1019" t="s">
        <v>9</v>
      </c>
      <c r="C1019">
        <v>27.92</v>
      </c>
      <c r="D1019" t="s">
        <v>17</v>
      </c>
      <c r="E1019" t="s">
        <v>18</v>
      </c>
      <c r="F1019" t="s">
        <v>32</v>
      </c>
      <c r="G1019">
        <v>2</v>
      </c>
      <c r="H1019">
        <v>7</v>
      </c>
      <c r="I1019" s="13">
        <v>45503</v>
      </c>
      <c r="J1019" s="13" t="str">
        <f>TEXT(Table1[[#This Row],[Date]],"[$-en-US]mmm yyyy")</f>
        <v>Jul 2024</v>
      </c>
      <c r="K1019" s="13" t="str">
        <f>TEXT(Table1[[#This Row],[Date]],"[$-en-US]ddd")</f>
        <v>Tue</v>
      </c>
    </row>
    <row r="1020" spans="1:11" x14ac:dyDescent="0.25">
      <c r="A1020">
        <v>20</v>
      </c>
      <c r="B1020" t="s">
        <v>9</v>
      </c>
      <c r="C1020">
        <v>27.92</v>
      </c>
      <c r="D1020" t="s">
        <v>17</v>
      </c>
      <c r="E1020" t="s">
        <v>18</v>
      </c>
      <c r="F1020" t="s">
        <v>32</v>
      </c>
      <c r="G1020">
        <v>2</v>
      </c>
      <c r="H1020">
        <v>7</v>
      </c>
      <c r="I1020" s="13">
        <v>45503</v>
      </c>
      <c r="J1020" s="13" t="str">
        <f>TEXT(Table1[[#This Row],[Date]],"[$-en-US]mmm yyyy")</f>
        <v>Jul 2024</v>
      </c>
      <c r="K1020" s="13" t="str">
        <f>TEXT(Table1[[#This Row],[Date]],"[$-en-US]ddd")</f>
        <v>Tue</v>
      </c>
    </row>
    <row r="1021" spans="1:11" x14ac:dyDescent="0.25">
      <c r="A1021">
        <v>21</v>
      </c>
      <c r="B1021" t="s">
        <v>9</v>
      </c>
      <c r="C1021">
        <v>32.82</v>
      </c>
      <c r="D1021" t="s">
        <v>10</v>
      </c>
      <c r="E1021" t="s">
        <v>18</v>
      </c>
      <c r="F1021" t="s">
        <v>32</v>
      </c>
      <c r="G1021">
        <v>2</v>
      </c>
      <c r="H1021">
        <v>7</v>
      </c>
      <c r="I1021" s="13">
        <v>45503</v>
      </c>
      <c r="J1021" s="13" t="str">
        <f>TEXT(Table1[[#This Row],[Date]],"[$-en-US]mmm yyyy")</f>
        <v>Jul 2024</v>
      </c>
      <c r="K1021" s="13" t="str">
        <f>TEXT(Table1[[#This Row],[Date]],"[$-en-US]ddd")</f>
        <v>Tue</v>
      </c>
    </row>
    <row r="1022" spans="1:11" x14ac:dyDescent="0.25">
      <c r="A1022">
        <v>22</v>
      </c>
      <c r="B1022" t="s">
        <v>9</v>
      </c>
      <c r="C1022">
        <v>23.02</v>
      </c>
      <c r="D1022" t="s">
        <v>16</v>
      </c>
      <c r="E1022" t="s">
        <v>18</v>
      </c>
      <c r="F1022" t="s">
        <v>32</v>
      </c>
      <c r="G1022">
        <v>2</v>
      </c>
      <c r="H1022">
        <v>7</v>
      </c>
      <c r="I1022" s="13">
        <v>45503</v>
      </c>
      <c r="J1022" s="13" t="str">
        <f>TEXT(Table1[[#This Row],[Date]],"[$-en-US]mmm yyyy")</f>
        <v>Jul 2024</v>
      </c>
      <c r="K1022" s="13" t="str">
        <f>TEXT(Table1[[#This Row],[Date]],"[$-en-US]ddd")</f>
        <v>Tue</v>
      </c>
    </row>
    <row r="1023" spans="1:11" x14ac:dyDescent="0.25">
      <c r="A1023">
        <v>22</v>
      </c>
      <c r="B1023" t="s">
        <v>9</v>
      </c>
      <c r="C1023">
        <v>32.82</v>
      </c>
      <c r="D1023" t="s">
        <v>27</v>
      </c>
      <c r="E1023" t="s">
        <v>18</v>
      </c>
      <c r="F1023" t="s">
        <v>32</v>
      </c>
      <c r="G1023">
        <v>2</v>
      </c>
      <c r="H1023">
        <v>7</v>
      </c>
      <c r="I1023" s="13">
        <v>45503</v>
      </c>
      <c r="J1023" s="13" t="str">
        <f>TEXT(Table1[[#This Row],[Date]],"[$-en-US]mmm yyyy")</f>
        <v>Jul 2024</v>
      </c>
      <c r="K1023" s="13" t="str">
        <f>TEXT(Table1[[#This Row],[Date]],"[$-en-US]ddd")</f>
        <v>Tue</v>
      </c>
    </row>
    <row r="1024" spans="1:11" x14ac:dyDescent="0.25">
      <c r="A1024">
        <v>7</v>
      </c>
      <c r="B1024" t="s">
        <v>9</v>
      </c>
      <c r="C1024">
        <v>27.92</v>
      </c>
      <c r="D1024" t="s">
        <v>17</v>
      </c>
      <c r="E1024" t="s">
        <v>11</v>
      </c>
      <c r="F1024" t="s">
        <v>32</v>
      </c>
      <c r="G1024">
        <v>3</v>
      </c>
      <c r="H1024">
        <v>7</v>
      </c>
      <c r="I1024" s="13">
        <v>45504</v>
      </c>
      <c r="J1024" s="13" t="str">
        <f>TEXT(Table1[[#This Row],[Date]],"[$-en-US]mmm yyyy")</f>
        <v>Jul 2024</v>
      </c>
      <c r="K1024" s="13" t="str">
        <f>TEXT(Table1[[#This Row],[Date]],"[$-en-US]ddd")</f>
        <v>Wed</v>
      </c>
    </row>
    <row r="1025" spans="1:11" x14ac:dyDescent="0.25">
      <c r="A1025">
        <v>8</v>
      </c>
      <c r="B1025" t="s">
        <v>9</v>
      </c>
      <c r="C1025">
        <v>27.92</v>
      </c>
      <c r="D1025" t="s">
        <v>17</v>
      </c>
      <c r="E1025" t="s">
        <v>11</v>
      </c>
      <c r="F1025" t="s">
        <v>32</v>
      </c>
      <c r="G1025">
        <v>3</v>
      </c>
      <c r="H1025">
        <v>7</v>
      </c>
      <c r="I1025" s="13">
        <v>45504</v>
      </c>
      <c r="J1025" s="13" t="str">
        <f>TEXT(Table1[[#This Row],[Date]],"[$-en-US]mmm yyyy")</f>
        <v>Jul 2024</v>
      </c>
      <c r="K1025" s="13" t="str">
        <f>TEXT(Table1[[#This Row],[Date]],"[$-en-US]ddd")</f>
        <v>Wed</v>
      </c>
    </row>
    <row r="1026" spans="1:11" x14ac:dyDescent="0.25">
      <c r="A1026">
        <v>8</v>
      </c>
      <c r="B1026" t="s">
        <v>9</v>
      </c>
      <c r="C1026">
        <v>27.92</v>
      </c>
      <c r="D1026" t="s">
        <v>17</v>
      </c>
      <c r="E1026" t="s">
        <v>11</v>
      </c>
      <c r="F1026" t="s">
        <v>32</v>
      </c>
      <c r="G1026">
        <v>3</v>
      </c>
      <c r="H1026">
        <v>7</v>
      </c>
      <c r="I1026" s="13">
        <v>45504</v>
      </c>
      <c r="J1026" s="13" t="str">
        <f>TEXT(Table1[[#This Row],[Date]],"[$-en-US]mmm yyyy")</f>
        <v>Jul 2024</v>
      </c>
      <c r="K1026" s="13" t="str">
        <f>TEXT(Table1[[#This Row],[Date]],"[$-en-US]ddd")</f>
        <v>Wed</v>
      </c>
    </row>
    <row r="1027" spans="1:11" x14ac:dyDescent="0.25">
      <c r="A1027">
        <v>9</v>
      </c>
      <c r="B1027" t="s">
        <v>9</v>
      </c>
      <c r="C1027">
        <v>23.02</v>
      </c>
      <c r="D1027" t="s">
        <v>16</v>
      </c>
      <c r="E1027" t="s">
        <v>11</v>
      </c>
      <c r="F1027" t="s">
        <v>32</v>
      </c>
      <c r="G1027">
        <v>3</v>
      </c>
      <c r="H1027">
        <v>7</v>
      </c>
      <c r="I1027" s="13">
        <v>45504</v>
      </c>
      <c r="J1027" s="13" t="str">
        <f>TEXT(Table1[[#This Row],[Date]],"[$-en-US]mmm yyyy")</f>
        <v>Jul 2024</v>
      </c>
      <c r="K1027" s="13" t="str">
        <f>TEXT(Table1[[#This Row],[Date]],"[$-en-US]ddd")</f>
        <v>Wed</v>
      </c>
    </row>
    <row r="1028" spans="1:11" x14ac:dyDescent="0.25">
      <c r="A1028">
        <v>9</v>
      </c>
      <c r="B1028" t="s">
        <v>9</v>
      </c>
      <c r="C1028">
        <v>23.02</v>
      </c>
      <c r="D1028" t="s">
        <v>16</v>
      </c>
      <c r="E1028" t="s">
        <v>11</v>
      </c>
      <c r="F1028" t="s">
        <v>32</v>
      </c>
      <c r="G1028">
        <v>3</v>
      </c>
      <c r="H1028">
        <v>7</v>
      </c>
      <c r="I1028" s="13">
        <v>45504</v>
      </c>
      <c r="J1028" s="13" t="str">
        <f>TEXT(Table1[[#This Row],[Date]],"[$-en-US]mmm yyyy")</f>
        <v>Jul 2024</v>
      </c>
      <c r="K1028" s="13" t="str">
        <f>TEXT(Table1[[#This Row],[Date]],"[$-en-US]ddd")</f>
        <v>Wed</v>
      </c>
    </row>
    <row r="1029" spans="1:11" x14ac:dyDescent="0.25">
      <c r="A1029">
        <v>9</v>
      </c>
      <c r="B1029" t="s">
        <v>9</v>
      </c>
      <c r="C1029">
        <v>27.92</v>
      </c>
      <c r="D1029" t="s">
        <v>17</v>
      </c>
      <c r="E1029" t="s">
        <v>11</v>
      </c>
      <c r="F1029" t="s">
        <v>32</v>
      </c>
      <c r="G1029">
        <v>3</v>
      </c>
      <c r="H1029">
        <v>7</v>
      </c>
      <c r="I1029" s="13">
        <v>45504</v>
      </c>
      <c r="J1029" s="13" t="str">
        <f>TEXT(Table1[[#This Row],[Date]],"[$-en-US]mmm yyyy")</f>
        <v>Jul 2024</v>
      </c>
      <c r="K1029" s="13" t="str">
        <f>TEXT(Table1[[#This Row],[Date]],"[$-en-US]ddd")</f>
        <v>Wed</v>
      </c>
    </row>
    <row r="1030" spans="1:11" x14ac:dyDescent="0.25">
      <c r="A1030">
        <v>13</v>
      </c>
      <c r="B1030" t="s">
        <v>9</v>
      </c>
      <c r="C1030">
        <v>32.82</v>
      </c>
      <c r="D1030" t="s">
        <v>19</v>
      </c>
      <c r="E1030" t="s">
        <v>15</v>
      </c>
      <c r="F1030" t="s">
        <v>32</v>
      </c>
      <c r="G1030">
        <v>3</v>
      </c>
      <c r="H1030">
        <v>7</v>
      </c>
      <c r="I1030" s="13">
        <v>45504</v>
      </c>
      <c r="J1030" s="13" t="str">
        <f>TEXT(Table1[[#This Row],[Date]],"[$-en-US]mmm yyyy")</f>
        <v>Jul 2024</v>
      </c>
      <c r="K1030" s="13" t="str">
        <f>TEXT(Table1[[#This Row],[Date]],"[$-en-US]ddd")</f>
        <v>Wed</v>
      </c>
    </row>
    <row r="1031" spans="1:11" x14ac:dyDescent="0.25">
      <c r="A1031">
        <v>13</v>
      </c>
      <c r="B1031" t="s">
        <v>9</v>
      </c>
      <c r="C1031">
        <v>32.82</v>
      </c>
      <c r="D1031" t="s">
        <v>10</v>
      </c>
      <c r="E1031" t="s">
        <v>15</v>
      </c>
      <c r="F1031" t="s">
        <v>32</v>
      </c>
      <c r="G1031">
        <v>3</v>
      </c>
      <c r="H1031">
        <v>7</v>
      </c>
      <c r="I1031" s="13">
        <v>45504</v>
      </c>
      <c r="J1031" s="13" t="str">
        <f>TEXT(Table1[[#This Row],[Date]],"[$-en-US]mmm yyyy")</f>
        <v>Jul 2024</v>
      </c>
      <c r="K1031" s="13" t="str">
        <f>TEXT(Table1[[#This Row],[Date]],"[$-en-US]ddd")</f>
        <v>Wed</v>
      </c>
    </row>
    <row r="1032" spans="1:11" x14ac:dyDescent="0.25">
      <c r="A1032">
        <v>13</v>
      </c>
      <c r="B1032" t="s">
        <v>9</v>
      </c>
      <c r="C1032">
        <v>27.92</v>
      </c>
      <c r="D1032" t="s">
        <v>17</v>
      </c>
      <c r="E1032" t="s">
        <v>15</v>
      </c>
      <c r="F1032" t="s">
        <v>32</v>
      </c>
      <c r="G1032">
        <v>3</v>
      </c>
      <c r="H1032">
        <v>7</v>
      </c>
      <c r="I1032" s="13">
        <v>45504</v>
      </c>
      <c r="J1032" s="13" t="str">
        <f>TEXT(Table1[[#This Row],[Date]],"[$-en-US]mmm yyyy")</f>
        <v>Jul 2024</v>
      </c>
      <c r="K1032" s="13" t="str">
        <f>TEXT(Table1[[#This Row],[Date]],"[$-en-US]ddd")</f>
        <v>Wed</v>
      </c>
    </row>
    <row r="1033" spans="1:11" x14ac:dyDescent="0.25">
      <c r="A1033">
        <v>17</v>
      </c>
      <c r="B1033" t="s">
        <v>9</v>
      </c>
      <c r="C1033">
        <v>23.02</v>
      </c>
      <c r="D1033" t="s">
        <v>22</v>
      </c>
      <c r="E1033" t="s">
        <v>18</v>
      </c>
      <c r="F1033" t="s">
        <v>32</v>
      </c>
      <c r="G1033">
        <v>3</v>
      </c>
      <c r="H1033">
        <v>7</v>
      </c>
      <c r="I1033" s="13">
        <v>45504</v>
      </c>
      <c r="J1033" s="13" t="str">
        <f>TEXT(Table1[[#This Row],[Date]],"[$-en-US]mmm yyyy")</f>
        <v>Jul 2024</v>
      </c>
      <c r="K1033" s="13" t="str">
        <f>TEXT(Table1[[#This Row],[Date]],"[$-en-US]ddd")</f>
        <v>Wed</v>
      </c>
    </row>
    <row r="1034" spans="1:11" x14ac:dyDescent="0.25">
      <c r="A1034">
        <v>18</v>
      </c>
      <c r="B1034" t="s">
        <v>9</v>
      </c>
      <c r="C1034">
        <v>32.82</v>
      </c>
      <c r="D1034" t="s">
        <v>10</v>
      </c>
      <c r="E1034" t="s">
        <v>18</v>
      </c>
      <c r="F1034" t="s">
        <v>32</v>
      </c>
      <c r="G1034">
        <v>3</v>
      </c>
      <c r="H1034">
        <v>7</v>
      </c>
      <c r="I1034" s="13">
        <v>45504</v>
      </c>
      <c r="J1034" s="13" t="str">
        <f>TEXT(Table1[[#This Row],[Date]],"[$-en-US]mmm yyyy")</f>
        <v>Jul 2024</v>
      </c>
      <c r="K1034" s="13" t="str">
        <f>TEXT(Table1[[#This Row],[Date]],"[$-en-US]ddd")</f>
        <v>Wed</v>
      </c>
    </row>
    <row r="1035" spans="1:11" x14ac:dyDescent="0.25">
      <c r="A1035">
        <v>19</v>
      </c>
      <c r="B1035" t="s">
        <v>9</v>
      </c>
      <c r="C1035">
        <v>23.02</v>
      </c>
      <c r="D1035" t="s">
        <v>22</v>
      </c>
      <c r="E1035" t="s">
        <v>18</v>
      </c>
      <c r="F1035" t="s">
        <v>32</v>
      </c>
      <c r="G1035">
        <v>3</v>
      </c>
      <c r="H1035">
        <v>7</v>
      </c>
      <c r="I1035" s="13">
        <v>45504</v>
      </c>
      <c r="J1035" s="13" t="str">
        <f>TEXT(Table1[[#This Row],[Date]],"[$-en-US]mmm yyyy")</f>
        <v>Jul 2024</v>
      </c>
      <c r="K1035" s="13" t="str">
        <f>TEXT(Table1[[#This Row],[Date]],"[$-en-US]ddd")</f>
        <v>Wed</v>
      </c>
    </row>
    <row r="1036" spans="1:11" x14ac:dyDescent="0.25">
      <c r="A1036">
        <v>19</v>
      </c>
      <c r="B1036" t="s">
        <v>9</v>
      </c>
      <c r="C1036">
        <v>32.82</v>
      </c>
      <c r="D1036" t="s">
        <v>10</v>
      </c>
      <c r="E1036" t="s">
        <v>18</v>
      </c>
      <c r="F1036" t="s">
        <v>32</v>
      </c>
      <c r="G1036">
        <v>3</v>
      </c>
      <c r="H1036">
        <v>7</v>
      </c>
      <c r="I1036" s="13">
        <v>45504</v>
      </c>
      <c r="J1036" s="13" t="str">
        <f>TEXT(Table1[[#This Row],[Date]],"[$-en-US]mmm yyyy")</f>
        <v>Jul 2024</v>
      </c>
      <c r="K1036" s="13" t="str">
        <f>TEXT(Table1[[#This Row],[Date]],"[$-en-US]ddd")</f>
        <v>Wed</v>
      </c>
    </row>
    <row r="1037" spans="1:11" x14ac:dyDescent="0.25">
      <c r="A1037">
        <v>20</v>
      </c>
      <c r="B1037" t="s">
        <v>9</v>
      </c>
      <c r="C1037">
        <v>32.82</v>
      </c>
      <c r="D1037" t="s">
        <v>19</v>
      </c>
      <c r="E1037" t="s">
        <v>18</v>
      </c>
      <c r="F1037" t="s">
        <v>32</v>
      </c>
      <c r="G1037">
        <v>3</v>
      </c>
      <c r="H1037">
        <v>7</v>
      </c>
      <c r="I1037" s="13">
        <v>45504</v>
      </c>
      <c r="J1037" s="13" t="str">
        <f>TEXT(Table1[[#This Row],[Date]],"[$-en-US]mmm yyyy")</f>
        <v>Jul 2024</v>
      </c>
      <c r="K1037" s="13" t="str">
        <f>TEXT(Table1[[#This Row],[Date]],"[$-en-US]ddd")</f>
        <v>Wed</v>
      </c>
    </row>
    <row r="1038" spans="1:11" x14ac:dyDescent="0.25">
      <c r="A1038">
        <v>20</v>
      </c>
      <c r="B1038" t="s">
        <v>9</v>
      </c>
      <c r="C1038">
        <v>23.02</v>
      </c>
      <c r="D1038" t="s">
        <v>22</v>
      </c>
      <c r="E1038" t="s">
        <v>18</v>
      </c>
      <c r="F1038" t="s">
        <v>32</v>
      </c>
      <c r="G1038">
        <v>3</v>
      </c>
      <c r="H1038">
        <v>7</v>
      </c>
      <c r="I1038" s="13">
        <v>45504</v>
      </c>
      <c r="J1038" s="13" t="str">
        <f>TEXT(Table1[[#This Row],[Date]],"[$-en-US]mmm yyyy")</f>
        <v>Jul 2024</v>
      </c>
      <c r="K1038" s="13" t="str">
        <f>TEXT(Table1[[#This Row],[Date]],"[$-en-US]ddd")</f>
        <v>Wed</v>
      </c>
    </row>
    <row r="1039" spans="1:11" x14ac:dyDescent="0.25">
      <c r="A1039">
        <v>20</v>
      </c>
      <c r="B1039" t="s">
        <v>9</v>
      </c>
      <c r="C1039">
        <v>32.82</v>
      </c>
      <c r="D1039" t="s">
        <v>10</v>
      </c>
      <c r="E1039" t="s">
        <v>18</v>
      </c>
      <c r="F1039" t="s">
        <v>32</v>
      </c>
      <c r="G1039">
        <v>3</v>
      </c>
      <c r="H1039">
        <v>7</v>
      </c>
      <c r="I1039" s="13">
        <v>45504</v>
      </c>
      <c r="J1039" s="13" t="str">
        <f>TEXT(Table1[[#This Row],[Date]],"[$-en-US]mmm yyyy")</f>
        <v>Jul 2024</v>
      </c>
      <c r="K1039" s="13" t="str">
        <f>TEXT(Table1[[#This Row],[Date]],"[$-en-US]ddd")</f>
        <v>Wed</v>
      </c>
    </row>
    <row r="1040" spans="1:11" x14ac:dyDescent="0.25">
      <c r="A1040">
        <v>20</v>
      </c>
      <c r="B1040" t="s">
        <v>9</v>
      </c>
      <c r="C1040">
        <v>32.82</v>
      </c>
      <c r="D1040" t="s">
        <v>27</v>
      </c>
      <c r="E1040" t="s">
        <v>18</v>
      </c>
      <c r="F1040" t="s">
        <v>32</v>
      </c>
      <c r="G1040">
        <v>3</v>
      </c>
      <c r="H1040">
        <v>7</v>
      </c>
      <c r="I1040" s="13">
        <v>45504</v>
      </c>
      <c r="J1040" s="13" t="str">
        <f>TEXT(Table1[[#This Row],[Date]],"[$-en-US]mmm yyyy")</f>
        <v>Jul 2024</v>
      </c>
      <c r="K1040" s="13" t="str">
        <f>TEXT(Table1[[#This Row],[Date]],"[$-en-US]ddd")</f>
        <v>Wed</v>
      </c>
    </row>
    <row r="1041" spans="1:11" x14ac:dyDescent="0.25">
      <c r="A1041">
        <v>20</v>
      </c>
      <c r="B1041" t="s">
        <v>9</v>
      </c>
      <c r="C1041">
        <v>23.02</v>
      </c>
      <c r="D1041" t="s">
        <v>22</v>
      </c>
      <c r="E1041" t="s">
        <v>18</v>
      </c>
      <c r="F1041" t="s">
        <v>32</v>
      </c>
      <c r="G1041">
        <v>3</v>
      </c>
      <c r="H1041">
        <v>7</v>
      </c>
      <c r="I1041" s="13">
        <v>45504</v>
      </c>
      <c r="J1041" s="13" t="str">
        <f>TEXT(Table1[[#This Row],[Date]],"[$-en-US]mmm yyyy")</f>
        <v>Jul 2024</v>
      </c>
      <c r="K1041" s="13" t="str">
        <f>TEXT(Table1[[#This Row],[Date]],"[$-en-US]ddd")</f>
        <v>Wed</v>
      </c>
    </row>
    <row r="1042" spans="1:11" x14ac:dyDescent="0.25">
      <c r="A1042">
        <v>20</v>
      </c>
      <c r="B1042" t="s">
        <v>9</v>
      </c>
      <c r="C1042">
        <v>27.92</v>
      </c>
      <c r="D1042" t="s">
        <v>17</v>
      </c>
      <c r="E1042" t="s">
        <v>18</v>
      </c>
      <c r="F1042" t="s">
        <v>32</v>
      </c>
      <c r="G1042">
        <v>3</v>
      </c>
      <c r="H1042">
        <v>7</v>
      </c>
      <c r="I1042" s="13">
        <v>45504</v>
      </c>
      <c r="J1042" s="13" t="str">
        <f>TEXT(Table1[[#This Row],[Date]],"[$-en-US]mmm yyyy")</f>
        <v>Jul 2024</v>
      </c>
      <c r="K1042" s="13" t="str">
        <f>TEXT(Table1[[#This Row],[Date]],"[$-en-US]ddd")</f>
        <v>Wed</v>
      </c>
    </row>
    <row r="1043" spans="1:11" x14ac:dyDescent="0.25">
      <c r="A1043">
        <v>21</v>
      </c>
      <c r="B1043" t="s">
        <v>9</v>
      </c>
      <c r="C1043">
        <v>32.82</v>
      </c>
      <c r="D1043" t="s">
        <v>10</v>
      </c>
      <c r="E1043" t="s">
        <v>18</v>
      </c>
      <c r="F1043" t="s">
        <v>32</v>
      </c>
      <c r="G1043">
        <v>3</v>
      </c>
      <c r="H1043">
        <v>7</v>
      </c>
      <c r="I1043" s="13">
        <v>45504</v>
      </c>
      <c r="J1043" s="13" t="str">
        <f>TEXT(Table1[[#This Row],[Date]],"[$-en-US]mmm yyyy")</f>
        <v>Jul 2024</v>
      </c>
      <c r="K1043" s="13" t="str">
        <f>TEXT(Table1[[#This Row],[Date]],"[$-en-US]ddd")</f>
        <v>Wed</v>
      </c>
    </row>
    <row r="1044" spans="1:11" x14ac:dyDescent="0.25">
      <c r="A1044">
        <v>21</v>
      </c>
      <c r="B1044" t="s">
        <v>9</v>
      </c>
      <c r="C1044">
        <v>32.82</v>
      </c>
      <c r="D1044" t="s">
        <v>10</v>
      </c>
      <c r="E1044" t="s">
        <v>18</v>
      </c>
      <c r="F1044" t="s">
        <v>32</v>
      </c>
      <c r="G1044">
        <v>3</v>
      </c>
      <c r="H1044">
        <v>7</v>
      </c>
      <c r="I1044" s="13">
        <v>45504</v>
      </c>
      <c r="J1044" s="13" t="str">
        <f>TEXT(Table1[[#This Row],[Date]],"[$-en-US]mmm yyyy")</f>
        <v>Jul 2024</v>
      </c>
      <c r="K1044" s="13" t="str">
        <f>TEXT(Table1[[#This Row],[Date]],"[$-en-US]ddd")</f>
        <v>Wed</v>
      </c>
    </row>
    <row r="1045" spans="1:11" x14ac:dyDescent="0.25">
      <c r="A1045">
        <v>21</v>
      </c>
      <c r="B1045" t="s">
        <v>9</v>
      </c>
      <c r="C1045">
        <v>32.82</v>
      </c>
      <c r="D1045" t="s">
        <v>10</v>
      </c>
      <c r="E1045" t="s">
        <v>18</v>
      </c>
      <c r="F1045" t="s">
        <v>32</v>
      </c>
      <c r="G1045">
        <v>3</v>
      </c>
      <c r="H1045">
        <v>7</v>
      </c>
      <c r="I1045" s="13">
        <v>45504</v>
      </c>
      <c r="J1045" s="13" t="str">
        <f>TEXT(Table1[[#This Row],[Date]],"[$-en-US]mmm yyyy")</f>
        <v>Jul 2024</v>
      </c>
      <c r="K1045" s="13" t="str">
        <f>TEXT(Table1[[#This Row],[Date]],"[$-en-US]ddd")</f>
        <v>Wed</v>
      </c>
    </row>
    <row r="1046" spans="1:11" x14ac:dyDescent="0.25">
      <c r="A1046">
        <v>7</v>
      </c>
      <c r="B1046" t="s">
        <v>9</v>
      </c>
      <c r="C1046">
        <v>27.92</v>
      </c>
      <c r="D1046" t="s">
        <v>17</v>
      </c>
      <c r="E1046" t="s">
        <v>11</v>
      </c>
      <c r="F1046" t="s">
        <v>33</v>
      </c>
      <c r="G1046">
        <v>4</v>
      </c>
      <c r="H1046">
        <v>8</v>
      </c>
      <c r="I1046" s="13">
        <v>45505</v>
      </c>
      <c r="J1046" s="13" t="str">
        <f>TEXT(Table1[[#This Row],[Date]],"[$-en-US]mmm yyyy")</f>
        <v>Aug 2024</v>
      </c>
      <c r="K1046" s="13" t="str">
        <f>TEXT(Table1[[#This Row],[Date]],"[$-en-US]ddd")</f>
        <v>Thu</v>
      </c>
    </row>
    <row r="1047" spans="1:11" x14ac:dyDescent="0.25">
      <c r="A1047">
        <v>9</v>
      </c>
      <c r="B1047" t="s">
        <v>9</v>
      </c>
      <c r="C1047">
        <v>27.92</v>
      </c>
      <c r="D1047" t="s">
        <v>17</v>
      </c>
      <c r="E1047" t="s">
        <v>11</v>
      </c>
      <c r="F1047" t="s">
        <v>33</v>
      </c>
      <c r="G1047">
        <v>4</v>
      </c>
      <c r="H1047">
        <v>8</v>
      </c>
      <c r="I1047" s="13">
        <v>45505</v>
      </c>
      <c r="J1047" s="13" t="str">
        <f>TEXT(Table1[[#This Row],[Date]],"[$-en-US]mmm yyyy")</f>
        <v>Aug 2024</v>
      </c>
      <c r="K1047" s="13" t="str">
        <f>TEXT(Table1[[#This Row],[Date]],"[$-en-US]ddd")</f>
        <v>Thu</v>
      </c>
    </row>
    <row r="1048" spans="1:11" x14ac:dyDescent="0.25">
      <c r="A1048">
        <v>11</v>
      </c>
      <c r="B1048" t="s">
        <v>9</v>
      </c>
      <c r="C1048">
        <v>27.92</v>
      </c>
      <c r="D1048" t="s">
        <v>17</v>
      </c>
      <c r="E1048" t="s">
        <v>11</v>
      </c>
      <c r="F1048" t="s">
        <v>33</v>
      </c>
      <c r="G1048">
        <v>4</v>
      </c>
      <c r="H1048">
        <v>8</v>
      </c>
      <c r="I1048" s="13">
        <v>45505</v>
      </c>
      <c r="J1048" s="13" t="str">
        <f>TEXT(Table1[[#This Row],[Date]],"[$-en-US]mmm yyyy")</f>
        <v>Aug 2024</v>
      </c>
      <c r="K1048" s="13" t="str">
        <f>TEXT(Table1[[#This Row],[Date]],"[$-en-US]ddd")</f>
        <v>Thu</v>
      </c>
    </row>
    <row r="1049" spans="1:11" x14ac:dyDescent="0.25">
      <c r="A1049">
        <v>11</v>
      </c>
      <c r="B1049" t="s">
        <v>9</v>
      </c>
      <c r="C1049">
        <v>27.92</v>
      </c>
      <c r="D1049" t="s">
        <v>17</v>
      </c>
      <c r="E1049" t="s">
        <v>11</v>
      </c>
      <c r="F1049" t="s">
        <v>33</v>
      </c>
      <c r="G1049">
        <v>4</v>
      </c>
      <c r="H1049">
        <v>8</v>
      </c>
      <c r="I1049" s="13">
        <v>45505</v>
      </c>
      <c r="J1049" s="13" t="str">
        <f>TEXT(Table1[[#This Row],[Date]],"[$-en-US]mmm yyyy")</f>
        <v>Aug 2024</v>
      </c>
      <c r="K1049" s="13" t="str">
        <f>TEXT(Table1[[#This Row],[Date]],"[$-en-US]ddd")</f>
        <v>Thu</v>
      </c>
    </row>
    <row r="1050" spans="1:11" x14ac:dyDescent="0.25">
      <c r="A1050">
        <v>13</v>
      </c>
      <c r="B1050" t="s">
        <v>9</v>
      </c>
      <c r="C1050">
        <v>23.02</v>
      </c>
      <c r="D1050" t="s">
        <v>22</v>
      </c>
      <c r="E1050" t="s">
        <v>15</v>
      </c>
      <c r="F1050" t="s">
        <v>33</v>
      </c>
      <c r="G1050">
        <v>4</v>
      </c>
      <c r="H1050">
        <v>8</v>
      </c>
      <c r="I1050" s="13">
        <v>45505</v>
      </c>
      <c r="J1050" s="13" t="str">
        <f>TEXT(Table1[[#This Row],[Date]],"[$-en-US]mmm yyyy")</f>
        <v>Aug 2024</v>
      </c>
      <c r="K1050" s="13" t="str">
        <f>TEXT(Table1[[#This Row],[Date]],"[$-en-US]ddd")</f>
        <v>Thu</v>
      </c>
    </row>
    <row r="1051" spans="1:11" x14ac:dyDescent="0.25">
      <c r="A1051">
        <v>13</v>
      </c>
      <c r="B1051" t="s">
        <v>9</v>
      </c>
      <c r="C1051">
        <v>32.82</v>
      </c>
      <c r="D1051" t="s">
        <v>27</v>
      </c>
      <c r="E1051" t="s">
        <v>15</v>
      </c>
      <c r="F1051" t="s">
        <v>33</v>
      </c>
      <c r="G1051">
        <v>4</v>
      </c>
      <c r="H1051">
        <v>8</v>
      </c>
      <c r="I1051" s="13">
        <v>45505</v>
      </c>
      <c r="J1051" s="13" t="str">
        <f>TEXT(Table1[[#This Row],[Date]],"[$-en-US]mmm yyyy")</f>
        <v>Aug 2024</v>
      </c>
      <c r="K1051" s="13" t="str">
        <f>TEXT(Table1[[#This Row],[Date]],"[$-en-US]ddd")</f>
        <v>Thu</v>
      </c>
    </row>
    <row r="1052" spans="1:11" x14ac:dyDescent="0.25">
      <c r="A1052">
        <v>13</v>
      </c>
      <c r="B1052" t="s">
        <v>9</v>
      </c>
      <c r="C1052">
        <v>32.82</v>
      </c>
      <c r="D1052" t="s">
        <v>27</v>
      </c>
      <c r="E1052" t="s">
        <v>15</v>
      </c>
      <c r="F1052" t="s">
        <v>33</v>
      </c>
      <c r="G1052">
        <v>4</v>
      </c>
      <c r="H1052">
        <v>8</v>
      </c>
      <c r="I1052" s="13">
        <v>45505</v>
      </c>
      <c r="J1052" s="13" t="str">
        <f>TEXT(Table1[[#This Row],[Date]],"[$-en-US]mmm yyyy")</f>
        <v>Aug 2024</v>
      </c>
      <c r="K1052" s="13" t="str">
        <f>TEXT(Table1[[#This Row],[Date]],"[$-en-US]ddd")</f>
        <v>Thu</v>
      </c>
    </row>
    <row r="1053" spans="1:11" x14ac:dyDescent="0.25">
      <c r="A1053">
        <v>15</v>
      </c>
      <c r="B1053" t="s">
        <v>9</v>
      </c>
      <c r="C1053">
        <v>27.92</v>
      </c>
      <c r="D1053" t="s">
        <v>17</v>
      </c>
      <c r="E1053" t="s">
        <v>15</v>
      </c>
      <c r="F1053" t="s">
        <v>33</v>
      </c>
      <c r="G1053">
        <v>4</v>
      </c>
      <c r="H1053">
        <v>8</v>
      </c>
      <c r="I1053" s="13">
        <v>45505</v>
      </c>
      <c r="J1053" s="13" t="str">
        <f>TEXT(Table1[[#This Row],[Date]],"[$-en-US]mmm yyyy")</f>
        <v>Aug 2024</v>
      </c>
      <c r="K1053" s="13" t="str">
        <f>TEXT(Table1[[#This Row],[Date]],"[$-en-US]ddd")</f>
        <v>Thu</v>
      </c>
    </row>
    <row r="1054" spans="1:11" x14ac:dyDescent="0.25">
      <c r="A1054">
        <v>16</v>
      </c>
      <c r="B1054" t="s">
        <v>9</v>
      </c>
      <c r="C1054">
        <v>27.92</v>
      </c>
      <c r="D1054" t="s">
        <v>17</v>
      </c>
      <c r="E1054" t="s">
        <v>15</v>
      </c>
      <c r="F1054" t="s">
        <v>33</v>
      </c>
      <c r="G1054">
        <v>4</v>
      </c>
      <c r="H1054">
        <v>8</v>
      </c>
      <c r="I1054" s="13">
        <v>45505</v>
      </c>
      <c r="J1054" s="13" t="str">
        <f>TEXT(Table1[[#This Row],[Date]],"[$-en-US]mmm yyyy")</f>
        <v>Aug 2024</v>
      </c>
      <c r="K1054" s="13" t="str">
        <f>TEXT(Table1[[#This Row],[Date]],"[$-en-US]ddd")</f>
        <v>Thu</v>
      </c>
    </row>
    <row r="1055" spans="1:11" x14ac:dyDescent="0.25">
      <c r="A1055">
        <v>16</v>
      </c>
      <c r="B1055" t="s">
        <v>9</v>
      </c>
      <c r="C1055">
        <v>23.02</v>
      </c>
      <c r="D1055" t="s">
        <v>16</v>
      </c>
      <c r="E1055" t="s">
        <v>15</v>
      </c>
      <c r="F1055" t="s">
        <v>33</v>
      </c>
      <c r="G1055">
        <v>4</v>
      </c>
      <c r="H1055">
        <v>8</v>
      </c>
      <c r="I1055" s="13">
        <v>45505</v>
      </c>
      <c r="J1055" s="13" t="str">
        <f>TEXT(Table1[[#This Row],[Date]],"[$-en-US]mmm yyyy")</f>
        <v>Aug 2024</v>
      </c>
      <c r="K1055" s="13" t="str">
        <f>TEXT(Table1[[#This Row],[Date]],"[$-en-US]ddd")</f>
        <v>Thu</v>
      </c>
    </row>
    <row r="1056" spans="1:11" x14ac:dyDescent="0.25">
      <c r="A1056">
        <v>17</v>
      </c>
      <c r="B1056" t="s">
        <v>9</v>
      </c>
      <c r="C1056">
        <v>23.02</v>
      </c>
      <c r="D1056" t="s">
        <v>16</v>
      </c>
      <c r="E1056" t="s">
        <v>18</v>
      </c>
      <c r="F1056" t="s">
        <v>33</v>
      </c>
      <c r="G1056">
        <v>4</v>
      </c>
      <c r="H1056">
        <v>8</v>
      </c>
      <c r="I1056" s="13">
        <v>45505</v>
      </c>
      <c r="J1056" s="13" t="str">
        <f>TEXT(Table1[[#This Row],[Date]],"[$-en-US]mmm yyyy")</f>
        <v>Aug 2024</v>
      </c>
      <c r="K1056" s="13" t="str">
        <f>TEXT(Table1[[#This Row],[Date]],"[$-en-US]ddd")</f>
        <v>Thu</v>
      </c>
    </row>
    <row r="1057" spans="1:11" x14ac:dyDescent="0.25">
      <c r="A1057">
        <v>20</v>
      </c>
      <c r="B1057" t="s">
        <v>9</v>
      </c>
      <c r="C1057">
        <v>32.82</v>
      </c>
      <c r="D1057" t="s">
        <v>27</v>
      </c>
      <c r="E1057" t="s">
        <v>18</v>
      </c>
      <c r="F1057" t="s">
        <v>33</v>
      </c>
      <c r="G1057">
        <v>4</v>
      </c>
      <c r="H1057">
        <v>8</v>
      </c>
      <c r="I1057" s="13">
        <v>45505</v>
      </c>
      <c r="J1057" s="13" t="str">
        <f>TEXT(Table1[[#This Row],[Date]],"[$-en-US]mmm yyyy")</f>
        <v>Aug 2024</v>
      </c>
      <c r="K1057" s="13" t="str">
        <f>TEXT(Table1[[#This Row],[Date]],"[$-en-US]ddd")</f>
        <v>Thu</v>
      </c>
    </row>
    <row r="1058" spans="1:11" x14ac:dyDescent="0.25">
      <c r="A1058">
        <v>9</v>
      </c>
      <c r="B1058" t="s">
        <v>9</v>
      </c>
      <c r="C1058">
        <v>27.92</v>
      </c>
      <c r="D1058" t="s">
        <v>17</v>
      </c>
      <c r="E1058" t="s">
        <v>11</v>
      </c>
      <c r="F1058" t="s">
        <v>33</v>
      </c>
      <c r="G1058">
        <v>5</v>
      </c>
      <c r="H1058">
        <v>8</v>
      </c>
      <c r="I1058" s="13">
        <v>45506</v>
      </c>
      <c r="J1058" s="13" t="str">
        <f>TEXT(Table1[[#This Row],[Date]],"[$-en-US]mmm yyyy")</f>
        <v>Aug 2024</v>
      </c>
      <c r="K1058" s="13" t="str">
        <f>TEXT(Table1[[#This Row],[Date]],"[$-en-US]ddd")</f>
        <v>Fri</v>
      </c>
    </row>
    <row r="1059" spans="1:11" x14ac:dyDescent="0.25">
      <c r="A1059">
        <v>9</v>
      </c>
      <c r="B1059" t="s">
        <v>9</v>
      </c>
      <c r="C1059">
        <v>27.92</v>
      </c>
      <c r="D1059" t="s">
        <v>17</v>
      </c>
      <c r="E1059" t="s">
        <v>11</v>
      </c>
      <c r="F1059" t="s">
        <v>33</v>
      </c>
      <c r="G1059">
        <v>5</v>
      </c>
      <c r="H1059">
        <v>8</v>
      </c>
      <c r="I1059" s="13">
        <v>45506</v>
      </c>
      <c r="J1059" s="13" t="str">
        <f>TEXT(Table1[[#This Row],[Date]],"[$-en-US]mmm yyyy")</f>
        <v>Aug 2024</v>
      </c>
      <c r="K1059" s="13" t="str">
        <f>TEXT(Table1[[#This Row],[Date]],"[$-en-US]ddd")</f>
        <v>Fri</v>
      </c>
    </row>
    <row r="1060" spans="1:11" x14ac:dyDescent="0.25">
      <c r="A1060">
        <v>11</v>
      </c>
      <c r="B1060" t="s">
        <v>9</v>
      </c>
      <c r="C1060">
        <v>23.02</v>
      </c>
      <c r="D1060" t="s">
        <v>22</v>
      </c>
      <c r="E1060" t="s">
        <v>11</v>
      </c>
      <c r="F1060" t="s">
        <v>33</v>
      </c>
      <c r="G1060">
        <v>5</v>
      </c>
      <c r="H1060">
        <v>8</v>
      </c>
      <c r="I1060" s="13">
        <v>45506</v>
      </c>
      <c r="J1060" s="13" t="str">
        <f>TEXT(Table1[[#This Row],[Date]],"[$-en-US]mmm yyyy")</f>
        <v>Aug 2024</v>
      </c>
      <c r="K1060" s="13" t="str">
        <f>TEXT(Table1[[#This Row],[Date]],"[$-en-US]ddd")</f>
        <v>Fri</v>
      </c>
    </row>
    <row r="1061" spans="1:11" x14ac:dyDescent="0.25">
      <c r="A1061">
        <v>18</v>
      </c>
      <c r="B1061" t="s">
        <v>9</v>
      </c>
      <c r="C1061">
        <v>27.92</v>
      </c>
      <c r="D1061" t="s">
        <v>17</v>
      </c>
      <c r="E1061" t="s">
        <v>18</v>
      </c>
      <c r="F1061" t="s">
        <v>33</v>
      </c>
      <c r="G1061">
        <v>5</v>
      </c>
      <c r="H1061">
        <v>8</v>
      </c>
      <c r="I1061" s="13">
        <v>45506</v>
      </c>
      <c r="J1061" s="13" t="str">
        <f>TEXT(Table1[[#This Row],[Date]],"[$-en-US]mmm yyyy")</f>
        <v>Aug 2024</v>
      </c>
      <c r="K1061" s="13" t="str">
        <f>TEXT(Table1[[#This Row],[Date]],"[$-en-US]ddd")</f>
        <v>Fri</v>
      </c>
    </row>
    <row r="1062" spans="1:11" x14ac:dyDescent="0.25">
      <c r="A1062">
        <v>21</v>
      </c>
      <c r="B1062" t="s">
        <v>9</v>
      </c>
      <c r="C1062">
        <v>32.82</v>
      </c>
      <c r="D1062" t="s">
        <v>10</v>
      </c>
      <c r="E1062" t="s">
        <v>18</v>
      </c>
      <c r="F1062" t="s">
        <v>33</v>
      </c>
      <c r="G1062">
        <v>5</v>
      </c>
      <c r="H1062">
        <v>8</v>
      </c>
      <c r="I1062" s="13">
        <v>45506</v>
      </c>
      <c r="J1062" s="13" t="str">
        <f>TEXT(Table1[[#This Row],[Date]],"[$-en-US]mmm yyyy")</f>
        <v>Aug 2024</v>
      </c>
      <c r="K1062" s="13" t="str">
        <f>TEXT(Table1[[#This Row],[Date]],"[$-en-US]ddd")</f>
        <v>Fri</v>
      </c>
    </row>
    <row r="1063" spans="1:11" x14ac:dyDescent="0.25">
      <c r="A1063">
        <v>8</v>
      </c>
      <c r="B1063" t="s">
        <v>9</v>
      </c>
      <c r="C1063">
        <v>27.92</v>
      </c>
      <c r="D1063" t="s">
        <v>17</v>
      </c>
      <c r="E1063" t="s">
        <v>11</v>
      </c>
      <c r="F1063" t="s">
        <v>33</v>
      </c>
      <c r="G1063">
        <v>6</v>
      </c>
      <c r="H1063">
        <v>8</v>
      </c>
      <c r="I1063" s="13">
        <v>45507</v>
      </c>
      <c r="J1063" s="13" t="str">
        <f>TEXT(Table1[[#This Row],[Date]],"[$-en-US]mmm yyyy")</f>
        <v>Aug 2024</v>
      </c>
      <c r="K1063" s="13" t="str">
        <f>TEXT(Table1[[#This Row],[Date]],"[$-en-US]ddd")</f>
        <v>Sat</v>
      </c>
    </row>
    <row r="1064" spans="1:11" x14ac:dyDescent="0.25">
      <c r="A1064">
        <v>9</v>
      </c>
      <c r="B1064" t="s">
        <v>9</v>
      </c>
      <c r="C1064">
        <v>27.92</v>
      </c>
      <c r="D1064" t="s">
        <v>17</v>
      </c>
      <c r="E1064" t="s">
        <v>11</v>
      </c>
      <c r="F1064" t="s">
        <v>33</v>
      </c>
      <c r="G1064">
        <v>6</v>
      </c>
      <c r="H1064">
        <v>8</v>
      </c>
      <c r="I1064" s="13">
        <v>45507</v>
      </c>
      <c r="J1064" s="13" t="str">
        <f>TEXT(Table1[[#This Row],[Date]],"[$-en-US]mmm yyyy")</f>
        <v>Aug 2024</v>
      </c>
      <c r="K1064" s="13" t="str">
        <f>TEXT(Table1[[#This Row],[Date]],"[$-en-US]ddd")</f>
        <v>Sat</v>
      </c>
    </row>
    <row r="1065" spans="1:11" x14ac:dyDescent="0.25">
      <c r="A1065">
        <v>9</v>
      </c>
      <c r="B1065" t="s">
        <v>9</v>
      </c>
      <c r="C1065">
        <v>27.92</v>
      </c>
      <c r="D1065" t="s">
        <v>17</v>
      </c>
      <c r="E1065" t="s">
        <v>11</v>
      </c>
      <c r="F1065" t="s">
        <v>33</v>
      </c>
      <c r="G1065">
        <v>6</v>
      </c>
      <c r="H1065">
        <v>8</v>
      </c>
      <c r="I1065" s="13">
        <v>45507</v>
      </c>
      <c r="J1065" s="13" t="str">
        <f>TEXT(Table1[[#This Row],[Date]],"[$-en-US]mmm yyyy")</f>
        <v>Aug 2024</v>
      </c>
      <c r="K1065" s="13" t="str">
        <f>TEXT(Table1[[#This Row],[Date]],"[$-en-US]ddd")</f>
        <v>Sat</v>
      </c>
    </row>
    <row r="1066" spans="1:11" x14ac:dyDescent="0.25">
      <c r="A1066">
        <v>10</v>
      </c>
      <c r="B1066" t="s">
        <v>9</v>
      </c>
      <c r="C1066">
        <v>27.92</v>
      </c>
      <c r="D1066" t="s">
        <v>17</v>
      </c>
      <c r="E1066" t="s">
        <v>11</v>
      </c>
      <c r="F1066" t="s">
        <v>33</v>
      </c>
      <c r="G1066">
        <v>6</v>
      </c>
      <c r="H1066">
        <v>8</v>
      </c>
      <c r="I1066" s="13">
        <v>45507</v>
      </c>
      <c r="J1066" s="13" t="str">
        <f>TEXT(Table1[[#This Row],[Date]],"[$-en-US]mmm yyyy")</f>
        <v>Aug 2024</v>
      </c>
      <c r="K1066" s="13" t="str">
        <f>TEXT(Table1[[#This Row],[Date]],"[$-en-US]ddd")</f>
        <v>Sat</v>
      </c>
    </row>
    <row r="1067" spans="1:11" x14ac:dyDescent="0.25">
      <c r="A1067">
        <v>11</v>
      </c>
      <c r="B1067" t="s">
        <v>9</v>
      </c>
      <c r="C1067">
        <v>23.02</v>
      </c>
      <c r="D1067" t="s">
        <v>22</v>
      </c>
      <c r="E1067" t="s">
        <v>11</v>
      </c>
      <c r="F1067" t="s">
        <v>33</v>
      </c>
      <c r="G1067">
        <v>6</v>
      </c>
      <c r="H1067">
        <v>8</v>
      </c>
      <c r="I1067" s="13">
        <v>45507</v>
      </c>
      <c r="J1067" s="13" t="str">
        <f>TEXT(Table1[[#This Row],[Date]],"[$-en-US]mmm yyyy")</f>
        <v>Aug 2024</v>
      </c>
      <c r="K1067" s="13" t="str">
        <f>TEXT(Table1[[#This Row],[Date]],"[$-en-US]ddd")</f>
        <v>Sat</v>
      </c>
    </row>
    <row r="1068" spans="1:11" x14ac:dyDescent="0.25">
      <c r="A1068">
        <v>11</v>
      </c>
      <c r="B1068" t="s">
        <v>9</v>
      </c>
      <c r="C1068">
        <v>23.02</v>
      </c>
      <c r="D1068" t="s">
        <v>22</v>
      </c>
      <c r="E1068" t="s">
        <v>11</v>
      </c>
      <c r="F1068" t="s">
        <v>33</v>
      </c>
      <c r="G1068">
        <v>6</v>
      </c>
      <c r="H1068">
        <v>8</v>
      </c>
      <c r="I1068" s="13">
        <v>45507</v>
      </c>
      <c r="J1068" s="13" t="str">
        <f>TEXT(Table1[[#This Row],[Date]],"[$-en-US]mmm yyyy")</f>
        <v>Aug 2024</v>
      </c>
      <c r="K1068" s="13" t="str">
        <f>TEXT(Table1[[#This Row],[Date]],"[$-en-US]ddd")</f>
        <v>Sat</v>
      </c>
    </row>
    <row r="1069" spans="1:11" x14ac:dyDescent="0.25">
      <c r="A1069">
        <v>11</v>
      </c>
      <c r="B1069" t="s">
        <v>9</v>
      </c>
      <c r="C1069">
        <v>18.12</v>
      </c>
      <c r="D1069" t="s">
        <v>24</v>
      </c>
      <c r="E1069" t="s">
        <v>11</v>
      </c>
      <c r="F1069" t="s">
        <v>33</v>
      </c>
      <c r="G1069">
        <v>6</v>
      </c>
      <c r="H1069">
        <v>8</v>
      </c>
      <c r="I1069" s="13">
        <v>45507</v>
      </c>
      <c r="J1069" s="13" t="str">
        <f>TEXT(Table1[[#This Row],[Date]],"[$-en-US]mmm yyyy")</f>
        <v>Aug 2024</v>
      </c>
      <c r="K1069" s="13" t="str">
        <f>TEXT(Table1[[#This Row],[Date]],"[$-en-US]ddd")</f>
        <v>Sat</v>
      </c>
    </row>
    <row r="1070" spans="1:11" x14ac:dyDescent="0.25">
      <c r="A1070">
        <v>11</v>
      </c>
      <c r="B1070" t="s">
        <v>9</v>
      </c>
      <c r="C1070">
        <v>27.92</v>
      </c>
      <c r="D1070" t="s">
        <v>17</v>
      </c>
      <c r="E1070" t="s">
        <v>11</v>
      </c>
      <c r="F1070" t="s">
        <v>33</v>
      </c>
      <c r="G1070">
        <v>6</v>
      </c>
      <c r="H1070">
        <v>8</v>
      </c>
      <c r="I1070" s="13">
        <v>45507</v>
      </c>
      <c r="J1070" s="13" t="str">
        <f>TEXT(Table1[[#This Row],[Date]],"[$-en-US]mmm yyyy")</f>
        <v>Aug 2024</v>
      </c>
      <c r="K1070" s="13" t="str">
        <f>TEXT(Table1[[#This Row],[Date]],"[$-en-US]ddd")</f>
        <v>Sat</v>
      </c>
    </row>
    <row r="1071" spans="1:11" x14ac:dyDescent="0.25">
      <c r="A1071">
        <v>12</v>
      </c>
      <c r="B1071" t="s">
        <v>9</v>
      </c>
      <c r="C1071">
        <v>27.92</v>
      </c>
      <c r="D1071" t="s">
        <v>17</v>
      </c>
      <c r="E1071" t="s">
        <v>15</v>
      </c>
      <c r="F1071" t="s">
        <v>33</v>
      </c>
      <c r="G1071">
        <v>6</v>
      </c>
      <c r="H1071">
        <v>8</v>
      </c>
      <c r="I1071" s="13">
        <v>45507</v>
      </c>
      <c r="J1071" s="13" t="str">
        <f>TEXT(Table1[[#This Row],[Date]],"[$-en-US]mmm yyyy")</f>
        <v>Aug 2024</v>
      </c>
      <c r="K1071" s="13" t="str">
        <f>TEXT(Table1[[#This Row],[Date]],"[$-en-US]ddd")</f>
        <v>Sat</v>
      </c>
    </row>
    <row r="1072" spans="1:11" x14ac:dyDescent="0.25">
      <c r="A1072">
        <v>16</v>
      </c>
      <c r="B1072" t="s">
        <v>9</v>
      </c>
      <c r="C1072">
        <v>27.92</v>
      </c>
      <c r="D1072" t="s">
        <v>17</v>
      </c>
      <c r="E1072" t="s">
        <v>15</v>
      </c>
      <c r="F1072" t="s">
        <v>33</v>
      </c>
      <c r="G1072">
        <v>6</v>
      </c>
      <c r="H1072">
        <v>8</v>
      </c>
      <c r="I1072" s="13">
        <v>45507</v>
      </c>
      <c r="J1072" s="13" t="str">
        <f>TEXT(Table1[[#This Row],[Date]],"[$-en-US]mmm yyyy")</f>
        <v>Aug 2024</v>
      </c>
      <c r="K1072" s="13" t="str">
        <f>TEXT(Table1[[#This Row],[Date]],"[$-en-US]ddd")</f>
        <v>Sat</v>
      </c>
    </row>
    <row r="1073" spans="1:11" x14ac:dyDescent="0.25">
      <c r="A1073">
        <v>18</v>
      </c>
      <c r="B1073" t="s">
        <v>9</v>
      </c>
      <c r="C1073">
        <v>32.82</v>
      </c>
      <c r="D1073" t="s">
        <v>27</v>
      </c>
      <c r="E1073" t="s">
        <v>18</v>
      </c>
      <c r="F1073" t="s">
        <v>33</v>
      </c>
      <c r="G1073">
        <v>6</v>
      </c>
      <c r="H1073">
        <v>8</v>
      </c>
      <c r="I1073" s="13">
        <v>45507</v>
      </c>
      <c r="J1073" s="13" t="str">
        <f>TEXT(Table1[[#This Row],[Date]],"[$-en-US]mmm yyyy")</f>
        <v>Aug 2024</v>
      </c>
      <c r="K1073" s="13" t="str">
        <f>TEXT(Table1[[#This Row],[Date]],"[$-en-US]ddd")</f>
        <v>Sat</v>
      </c>
    </row>
    <row r="1074" spans="1:11" x14ac:dyDescent="0.25">
      <c r="A1074">
        <v>21</v>
      </c>
      <c r="B1074" t="s">
        <v>9</v>
      </c>
      <c r="C1074">
        <v>32.82</v>
      </c>
      <c r="D1074" t="s">
        <v>10</v>
      </c>
      <c r="E1074" t="s">
        <v>18</v>
      </c>
      <c r="F1074" t="s">
        <v>33</v>
      </c>
      <c r="G1074">
        <v>6</v>
      </c>
      <c r="H1074">
        <v>8</v>
      </c>
      <c r="I1074" s="13">
        <v>45507</v>
      </c>
      <c r="J1074" s="13" t="str">
        <f>TEXT(Table1[[#This Row],[Date]],"[$-en-US]mmm yyyy")</f>
        <v>Aug 2024</v>
      </c>
      <c r="K1074" s="13" t="str">
        <f>TEXT(Table1[[#This Row],[Date]],"[$-en-US]ddd")</f>
        <v>Sat</v>
      </c>
    </row>
    <row r="1075" spans="1:11" x14ac:dyDescent="0.25">
      <c r="A1075">
        <v>21</v>
      </c>
      <c r="B1075" t="s">
        <v>9</v>
      </c>
      <c r="C1075">
        <v>32.82</v>
      </c>
      <c r="D1075" t="s">
        <v>10</v>
      </c>
      <c r="E1075" t="s">
        <v>18</v>
      </c>
      <c r="F1075" t="s">
        <v>33</v>
      </c>
      <c r="G1075">
        <v>6</v>
      </c>
      <c r="H1075">
        <v>8</v>
      </c>
      <c r="I1075" s="13">
        <v>45507</v>
      </c>
      <c r="J1075" s="13" t="str">
        <f>TEXT(Table1[[#This Row],[Date]],"[$-en-US]mmm yyyy")</f>
        <v>Aug 2024</v>
      </c>
      <c r="K1075" s="13" t="str">
        <f>TEXT(Table1[[#This Row],[Date]],"[$-en-US]ddd")</f>
        <v>Sat</v>
      </c>
    </row>
    <row r="1076" spans="1:11" x14ac:dyDescent="0.25">
      <c r="A1076">
        <v>8</v>
      </c>
      <c r="B1076" t="s">
        <v>9</v>
      </c>
      <c r="C1076">
        <v>32.82</v>
      </c>
      <c r="D1076" t="s">
        <v>27</v>
      </c>
      <c r="E1076" t="s">
        <v>11</v>
      </c>
      <c r="F1076" t="s">
        <v>33</v>
      </c>
      <c r="G1076">
        <v>7</v>
      </c>
      <c r="H1076">
        <v>8</v>
      </c>
      <c r="I1076" s="13">
        <v>45508</v>
      </c>
      <c r="J1076" s="13" t="str">
        <f>TEXT(Table1[[#This Row],[Date]],"[$-en-US]mmm yyyy")</f>
        <v>Aug 2024</v>
      </c>
      <c r="K1076" s="13" t="str">
        <f>TEXT(Table1[[#This Row],[Date]],"[$-en-US]ddd")</f>
        <v>Sun</v>
      </c>
    </row>
    <row r="1077" spans="1:11" x14ac:dyDescent="0.25">
      <c r="A1077">
        <v>10</v>
      </c>
      <c r="B1077" t="s">
        <v>9</v>
      </c>
      <c r="C1077">
        <v>27.92</v>
      </c>
      <c r="D1077" t="s">
        <v>17</v>
      </c>
      <c r="E1077" t="s">
        <v>11</v>
      </c>
      <c r="F1077" t="s">
        <v>33</v>
      </c>
      <c r="G1077">
        <v>7</v>
      </c>
      <c r="H1077">
        <v>8</v>
      </c>
      <c r="I1077" s="13">
        <v>45508</v>
      </c>
      <c r="J1077" s="13" t="str">
        <f>TEXT(Table1[[#This Row],[Date]],"[$-en-US]mmm yyyy")</f>
        <v>Aug 2024</v>
      </c>
      <c r="K1077" s="13" t="str">
        <f>TEXT(Table1[[#This Row],[Date]],"[$-en-US]ddd")</f>
        <v>Sun</v>
      </c>
    </row>
    <row r="1078" spans="1:11" x14ac:dyDescent="0.25">
      <c r="A1078">
        <v>11</v>
      </c>
      <c r="B1078" t="s">
        <v>9</v>
      </c>
      <c r="C1078">
        <v>32.82</v>
      </c>
      <c r="D1078" t="s">
        <v>27</v>
      </c>
      <c r="E1078" t="s">
        <v>11</v>
      </c>
      <c r="F1078" t="s">
        <v>33</v>
      </c>
      <c r="G1078">
        <v>7</v>
      </c>
      <c r="H1078">
        <v>8</v>
      </c>
      <c r="I1078" s="13">
        <v>45508</v>
      </c>
      <c r="J1078" s="13" t="str">
        <f>TEXT(Table1[[#This Row],[Date]],"[$-en-US]mmm yyyy")</f>
        <v>Aug 2024</v>
      </c>
      <c r="K1078" s="13" t="str">
        <f>TEXT(Table1[[#This Row],[Date]],"[$-en-US]ddd")</f>
        <v>Sun</v>
      </c>
    </row>
    <row r="1079" spans="1:11" x14ac:dyDescent="0.25">
      <c r="A1079">
        <v>11</v>
      </c>
      <c r="B1079" t="s">
        <v>9</v>
      </c>
      <c r="C1079">
        <v>27.92</v>
      </c>
      <c r="D1079" t="s">
        <v>17</v>
      </c>
      <c r="E1079" t="s">
        <v>11</v>
      </c>
      <c r="F1079" t="s">
        <v>33</v>
      </c>
      <c r="G1079">
        <v>7</v>
      </c>
      <c r="H1079">
        <v>8</v>
      </c>
      <c r="I1079" s="13">
        <v>45508</v>
      </c>
      <c r="J1079" s="13" t="str">
        <f>TEXT(Table1[[#This Row],[Date]],"[$-en-US]mmm yyyy")</f>
        <v>Aug 2024</v>
      </c>
      <c r="K1079" s="13" t="str">
        <f>TEXT(Table1[[#This Row],[Date]],"[$-en-US]ddd")</f>
        <v>Sun</v>
      </c>
    </row>
    <row r="1080" spans="1:11" x14ac:dyDescent="0.25">
      <c r="A1080">
        <v>15</v>
      </c>
      <c r="B1080" t="s">
        <v>9</v>
      </c>
      <c r="C1080">
        <v>32.82</v>
      </c>
      <c r="D1080" t="s">
        <v>27</v>
      </c>
      <c r="E1080" t="s">
        <v>15</v>
      </c>
      <c r="F1080" t="s">
        <v>33</v>
      </c>
      <c r="G1080">
        <v>7</v>
      </c>
      <c r="H1080">
        <v>8</v>
      </c>
      <c r="I1080" s="13">
        <v>45508</v>
      </c>
      <c r="J1080" s="13" t="str">
        <f>TEXT(Table1[[#This Row],[Date]],"[$-en-US]mmm yyyy")</f>
        <v>Aug 2024</v>
      </c>
      <c r="K1080" s="13" t="str">
        <f>TEXT(Table1[[#This Row],[Date]],"[$-en-US]ddd")</f>
        <v>Sun</v>
      </c>
    </row>
    <row r="1081" spans="1:11" x14ac:dyDescent="0.25">
      <c r="A1081">
        <v>15</v>
      </c>
      <c r="B1081" t="s">
        <v>9</v>
      </c>
      <c r="C1081">
        <v>32.82</v>
      </c>
      <c r="D1081" t="s">
        <v>27</v>
      </c>
      <c r="E1081" t="s">
        <v>15</v>
      </c>
      <c r="F1081" t="s">
        <v>33</v>
      </c>
      <c r="G1081">
        <v>7</v>
      </c>
      <c r="H1081">
        <v>8</v>
      </c>
      <c r="I1081" s="13">
        <v>45508</v>
      </c>
      <c r="J1081" s="13" t="str">
        <f>TEXT(Table1[[#This Row],[Date]],"[$-en-US]mmm yyyy")</f>
        <v>Aug 2024</v>
      </c>
      <c r="K1081" s="13" t="str">
        <f>TEXT(Table1[[#This Row],[Date]],"[$-en-US]ddd")</f>
        <v>Sun</v>
      </c>
    </row>
    <row r="1082" spans="1:11" x14ac:dyDescent="0.25">
      <c r="A1082">
        <v>8</v>
      </c>
      <c r="B1082" t="s">
        <v>9</v>
      </c>
      <c r="C1082">
        <v>23.02</v>
      </c>
      <c r="D1082" t="s">
        <v>22</v>
      </c>
      <c r="E1082" t="s">
        <v>11</v>
      </c>
      <c r="F1082" t="s">
        <v>33</v>
      </c>
      <c r="G1082">
        <v>1</v>
      </c>
      <c r="H1082">
        <v>8</v>
      </c>
      <c r="I1082" s="13">
        <v>45509</v>
      </c>
      <c r="J1082" s="13" t="str">
        <f>TEXT(Table1[[#This Row],[Date]],"[$-en-US]mmm yyyy")</f>
        <v>Aug 2024</v>
      </c>
      <c r="K1082" s="13" t="str">
        <f>TEXT(Table1[[#This Row],[Date]],"[$-en-US]ddd")</f>
        <v>Mon</v>
      </c>
    </row>
    <row r="1083" spans="1:11" x14ac:dyDescent="0.25">
      <c r="A1083">
        <v>9</v>
      </c>
      <c r="B1083" t="s">
        <v>9</v>
      </c>
      <c r="C1083">
        <v>27.92</v>
      </c>
      <c r="D1083" t="s">
        <v>17</v>
      </c>
      <c r="E1083" t="s">
        <v>11</v>
      </c>
      <c r="F1083" t="s">
        <v>33</v>
      </c>
      <c r="G1083">
        <v>1</v>
      </c>
      <c r="H1083">
        <v>8</v>
      </c>
      <c r="I1083" s="13">
        <v>45509</v>
      </c>
      <c r="J1083" s="13" t="str">
        <f>TEXT(Table1[[#This Row],[Date]],"[$-en-US]mmm yyyy")</f>
        <v>Aug 2024</v>
      </c>
      <c r="K1083" s="13" t="str">
        <f>TEXT(Table1[[#This Row],[Date]],"[$-en-US]ddd")</f>
        <v>Mon</v>
      </c>
    </row>
    <row r="1084" spans="1:11" x14ac:dyDescent="0.25">
      <c r="A1084">
        <v>11</v>
      </c>
      <c r="B1084" t="s">
        <v>9</v>
      </c>
      <c r="C1084">
        <v>23.02</v>
      </c>
      <c r="D1084" t="s">
        <v>22</v>
      </c>
      <c r="E1084" t="s">
        <v>11</v>
      </c>
      <c r="F1084" t="s">
        <v>33</v>
      </c>
      <c r="G1084">
        <v>1</v>
      </c>
      <c r="H1084">
        <v>8</v>
      </c>
      <c r="I1084" s="13">
        <v>45509</v>
      </c>
      <c r="J1084" s="13" t="str">
        <f>TEXT(Table1[[#This Row],[Date]],"[$-en-US]mmm yyyy")</f>
        <v>Aug 2024</v>
      </c>
      <c r="K1084" s="13" t="str">
        <f>TEXT(Table1[[#This Row],[Date]],"[$-en-US]ddd")</f>
        <v>Mon</v>
      </c>
    </row>
    <row r="1085" spans="1:11" x14ac:dyDescent="0.25">
      <c r="A1085">
        <v>13</v>
      </c>
      <c r="B1085" t="s">
        <v>9</v>
      </c>
      <c r="C1085">
        <v>32.82</v>
      </c>
      <c r="D1085" t="s">
        <v>27</v>
      </c>
      <c r="E1085" t="s">
        <v>15</v>
      </c>
      <c r="F1085" t="s">
        <v>33</v>
      </c>
      <c r="G1085">
        <v>1</v>
      </c>
      <c r="H1085">
        <v>8</v>
      </c>
      <c r="I1085" s="13">
        <v>45509</v>
      </c>
      <c r="J1085" s="13" t="str">
        <f>TEXT(Table1[[#This Row],[Date]],"[$-en-US]mmm yyyy")</f>
        <v>Aug 2024</v>
      </c>
      <c r="K1085" s="13" t="str">
        <f>TEXT(Table1[[#This Row],[Date]],"[$-en-US]ddd")</f>
        <v>Mon</v>
      </c>
    </row>
    <row r="1086" spans="1:11" x14ac:dyDescent="0.25">
      <c r="A1086">
        <v>16</v>
      </c>
      <c r="B1086" t="s">
        <v>9</v>
      </c>
      <c r="C1086">
        <v>32.82</v>
      </c>
      <c r="D1086" t="s">
        <v>10</v>
      </c>
      <c r="E1086" t="s">
        <v>15</v>
      </c>
      <c r="F1086" t="s">
        <v>33</v>
      </c>
      <c r="G1086">
        <v>1</v>
      </c>
      <c r="H1086">
        <v>8</v>
      </c>
      <c r="I1086" s="13">
        <v>45509</v>
      </c>
      <c r="J1086" s="13" t="str">
        <f>TEXT(Table1[[#This Row],[Date]],"[$-en-US]mmm yyyy")</f>
        <v>Aug 2024</v>
      </c>
      <c r="K1086" s="13" t="str">
        <f>TEXT(Table1[[#This Row],[Date]],"[$-en-US]ddd")</f>
        <v>Mon</v>
      </c>
    </row>
    <row r="1087" spans="1:11" x14ac:dyDescent="0.25">
      <c r="A1087">
        <v>16</v>
      </c>
      <c r="B1087" t="s">
        <v>9</v>
      </c>
      <c r="C1087">
        <v>32.82</v>
      </c>
      <c r="D1087" t="s">
        <v>10</v>
      </c>
      <c r="E1087" t="s">
        <v>15</v>
      </c>
      <c r="F1087" t="s">
        <v>33</v>
      </c>
      <c r="G1087">
        <v>1</v>
      </c>
      <c r="H1087">
        <v>8</v>
      </c>
      <c r="I1087" s="13">
        <v>45509</v>
      </c>
      <c r="J1087" s="13" t="str">
        <f>TEXT(Table1[[#This Row],[Date]],"[$-en-US]mmm yyyy")</f>
        <v>Aug 2024</v>
      </c>
      <c r="K1087" s="13" t="str">
        <f>TEXT(Table1[[#This Row],[Date]],"[$-en-US]ddd")</f>
        <v>Mon</v>
      </c>
    </row>
    <row r="1088" spans="1:11" x14ac:dyDescent="0.25">
      <c r="A1088">
        <v>17</v>
      </c>
      <c r="B1088" t="s">
        <v>9</v>
      </c>
      <c r="C1088">
        <v>32.82</v>
      </c>
      <c r="D1088" t="s">
        <v>10</v>
      </c>
      <c r="E1088" t="s">
        <v>18</v>
      </c>
      <c r="F1088" t="s">
        <v>33</v>
      </c>
      <c r="G1088">
        <v>1</v>
      </c>
      <c r="H1088">
        <v>8</v>
      </c>
      <c r="I1088" s="13">
        <v>45509</v>
      </c>
      <c r="J1088" s="13" t="str">
        <f>TEXT(Table1[[#This Row],[Date]],"[$-en-US]mmm yyyy")</f>
        <v>Aug 2024</v>
      </c>
      <c r="K1088" s="13" t="str">
        <f>TEXT(Table1[[#This Row],[Date]],"[$-en-US]ddd")</f>
        <v>Mon</v>
      </c>
    </row>
    <row r="1089" spans="1:11" x14ac:dyDescent="0.25">
      <c r="A1089">
        <v>17</v>
      </c>
      <c r="B1089" t="s">
        <v>9</v>
      </c>
      <c r="C1089">
        <v>27.92</v>
      </c>
      <c r="D1089" t="s">
        <v>17</v>
      </c>
      <c r="E1089" t="s">
        <v>18</v>
      </c>
      <c r="F1089" t="s">
        <v>33</v>
      </c>
      <c r="G1089">
        <v>1</v>
      </c>
      <c r="H1089">
        <v>8</v>
      </c>
      <c r="I1089" s="13">
        <v>45509</v>
      </c>
      <c r="J1089" s="13" t="str">
        <f>TEXT(Table1[[#This Row],[Date]],"[$-en-US]mmm yyyy")</f>
        <v>Aug 2024</v>
      </c>
      <c r="K1089" s="13" t="str">
        <f>TEXT(Table1[[#This Row],[Date]],"[$-en-US]ddd")</f>
        <v>Mon</v>
      </c>
    </row>
    <row r="1090" spans="1:11" x14ac:dyDescent="0.25">
      <c r="A1090">
        <v>19</v>
      </c>
      <c r="B1090" t="s">
        <v>9</v>
      </c>
      <c r="C1090">
        <v>32.82</v>
      </c>
      <c r="D1090" t="s">
        <v>10</v>
      </c>
      <c r="E1090" t="s">
        <v>18</v>
      </c>
      <c r="F1090" t="s">
        <v>33</v>
      </c>
      <c r="G1090">
        <v>1</v>
      </c>
      <c r="H1090">
        <v>8</v>
      </c>
      <c r="I1090" s="13">
        <v>45509</v>
      </c>
      <c r="J1090" s="13" t="str">
        <f>TEXT(Table1[[#This Row],[Date]],"[$-en-US]mmm yyyy")</f>
        <v>Aug 2024</v>
      </c>
      <c r="K1090" s="13" t="str">
        <f>TEXT(Table1[[#This Row],[Date]],"[$-en-US]ddd")</f>
        <v>Mon</v>
      </c>
    </row>
    <row r="1091" spans="1:11" x14ac:dyDescent="0.25">
      <c r="A1091">
        <v>19</v>
      </c>
      <c r="B1091" t="s">
        <v>9</v>
      </c>
      <c r="C1091">
        <v>32.82</v>
      </c>
      <c r="D1091" t="s">
        <v>10</v>
      </c>
      <c r="E1091" t="s">
        <v>18</v>
      </c>
      <c r="F1091" t="s">
        <v>33</v>
      </c>
      <c r="G1091">
        <v>1</v>
      </c>
      <c r="H1091">
        <v>8</v>
      </c>
      <c r="I1091" s="13">
        <v>45509</v>
      </c>
      <c r="J1091" s="13" t="str">
        <f>TEXT(Table1[[#This Row],[Date]],"[$-en-US]mmm yyyy")</f>
        <v>Aug 2024</v>
      </c>
      <c r="K1091" s="13" t="str">
        <f>TEXT(Table1[[#This Row],[Date]],"[$-en-US]ddd")</f>
        <v>Mon</v>
      </c>
    </row>
    <row r="1092" spans="1:11" x14ac:dyDescent="0.25">
      <c r="A1092">
        <v>20</v>
      </c>
      <c r="B1092" t="s">
        <v>9</v>
      </c>
      <c r="C1092">
        <v>32.82</v>
      </c>
      <c r="D1092" t="s">
        <v>19</v>
      </c>
      <c r="E1092" t="s">
        <v>18</v>
      </c>
      <c r="F1092" t="s">
        <v>33</v>
      </c>
      <c r="G1092">
        <v>1</v>
      </c>
      <c r="H1092">
        <v>8</v>
      </c>
      <c r="I1092" s="13">
        <v>45509</v>
      </c>
      <c r="J1092" s="13" t="str">
        <f>TEXT(Table1[[#This Row],[Date]],"[$-en-US]mmm yyyy")</f>
        <v>Aug 2024</v>
      </c>
      <c r="K1092" s="13" t="str">
        <f>TEXT(Table1[[#This Row],[Date]],"[$-en-US]ddd")</f>
        <v>Mon</v>
      </c>
    </row>
    <row r="1093" spans="1:11" x14ac:dyDescent="0.25">
      <c r="A1093">
        <v>20</v>
      </c>
      <c r="B1093" t="s">
        <v>9</v>
      </c>
      <c r="C1093">
        <v>32.82</v>
      </c>
      <c r="D1093" t="s">
        <v>19</v>
      </c>
      <c r="E1093" t="s">
        <v>18</v>
      </c>
      <c r="F1093" t="s">
        <v>33</v>
      </c>
      <c r="G1093">
        <v>1</v>
      </c>
      <c r="H1093">
        <v>8</v>
      </c>
      <c r="I1093" s="13">
        <v>45509</v>
      </c>
      <c r="J1093" s="13" t="str">
        <f>TEXT(Table1[[#This Row],[Date]],"[$-en-US]mmm yyyy")</f>
        <v>Aug 2024</v>
      </c>
      <c r="K1093" s="13" t="str">
        <f>TEXT(Table1[[#This Row],[Date]],"[$-en-US]ddd")</f>
        <v>Mon</v>
      </c>
    </row>
    <row r="1094" spans="1:11" x14ac:dyDescent="0.25">
      <c r="A1094">
        <v>22</v>
      </c>
      <c r="B1094" t="s">
        <v>9</v>
      </c>
      <c r="C1094">
        <v>27.92</v>
      </c>
      <c r="D1094" t="s">
        <v>17</v>
      </c>
      <c r="E1094" t="s">
        <v>18</v>
      </c>
      <c r="F1094" t="s">
        <v>33</v>
      </c>
      <c r="G1094">
        <v>1</v>
      </c>
      <c r="H1094">
        <v>8</v>
      </c>
      <c r="I1094" s="13">
        <v>45509</v>
      </c>
      <c r="J1094" s="13" t="str">
        <f>TEXT(Table1[[#This Row],[Date]],"[$-en-US]mmm yyyy")</f>
        <v>Aug 2024</v>
      </c>
      <c r="K1094" s="13" t="str">
        <f>TEXT(Table1[[#This Row],[Date]],"[$-en-US]ddd")</f>
        <v>Mon</v>
      </c>
    </row>
    <row r="1095" spans="1:11" x14ac:dyDescent="0.25">
      <c r="A1095">
        <v>10</v>
      </c>
      <c r="B1095" t="s">
        <v>9</v>
      </c>
      <c r="C1095">
        <v>23.02</v>
      </c>
      <c r="D1095" t="s">
        <v>22</v>
      </c>
      <c r="E1095" t="s">
        <v>11</v>
      </c>
      <c r="F1095" t="s">
        <v>33</v>
      </c>
      <c r="G1095">
        <v>2</v>
      </c>
      <c r="H1095">
        <v>8</v>
      </c>
      <c r="I1095" s="13">
        <v>45510</v>
      </c>
      <c r="J1095" s="13" t="str">
        <f>TEXT(Table1[[#This Row],[Date]],"[$-en-US]mmm yyyy")</f>
        <v>Aug 2024</v>
      </c>
      <c r="K1095" s="13" t="str">
        <f>TEXT(Table1[[#This Row],[Date]],"[$-en-US]ddd")</f>
        <v>Tue</v>
      </c>
    </row>
    <row r="1096" spans="1:11" x14ac:dyDescent="0.25">
      <c r="A1096">
        <v>10</v>
      </c>
      <c r="B1096" t="s">
        <v>9</v>
      </c>
      <c r="C1096">
        <v>32.82</v>
      </c>
      <c r="D1096" t="s">
        <v>14</v>
      </c>
      <c r="E1096" t="s">
        <v>11</v>
      </c>
      <c r="F1096" t="s">
        <v>33</v>
      </c>
      <c r="G1096">
        <v>2</v>
      </c>
      <c r="H1096">
        <v>8</v>
      </c>
      <c r="I1096" s="13">
        <v>45510</v>
      </c>
      <c r="J1096" s="13" t="str">
        <f>TEXT(Table1[[#This Row],[Date]],"[$-en-US]mmm yyyy")</f>
        <v>Aug 2024</v>
      </c>
      <c r="K1096" s="13" t="str">
        <f>TEXT(Table1[[#This Row],[Date]],"[$-en-US]ddd")</f>
        <v>Tue</v>
      </c>
    </row>
    <row r="1097" spans="1:11" x14ac:dyDescent="0.25">
      <c r="A1097">
        <v>17</v>
      </c>
      <c r="B1097" t="s">
        <v>9</v>
      </c>
      <c r="C1097">
        <v>32.82</v>
      </c>
      <c r="D1097" t="s">
        <v>27</v>
      </c>
      <c r="E1097" t="s">
        <v>18</v>
      </c>
      <c r="F1097" t="s">
        <v>33</v>
      </c>
      <c r="G1097">
        <v>2</v>
      </c>
      <c r="H1097">
        <v>8</v>
      </c>
      <c r="I1097" s="13">
        <v>45510</v>
      </c>
      <c r="J1097" s="13" t="str">
        <f>TEXT(Table1[[#This Row],[Date]],"[$-en-US]mmm yyyy")</f>
        <v>Aug 2024</v>
      </c>
      <c r="K1097" s="13" t="str">
        <f>TEXT(Table1[[#This Row],[Date]],"[$-en-US]ddd")</f>
        <v>Tue</v>
      </c>
    </row>
    <row r="1098" spans="1:11" x14ac:dyDescent="0.25">
      <c r="A1098">
        <v>17</v>
      </c>
      <c r="B1098" t="s">
        <v>9</v>
      </c>
      <c r="C1098">
        <v>32.82</v>
      </c>
      <c r="D1098" t="s">
        <v>10</v>
      </c>
      <c r="E1098" t="s">
        <v>18</v>
      </c>
      <c r="F1098" t="s">
        <v>33</v>
      </c>
      <c r="G1098">
        <v>2</v>
      </c>
      <c r="H1098">
        <v>8</v>
      </c>
      <c r="I1098" s="13">
        <v>45510</v>
      </c>
      <c r="J1098" s="13" t="str">
        <f>TEXT(Table1[[#This Row],[Date]],"[$-en-US]mmm yyyy")</f>
        <v>Aug 2024</v>
      </c>
      <c r="K1098" s="13" t="str">
        <f>TEXT(Table1[[#This Row],[Date]],"[$-en-US]ddd")</f>
        <v>Tue</v>
      </c>
    </row>
    <row r="1099" spans="1:11" x14ac:dyDescent="0.25">
      <c r="A1099">
        <v>17</v>
      </c>
      <c r="B1099" t="s">
        <v>9</v>
      </c>
      <c r="C1099">
        <v>32.82</v>
      </c>
      <c r="D1099" t="s">
        <v>19</v>
      </c>
      <c r="E1099" t="s">
        <v>18</v>
      </c>
      <c r="F1099" t="s">
        <v>33</v>
      </c>
      <c r="G1099">
        <v>2</v>
      </c>
      <c r="H1099">
        <v>8</v>
      </c>
      <c r="I1099" s="13">
        <v>45510</v>
      </c>
      <c r="J1099" s="13" t="str">
        <f>TEXT(Table1[[#This Row],[Date]],"[$-en-US]mmm yyyy")</f>
        <v>Aug 2024</v>
      </c>
      <c r="K1099" s="13" t="str">
        <f>TEXT(Table1[[#This Row],[Date]],"[$-en-US]ddd")</f>
        <v>Tue</v>
      </c>
    </row>
    <row r="1100" spans="1:11" x14ac:dyDescent="0.25">
      <c r="A1100">
        <v>19</v>
      </c>
      <c r="B1100" t="s">
        <v>9</v>
      </c>
      <c r="C1100">
        <v>32.82</v>
      </c>
      <c r="D1100" t="s">
        <v>10</v>
      </c>
      <c r="E1100" t="s">
        <v>18</v>
      </c>
      <c r="F1100" t="s">
        <v>33</v>
      </c>
      <c r="G1100">
        <v>2</v>
      </c>
      <c r="H1100">
        <v>8</v>
      </c>
      <c r="I1100" s="13">
        <v>45510</v>
      </c>
      <c r="J1100" s="13" t="str">
        <f>TEXT(Table1[[#This Row],[Date]],"[$-en-US]mmm yyyy")</f>
        <v>Aug 2024</v>
      </c>
      <c r="K1100" s="13" t="str">
        <f>TEXT(Table1[[#This Row],[Date]],"[$-en-US]ddd")</f>
        <v>Tue</v>
      </c>
    </row>
    <row r="1101" spans="1:11" x14ac:dyDescent="0.25">
      <c r="A1101">
        <v>19</v>
      </c>
      <c r="B1101" t="s">
        <v>9</v>
      </c>
      <c r="C1101">
        <v>27.92</v>
      </c>
      <c r="D1101" t="s">
        <v>17</v>
      </c>
      <c r="E1101" t="s">
        <v>18</v>
      </c>
      <c r="F1101" t="s">
        <v>33</v>
      </c>
      <c r="G1101">
        <v>2</v>
      </c>
      <c r="H1101">
        <v>8</v>
      </c>
      <c r="I1101" s="13">
        <v>45510</v>
      </c>
      <c r="J1101" s="13" t="str">
        <f>TEXT(Table1[[#This Row],[Date]],"[$-en-US]mmm yyyy")</f>
        <v>Aug 2024</v>
      </c>
      <c r="K1101" s="13" t="str">
        <f>TEXT(Table1[[#This Row],[Date]],"[$-en-US]ddd")</f>
        <v>Tue</v>
      </c>
    </row>
    <row r="1102" spans="1:11" x14ac:dyDescent="0.25">
      <c r="A1102">
        <v>20</v>
      </c>
      <c r="B1102" t="s">
        <v>9</v>
      </c>
      <c r="C1102">
        <v>32.82</v>
      </c>
      <c r="D1102" t="s">
        <v>10</v>
      </c>
      <c r="E1102" t="s">
        <v>18</v>
      </c>
      <c r="F1102" t="s">
        <v>33</v>
      </c>
      <c r="G1102">
        <v>2</v>
      </c>
      <c r="H1102">
        <v>8</v>
      </c>
      <c r="I1102" s="13">
        <v>45510</v>
      </c>
      <c r="J1102" s="13" t="str">
        <f>TEXT(Table1[[#This Row],[Date]],"[$-en-US]mmm yyyy")</f>
        <v>Aug 2024</v>
      </c>
      <c r="K1102" s="13" t="str">
        <f>TEXT(Table1[[#This Row],[Date]],"[$-en-US]ddd")</f>
        <v>Tue</v>
      </c>
    </row>
    <row r="1103" spans="1:11" x14ac:dyDescent="0.25">
      <c r="A1103">
        <v>8</v>
      </c>
      <c r="B1103" t="s">
        <v>9</v>
      </c>
      <c r="C1103">
        <v>27.92</v>
      </c>
      <c r="D1103" t="s">
        <v>17</v>
      </c>
      <c r="E1103" t="s">
        <v>11</v>
      </c>
      <c r="F1103" t="s">
        <v>33</v>
      </c>
      <c r="G1103">
        <v>3</v>
      </c>
      <c r="H1103">
        <v>8</v>
      </c>
      <c r="I1103" s="13">
        <v>45511</v>
      </c>
      <c r="J1103" s="13" t="str">
        <f>TEXT(Table1[[#This Row],[Date]],"[$-en-US]mmm yyyy")</f>
        <v>Aug 2024</v>
      </c>
      <c r="K1103" s="13" t="str">
        <f>TEXT(Table1[[#This Row],[Date]],"[$-en-US]ddd")</f>
        <v>Wed</v>
      </c>
    </row>
    <row r="1104" spans="1:11" x14ac:dyDescent="0.25">
      <c r="A1104">
        <v>12</v>
      </c>
      <c r="B1104" t="s">
        <v>9</v>
      </c>
      <c r="C1104">
        <v>23.02</v>
      </c>
      <c r="D1104" t="s">
        <v>16</v>
      </c>
      <c r="E1104" t="s">
        <v>15</v>
      </c>
      <c r="F1104" t="s">
        <v>33</v>
      </c>
      <c r="G1104">
        <v>3</v>
      </c>
      <c r="H1104">
        <v>8</v>
      </c>
      <c r="I1104" s="13">
        <v>45511</v>
      </c>
      <c r="J1104" s="13" t="str">
        <f>TEXT(Table1[[#This Row],[Date]],"[$-en-US]mmm yyyy")</f>
        <v>Aug 2024</v>
      </c>
      <c r="K1104" s="13" t="str">
        <f>TEXT(Table1[[#This Row],[Date]],"[$-en-US]ddd")</f>
        <v>Wed</v>
      </c>
    </row>
    <row r="1105" spans="1:11" x14ac:dyDescent="0.25">
      <c r="A1105">
        <v>12</v>
      </c>
      <c r="B1105" t="s">
        <v>9</v>
      </c>
      <c r="C1105">
        <v>23.02</v>
      </c>
      <c r="D1105" t="s">
        <v>16</v>
      </c>
      <c r="E1105" t="s">
        <v>15</v>
      </c>
      <c r="F1105" t="s">
        <v>33</v>
      </c>
      <c r="G1105">
        <v>3</v>
      </c>
      <c r="H1105">
        <v>8</v>
      </c>
      <c r="I1105" s="13">
        <v>45511</v>
      </c>
      <c r="J1105" s="13" t="str">
        <f>TEXT(Table1[[#This Row],[Date]],"[$-en-US]mmm yyyy")</f>
        <v>Aug 2024</v>
      </c>
      <c r="K1105" s="13" t="str">
        <f>TEXT(Table1[[#This Row],[Date]],"[$-en-US]ddd")</f>
        <v>Wed</v>
      </c>
    </row>
    <row r="1106" spans="1:11" x14ac:dyDescent="0.25">
      <c r="A1106">
        <v>13</v>
      </c>
      <c r="B1106" t="s">
        <v>9</v>
      </c>
      <c r="C1106">
        <v>18.12</v>
      </c>
      <c r="D1106" t="s">
        <v>24</v>
      </c>
      <c r="E1106" t="s">
        <v>15</v>
      </c>
      <c r="F1106" t="s">
        <v>33</v>
      </c>
      <c r="G1106">
        <v>3</v>
      </c>
      <c r="H1106">
        <v>8</v>
      </c>
      <c r="I1106" s="13">
        <v>45511</v>
      </c>
      <c r="J1106" s="13" t="str">
        <f>TEXT(Table1[[#This Row],[Date]],"[$-en-US]mmm yyyy")</f>
        <v>Aug 2024</v>
      </c>
      <c r="K1106" s="13" t="str">
        <f>TEXT(Table1[[#This Row],[Date]],"[$-en-US]ddd")</f>
        <v>Wed</v>
      </c>
    </row>
    <row r="1107" spans="1:11" x14ac:dyDescent="0.25">
      <c r="A1107">
        <v>16</v>
      </c>
      <c r="B1107" t="s">
        <v>9</v>
      </c>
      <c r="C1107">
        <v>23.02</v>
      </c>
      <c r="D1107" t="s">
        <v>16</v>
      </c>
      <c r="E1107" t="s">
        <v>15</v>
      </c>
      <c r="F1107" t="s">
        <v>33</v>
      </c>
      <c r="G1107">
        <v>3</v>
      </c>
      <c r="H1107">
        <v>8</v>
      </c>
      <c r="I1107" s="13">
        <v>45511</v>
      </c>
      <c r="J1107" s="13" t="str">
        <f>TEXT(Table1[[#This Row],[Date]],"[$-en-US]mmm yyyy")</f>
        <v>Aug 2024</v>
      </c>
      <c r="K1107" s="13" t="str">
        <f>TEXT(Table1[[#This Row],[Date]],"[$-en-US]ddd")</f>
        <v>Wed</v>
      </c>
    </row>
    <row r="1108" spans="1:11" x14ac:dyDescent="0.25">
      <c r="A1108">
        <v>19</v>
      </c>
      <c r="B1108" t="s">
        <v>9</v>
      </c>
      <c r="C1108">
        <v>32.82</v>
      </c>
      <c r="D1108" t="s">
        <v>10</v>
      </c>
      <c r="E1108" t="s">
        <v>18</v>
      </c>
      <c r="F1108" t="s">
        <v>33</v>
      </c>
      <c r="G1108">
        <v>3</v>
      </c>
      <c r="H1108">
        <v>8</v>
      </c>
      <c r="I1108" s="13">
        <v>45511</v>
      </c>
      <c r="J1108" s="13" t="str">
        <f>TEXT(Table1[[#This Row],[Date]],"[$-en-US]mmm yyyy")</f>
        <v>Aug 2024</v>
      </c>
      <c r="K1108" s="13" t="str">
        <f>TEXT(Table1[[#This Row],[Date]],"[$-en-US]ddd")</f>
        <v>Wed</v>
      </c>
    </row>
    <row r="1109" spans="1:11" x14ac:dyDescent="0.25">
      <c r="A1109">
        <v>20</v>
      </c>
      <c r="B1109" t="s">
        <v>9</v>
      </c>
      <c r="C1109">
        <v>32.82</v>
      </c>
      <c r="D1109" t="s">
        <v>19</v>
      </c>
      <c r="E1109" t="s">
        <v>18</v>
      </c>
      <c r="F1109" t="s">
        <v>33</v>
      </c>
      <c r="G1109">
        <v>3</v>
      </c>
      <c r="H1109">
        <v>8</v>
      </c>
      <c r="I1109" s="13">
        <v>45511</v>
      </c>
      <c r="J1109" s="13" t="str">
        <f>TEXT(Table1[[#This Row],[Date]],"[$-en-US]mmm yyyy")</f>
        <v>Aug 2024</v>
      </c>
      <c r="K1109" s="13" t="str">
        <f>TEXT(Table1[[#This Row],[Date]],"[$-en-US]ddd")</f>
        <v>Wed</v>
      </c>
    </row>
    <row r="1110" spans="1:11" x14ac:dyDescent="0.25">
      <c r="A1110">
        <v>21</v>
      </c>
      <c r="B1110" t="s">
        <v>9</v>
      </c>
      <c r="C1110">
        <v>32.82</v>
      </c>
      <c r="D1110" t="s">
        <v>27</v>
      </c>
      <c r="E1110" t="s">
        <v>18</v>
      </c>
      <c r="F1110" t="s">
        <v>33</v>
      </c>
      <c r="G1110">
        <v>3</v>
      </c>
      <c r="H1110">
        <v>8</v>
      </c>
      <c r="I1110" s="13">
        <v>45511</v>
      </c>
      <c r="J1110" s="13" t="str">
        <f>TEXT(Table1[[#This Row],[Date]],"[$-en-US]mmm yyyy")</f>
        <v>Aug 2024</v>
      </c>
      <c r="K1110" s="13" t="str">
        <f>TEXT(Table1[[#This Row],[Date]],"[$-en-US]ddd")</f>
        <v>Wed</v>
      </c>
    </row>
    <row r="1111" spans="1:11" x14ac:dyDescent="0.25">
      <c r="A1111">
        <v>22</v>
      </c>
      <c r="B1111" t="s">
        <v>9</v>
      </c>
      <c r="C1111">
        <v>32.82</v>
      </c>
      <c r="D1111" t="s">
        <v>10</v>
      </c>
      <c r="E1111" t="s">
        <v>18</v>
      </c>
      <c r="F1111" t="s">
        <v>33</v>
      </c>
      <c r="G1111">
        <v>3</v>
      </c>
      <c r="H1111">
        <v>8</v>
      </c>
      <c r="I1111" s="13">
        <v>45511</v>
      </c>
      <c r="J1111" s="13" t="str">
        <f>TEXT(Table1[[#This Row],[Date]],"[$-en-US]mmm yyyy")</f>
        <v>Aug 2024</v>
      </c>
      <c r="K1111" s="13" t="str">
        <f>TEXT(Table1[[#This Row],[Date]],"[$-en-US]ddd")</f>
        <v>Wed</v>
      </c>
    </row>
    <row r="1112" spans="1:11" x14ac:dyDescent="0.25">
      <c r="A1112">
        <v>22</v>
      </c>
      <c r="B1112" t="s">
        <v>9</v>
      </c>
      <c r="C1112">
        <v>32.82</v>
      </c>
      <c r="D1112" t="s">
        <v>10</v>
      </c>
      <c r="E1112" t="s">
        <v>18</v>
      </c>
      <c r="F1112" t="s">
        <v>33</v>
      </c>
      <c r="G1112">
        <v>3</v>
      </c>
      <c r="H1112">
        <v>8</v>
      </c>
      <c r="I1112" s="13">
        <v>45511</v>
      </c>
      <c r="J1112" s="13" t="str">
        <f>TEXT(Table1[[#This Row],[Date]],"[$-en-US]mmm yyyy")</f>
        <v>Aug 2024</v>
      </c>
      <c r="K1112" s="13" t="str">
        <f>TEXT(Table1[[#This Row],[Date]],"[$-en-US]ddd")</f>
        <v>Wed</v>
      </c>
    </row>
    <row r="1113" spans="1:11" x14ac:dyDescent="0.25">
      <c r="A1113">
        <v>8</v>
      </c>
      <c r="B1113" t="s">
        <v>9</v>
      </c>
      <c r="C1113">
        <v>18.12</v>
      </c>
      <c r="D1113" t="s">
        <v>24</v>
      </c>
      <c r="E1113" t="s">
        <v>11</v>
      </c>
      <c r="F1113" t="s">
        <v>33</v>
      </c>
      <c r="G1113">
        <v>4</v>
      </c>
      <c r="H1113">
        <v>8</v>
      </c>
      <c r="I1113" s="13">
        <v>45512</v>
      </c>
      <c r="J1113" s="13" t="str">
        <f>TEXT(Table1[[#This Row],[Date]],"[$-en-US]mmm yyyy")</f>
        <v>Aug 2024</v>
      </c>
      <c r="K1113" s="13" t="str">
        <f>TEXT(Table1[[#This Row],[Date]],"[$-en-US]ddd")</f>
        <v>Thu</v>
      </c>
    </row>
    <row r="1114" spans="1:11" x14ac:dyDescent="0.25">
      <c r="A1114">
        <v>8</v>
      </c>
      <c r="B1114" t="s">
        <v>9</v>
      </c>
      <c r="C1114">
        <v>23.02</v>
      </c>
      <c r="D1114" t="s">
        <v>22</v>
      </c>
      <c r="E1114" t="s">
        <v>11</v>
      </c>
      <c r="F1114" t="s">
        <v>33</v>
      </c>
      <c r="G1114">
        <v>4</v>
      </c>
      <c r="H1114">
        <v>8</v>
      </c>
      <c r="I1114" s="13">
        <v>45512</v>
      </c>
      <c r="J1114" s="13" t="str">
        <f>TEXT(Table1[[#This Row],[Date]],"[$-en-US]mmm yyyy")</f>
        <v>Aug 2024</v>
      </c>
      <c r="K1114" s="13" t="str">
        <f>TEXT(Table1[[#This Row],[Date]],"[$-en-US]ddd")</f>
        <v>Thu</v>
      </c>
    </row>
    <row r="1115" spans="1:11" x14ac:dyDescent="0.25">
      <c r="A1115">
        <v>12</v>
      </c>
      <c r="B1115" t="s">
        <v>9</v>
      </c>
      <c r="C1115">
        <v>27.92</v>
      </c>
      <c r="D1115" t="s">
        <v>17</v>
      </c>
      <c r="E1115" t="s">
        <v>15</v>
      </c>
      <c r="F1115" t="s">
        <v>33</v>
      </c>
      <c r="G1115">
        <v>4</v>
      </c>
      <c r="H1115">
        <v>8</v>
      </c>
      <c r="I1115" s="13">
        <v>45512</v>
      </c>
      <c r="J1115" s="13" t="str">
        <f>TEXT(Table1[[#This Row],[Date]],"[$-en-US]mmm yyyy")</f>
        <v>Aug 2024</v>
      </c>
      <c r="K1115" s="13" t="str">
        <f>TEXT(Table1[[#This Row],[Date]],"[$-en-US]ddd")</f>
        <v>Thu</v>
      </c>
    </row>
    <row r="1116" spans="1:11" x14ac:dyDescent="0.25">
      <c r="A1116">
        <v>12</v>
      </c>
      <c r="B1116" t="s">
        <v>9</v>
      </c>
      <c r="C1116">
        <v>23.02</v>
      </c>
      <c r="D1116" t="s">
        <v>22</v>
      </c>
      <c r="E1116" t="s">
        <v>15</v>
      </c>
      <c r="F1116" t="s">
        <v>33</v>
      </c>
      <c r="G1116">
        <v>4</v>
      </c>
      <c r="H1116">
        <v>8</v>
      </c>
      <c r="I1116" s="13">
        <v>45512</v>
      </c>
      <c r="J1116" s="13" t="str">
        <f>TEXT(Table1[[#This Row],[Date]],"[$-en-US]mmm yyyy")</f>
        <v>Aug 2024</v>
      </c>
      <c r="K1116" s="13" t="str">
        <f>TEXT(Table1[[#This Row],[Date]],"[$-en-US]ddd")</f>
        <v>Thu</v>
      </c>
    </row>
    <row r="1117" spans="1:11" x14ac:dyDescent="0.25">
      <c r="A1117">
        <v>12</v>
      </c>
      <c r="B1117" t="s">
        <v>9</v>
      </c>
      <c r="C1117">
        <v>23.02</v>
      </c>
      <c r="D1117" t="s">
        <v>22</v>
      </c>
      <c r="E1117" t="s">
        <v>15</v>
      </c>
      <c r="F1117" t="s">
        <v>33</v>
      </c>
      <c r="G1117">
        <v>4</v>
      </c>
      <c r="H1117">
        <v>8</v>
      </c>
      <c r="I1117" s="13">
        <v>45512</v>
      </c>
      <c r="J1117" s="13" t="str">
        <f>TEXT(Table1[[#This Row],[Date]],"[$-en-US]mmm yyyy")</f>
        <v>Aug 2024</v>
      </c>
      <c r="K1117" s="13" t="str">
        <f>TEXT(Table1[[#This Row],[Date]],"[$-en-US]ddd")</f>
        <v>Thu</v>
      </c>
    </row>
    <row r="1118" spans="1:11" x14ac:dyDescent="0.25">
      <c r="A1118">
        <v>16</v>
      </c>
      <c r="B1118" t="s">
        <v>9</v>
      </c>
      <c r="C1118">
        <v>32.82</v>
      </c>
      <c r="D1118" t="s">
        <v>27</v>
      </c>
      <c r="E1118" t="s">
        <v>15</v>
      </c>
      <c r="F1118" t="s">
        <v>33</v>
      </c>
      <c r="G1118">
        <v>4</v>
      </c>
      <c r="H1118">
        <v>8</v>
      </c>
      <c r="I1118" s="13">
        <v>45512</v>
      </c>
      <c r="J1118" s="13" t="str">
        <f>TEXT(Table1[[#This Row],[Date]],"[$-en-US]mmm yyyy")</f>
        <v>Aug 2024</v>
      </c>
      <c r="K1118" s="13" t="str">
        <f>TEXT(Table1[[#This Row],[Date]],"[$-en-US]ddd")</f>
        <v>Thu</v>
      </c>
    </row>
    <row r="1119" spans="1:11" x14ac:dyDescent="0.25">
      <c r="A1119">
        <v>17</v>
      </c>
      <c r="B1119" t="s">
        <v>9</v>
      </c>
      <c r="C1119">
        <v>32.82</v>
      </c>
      <c r="D1119" t="s">
        <v>27</v>
      </c>
      <c r="E1119" t="s">
        <v>18</v>
      </c>
      <c r="F1119" t="s">
        <v>33</v>
      </c>
      <c r="G1119">
        <v>4</v>
      </c>
      <c r="H1119">
        <v>8</v>
      </c>
      <c r="I1119" s="13">
        <v>45512</v>
      </c>
      <c r="J1119" s="13" t="str">
        <f>TEXT(Table1[[#This Row],[Date]],"[$-en-US]mmm yyyy")</f>
        <v>Aug 2024</v>
      </c>
      <c r="K1119" s="13" t="str">
        <f>TEXT(Table1[[#This Row],[Date]],"[$-en-US]ddd")</f>
        <v>Thu</v>
      </c>
    </row>
    <row r="1120" spans="1:11" x14ac:dyDescent="0.25">
      <c r="A1120">
        <v>21</v>
      </c>
      <c r="B1120" t="s">
        <v>9</v>
      </c>
      <c r="C1120">
        <v>27.92</v>
      </c>
      <c r="D1120" t="s">
        <v>17</v>
      </c>
      <c r="E1120" t="s">
        <v>18</v>
      </c>
      <c r="F1120" t="s">
        <v>33</v>
      </c>
      <c r="G1120">
        <v>4</v>
      </c>
      <c r="H1120">
        <v>8</v>
      </c>
      <c r="I1120" s="13">
        <v>45512</v>
      </c>
      <c r="J1120" s="13" t="str">
        <f>TEXT(Table1[[#This Row],[Date]],"[$-en-US]mmm yyyy")</f>
        <v>Aug 2024</v>
      </c>
      <c r="K1120" s="13" t="str">
        <f>TEXT(Table1[[#This Row],[Date]],"[$-en-US]ddd")</f>
        <v>Thu</v>
      </c>
    </row>
    <row r="1121" spans="1:11" x14ac:dyDescent="0.25">
      <c r="A1121">
        <v>7</v>
      </c>
      <c r="B1121" t="s">
        <v>9</v>
      </c>
      <c r="C1121">
        <v>32.82</v>
      </c>
      <c r="D1121" t="s">
        <v>10</v>
      </c>
      <c r="E1121" t="s">
        <v>11</v>
      </c>
      <c r="F1121" t="s">
        <v>33</v>
      </c>
      <c r="G1121">
        <v>5</v>
      </c>
      <c r="H1121">
        <v>8</v>
      </c>
      <c r="I1121" s="13">
        <v>45513</v>
      </c>
      <c r="J1121" s="13" t="str">
        <f>TEXT(Table1[[#This Row],[Date]],"[$-en-US]mmm yyyy")</f>
        <v>Aug 2024</v>
      </c>
      <c r="K1121" s="13" t="str">
        <f>TEXT(Table1[[#This Row],[Date]],"[$-en-US]ddd")</f>
        <v>Fri</v>
      </c>
    </row>
    <row r="1122" spans="1:11" x14ac:dyDescent="0.25">
      <c r="A1122">
        <v>9</v>
      </c>
      <c r="B1122" t="s">
        <v>9</v>
      </c>
      <c r="C1122">
        <v>23.02</v>
      </c>
      <c r="D1122" t="s">
        <v>16</v>
      </c>
      <c r="E1122" t="s">
        <v>11</v>
      </c>
      <c r="F1122" t="s">
        <v>33</v>
      </c>
      <c r="G1122">
        <v>5</v>
      </c>
      <c r="H1122">
        <v>8</v>
      </c>
      <c r="I1122" s="13">
        <v>45513</v>
      </c>
      <c r="J1122" s="13" t="str">
        <f>TEXT(Table1[[#This Row],[Date]],"[$-en-US]mmm yyyy")</f>
        <v>Aug 2024</v>
      </c>
      <c r="K1122" s="13" t="str">
        <f>TEXT(Table1[[#This Row],[Date]],"[$-en-US]ddd")</f>
        <v>Fri</v>
      </c>
    </row>
    <row r="1123" spans="1:11" x14ac:dyDescent="0.25">
      <c r="A1123">
        <v>10</v>
      </c>
      <c r="B1123" t="s">
        <v>9</v>
      </c>
      <c r="C1123">
        <v>23.02</v>
      </c>
      <c r="D1123" t="s">
        <v>22</v>
      </c>
      <c r="E1123" t="s">
        <v>11</v>
      </c>
      <c r="F1123" t="s">
        <v>33</v>
      </c>
      <c r="G1123">
        <v>5</v>
      </c>
      <c r="H1123">
        <v>8</v>
      </c>
      <c r="I1123" s="13">
        <v>45513</v>
      </c>
      <c r="J1123" s="13" t="str">
        <f>TEXT(Table1[[#This Row],[Date]],"[$-en-US]mmm yyyy")</f>
        <v>Aug 2024</v>
      </c>
      <c r="K1123" s="13" t="str">
        <f>TEXT(Table1[[#This Row],[Date]],"[$-en-US]ddd")</f>
        <v>Fri</v>
      </c>
    </row>
    <row r="1124" spans="1:11" x14ac:dyDescent="0.25">
      <c r="A1124">
        <v>10</v>
      </c>
      <c r="B1124" t="s">
        <v>9</v>
      </c>
      <c r="C1124">
        <v>27.92</v>
      </c>
      <c r="D1124" t="s">
        <v>17</v>
      </c>
      <c r="E1124" t="s">
        <v>11</v>
      </c>
      <c r="F1124" t="s">
        <v>33</v>
      </c>
      <c r="G1124">
        <v>5</v>
      </c>
      <c r="H1124">
        <v>8</v>
      </c>
      <c r="I1124" s="13">
        <v>45513</v>
      </c>
      <c r="J1124" s="13" t="str">
        <f>TEXT(Table1[[#This Row],[Date]],"[$-en-US]mmm yyyy")</f>
        <v>Aug 2024</v>
      </c>
      <c r="K1124" s="13" t="str">
        <f>TEXT(Table1[[#This Row],[Date]],"[$-en-US]ddd")</f>
        <v>Fri</v>
      </c>
    </row>
    <row r="1125" spans="1:11" x14ac:dyDescent="0.25">
      <c r="A1125">
        <v>11</v>
      </c>
      <c r="B1125" t="s">
        <v>9</v>
      </c>
      <c r="C1125">
        <v>32.82</v>
      </c>
      <c r="D1125" t="s">
        <v>10</v>
      </c>
      <c r="E1125" t="s">
        <v>11</v>
      </c>
      <c r="F1125" t="s">
        <v>33</v>
      </c>
      <c r="G1125">
        <v>5</v>
      </c>
      <c r="H1125">
        <v>8</v>
      </c>
      <c r="I1125" s="13">
        <v>45513</v>
      </c>
      <c r="J1125" s="13" t="str">
        <f>TEXT(Table1[[#This Row],[Date]],"[$-en-US]mmm yyyy")</f>
        <v>Aug 2024</v>
      </c>
      <c r="K1125" s="13" t="str">
        <f>TEXT(Table1[[#This Row],[Date]],"[$-en-US]ddd")</f>
        <v>Fri</v>
      </c>
    </row>
    <row r="1126" spans="1:11" x14ac:dyDescent="0.25">
      <c r="A1126">
        <v>11</v>
      </c>
      <c r="B1126" t="s">
        <v>9</v>
      </c>
      <c r="C1126">
        <v>23.02</v>
      </c>
      <c r="D1126" t="s">
        <v>16</v>
      </c>
      <c r="E1126" t="s">
        <v>11</v>
      </c>
      <c r="F1126" t="s">
        <v>33</v>
      </c>
      <c r="G1126">
        <v>5</v>
      </c>
      <c r="H1126">
        <v>8</v>
      </c>
      <c r="I1126" s="13">
        <v>45513</v>
      </c>
      <c r="J1126" s="13" t="str">
        <f>TEXT(Table1[[#This Row],[Date]],"[$-en-US]mmm yyyy")</f>
        <v>Aug 2024</v>
      </c>
      <c r="K1126" s="13" t="str">
        <f>TEXT(Table1[[#This Row],[Date]],"[$-en-US]ddd")</f>
        <v>Fri</v>
      </c>
    </row>
    <row r="1127" spans="1:11" x14ac:dyDescent="0.25">
      <c r="A1127">
        <v>18</v>
      </c>
      <c r="B1127" t="s">
        <v>9</v>
      </c>
      <c r="C1127">
        <v>23.02</v>
      </c>
      <c r="D1127" t="s">
        <v>16</v>
      </c>
      <c r="E1127" t="s">
        <v>18</v>
      </c>
      <c r="F1127" t="s">
        <v>33</v>
      </c>
      <c r="G1127">
        <v>5</v>
      </c>
      <c r="H1127">
        <v>8</v>
      </c>
      <c r="I1127" s="13">
        <v>45513</v>
      </c>
      <c r="J1127" s="13" t="str">
        <f>TEXT(Table1[[#This Row],[Date]],"[$-en-US]mmm yyyy")</f>
        <v>Aug 2024</v>
      </c>
      <c r="K1127" s="13" t="str">
        <f>TEXT(Table1[[#This Row],[Date]],"[$-en-US]ddd")</f>
        <v>Fri</v>
      </c>
    </row>
    <row r="1128" spans="1:11" x14ac:dyDescent="0.25">
      <c r="A1128">
        <v>19</v>
      </c>
      <c r="B1128" t="s">
        <v>9</v>
      </c>
      <c r="C1128">
        <v>32.82</v>
      </c>
      <c r="D1128" t="s">
        <v>14</v>
      </c>
      <c r="E1128" t="s">
        <v>18</v>
      </c>
      <c r="F1128" t="s">
        <v>33</v>
      </c>
      <c r="G1128">
        <v>5</v>
      </c>
      <c r="H1128">
        <v>8</v>
      </c>
      <c r="I1128" s="13">
        <v>45513</v>
      </c>
      <c r="J1128" s="13" t="str">
        <f>TEXT(Table1[[#This Row],[Date]],"[$-en-US]mmm yyyy")</f>
        <v>Aug 2024</v>
      </c>
      <c r="K1128" s="13" t="str">
        <f>TEXT(Table1[[#This Row],[Date]],"[$-en-US]ddd")</f>
        <v>Fri</v>
      </c>
    </row>
    <row r="1129" spans="1:11" x14ac:dyDescent="0.25">
      <c r="A1129">
        <v>8</v>
      </c>
      <c r="B1129" t="s">
        <v>9</v>
      </c>
      <c r="C1129">
        <v>32.82</v>
      </c>
      <c r="D1129" t="s">
        <v>27</v>
      </c>
      <c r="E1129" t="s">
        <v>11</v>
      </c>
      <c r="F1129" t="s">
        <v>33</v>
      </c>
      <c r="G1129">
        <v>6</v>
      </c>
      <c r="H1129">
        <v>8</v>
      </c>
      <c r="I1129" s="13">
        <v>45514</v>
      </c>
      <c r="J1129" s="13" t="str">
        <f>TEXT(Table1[[#This Row],[Date]],"[$-en-US]mmm yyyy")</f>
        <v>Aug 2024</v>
      </c>
      <c r="K1129" s="13" t="str">
        <f>TEXT(Table1[[#This Row],[Date]],"[$-en-US]ddd")</f>
        <v>Sat</v>
      </c>
    </row>
    <row r="1130" spans="1:11" x14ac:dyDescent="0.25">
      <c r="A1130">
        <v>8</v>
      </c>
      <c r="B1130" t="s">
        <v>9</v>
      </c>
      <c r="C1130">
        <v>27.92</v>
      </c>
      <c r="D1130" t="s">
        <v>17</v>
      </c>
      <c r="E1130" t="s">
        <v>11</v>
      </c>
      <c r="F1130" t="s">
        <v>33</v>
      </c>
      <c r="G1130">
        <v>6</v>
      </c>
      <c r="H1130">
        <v>8</v>
      </c>
      <c r="I1130" s="13">
        <v>45514</v>
      </c>
      <c r="J1130" s="13" t="str">
        <f>TEXT(Table1[[#This Row],[Date]],"[$-en-US]mmm yyyy")</f>
        <v>Aug 2024</v>
      </c>
      <c r="K1130" s="13" t="str">
        <f>TEXT(Table1[[#This Row],[Date]],"[$-en-US]ddd")</f>
        <v>Sat</v>
      </c>
    </row>
    <row r="1131" spans="1:11" x14ac:dyDescent="0.25">
      <c r="A1131">
        <v>8</v>
      </c>
      <c r="B1131" t="s">
        <v>9</v>
      </c>
      <c r="C1131">
        <v>23.02</v>
      </c>
      <c r="D1131" t="s">
        <v>22</v>
      </c>
      <c r="E1131" t="s">
        <v>11</v>
      </c>
      <c r="F1131" t="s">
        <v>33</v>
      </c>
      <c r="G1131">
        <v>6</v>
      </c>
      <c r="H1131">
        <v>8</v>
      </c>
      <c r="I1131" s="13">
        <v>45514</v>
      </c>
      <c r="J1131" s="13" t="str">
        <f>TEXT(Table1[[#This Row],[Date]],"[$-en-US]mmm yyyy")</f>
        <v>Aug 2024</v>
      </c>
      <c r="K1131" s="13" t="str">
        <f>TEXT(Table1[[#This Row],[Date]],"[$-en-US]ddd")</f>
        <v>Sat</v>
      </c>
    </row>
    <row r="1132" spans="1:11" x14ac:dyDescent="0.25">
      <c r="A1132">
        <v>11</v>
      </c>
      <c r="B1132" t="s">
        <v>9</v>
      </c>
      <c r="C1132">
        <v>23.02</v>
      </c>
      <c r="D1132" t="s">
        <v>22</v>
      </c>
      <c r="E1132" t="s">
        <v>11</v>
      </c>
      <c r="F1132" t="s">
        <v>33</v>
      </c>
      <c r="G1132">
        <v>6</v>
      </c>
      <c r="H1132">
        <v>8</v>
      </c>
      <c r="I1132" s="13">
        <v>45514</v>
      </c>
      <c r="J1132" s="13" t="str">
        <f>TEXT(Table1[[#This Row],[Date]],"[$-en-US]mmm yyyy")</f>
        <v>Aug 2024</v>
      </c>
      <c r="K1132" s="13" t="str">
        <f>TEXT(Table1[[#This Row],[Date]],"[$-en-US]ddd")</f>
        <v>Sat</v>
      </c>
    </row>
    <row r="1133" spans="1:11" x14ac:dyDescent="0.25">
      <c r="A1133">
        <v>11</v>
      </c>
      <c r="B1133" t="s">
        <v>9</v>
      </c>
      <c r="C1133">
        <v>23.02</v>
      </c>
      <c r="D1133" t="s">
        <v>16</v>
      </c>
      <c r="E1133" t="s">
        <v>11</v>
      </c>
      <c r="F1133" t="s">
        <v>33</v>
      </c>
      <c r="G1133">
        <v>6</v>
      </c>
      <c r="H1133">
        <v>8</v>
      </c>
      <c r="I1133" s="13">
        <v>45514</v>
      </c>
      <c r="J1133" s="13" t="str">
        <f>TEXT(Table1[[#This Row],[Date]],"[$-en-US]mmm yyyy")</f>
        <v>Aug 2024</v>
      </c>
      <c r="K1133" s="13" t="str">
        <f>TEXT(Table1[[#This Row],[Date]],"[$-en-US]ddd")</f>
        <v>Sat</v>
      </c>
    </row>
    <row r="1134" spans="1:11" x14ac:dyDescent="0.25">
      <c r="A1134">
        <v>12</v>
      </c>
      <c r="B1134" t="s">
        <v>9</v>
      </c>
      <c r="C1134">
        <v>32.82</v>
      </c>
      <c r="D1134" t="s">
        <v>10</v>
      </c>
      <c r="E1134" t="s">
        <v>15</v>
      </c>
      <c r="F1134" t="s">
        <v>33</v>
      </c>
      <c r="G1134">
        <v>6</v>
      </c>
      <c r="H1134">
        <v>8</v>
      </c>
      <c r="I1134" s="13">
        <v>45514</v>
      </c>
      <c r="J1134" s="13" t="str">
        <f>TEXT(Table1[[#This Row],[Date]],"[$-en-US]mmm yyyy")</f>
        <v>Aug 2024</v>
      </c>
      <c r="K1134" s="13" t="str">
        <f>TEXT(Table1[[#This Row],[Date]],"[$-en-US]ddd")</f>
        <v>Sat</v>
      </c>
    </row>
    <row r="1135" spans="1:11" x14ac:dyDescent="0.25">
      <c r="A1135">
        <v>12</v>
      </c>
      <c r="B1135" t="s">
        <v>9</v>
      </c>
      <c r="C1135">
        <v>27.92</v>
      </c>
      <c r="D1135" t="s">
        <v>17</v>
      </c>
      <c r="E1135" t="s">
        <v>15</v>
      </c>
      <c r="F1135" t="s">
        <v>33</v>
      </c>
      <c r="G1135">
        <v>6</v>
      </c>
      <c r="H1135">
        <v>8</v>
      </c>
      <c r="I1135" s="13">
        <v>45514</v>
      </c>
      <c r="J1135" s="13" t="str">
        <f>TEXT(Table1[[#This Row],[Date]],"[$-en-US]mmm yyyy")</f>
        <v>Aug 2024</v>
      </c>
      <c r="K1135" s="13" t="str">
        <f>TEXT(Table1[[#This Row],[Date]],"[$-en-US]ddd")</f>
        <v>Sat</v>
      </c>
    </row>
    <row r="1136" spans="1:11" x14ac:dyDescent="0.25">
      <c r="A1136">
        <v>16</v>
      </c>
      <c r="B1136" t="s">
        <v>9</v>
      </c>
      <c r="C1136">
        <v>32.82</v>
      </c>
      <c r="D1136" t="s">
        <v>10</v>
      </c>
      <c r="E1136" t="s">
        <v>15</v>
      </c>
      <c r="F1136" t="s">
        <v>33</v>
      </c>
      <c r="G1136">
        <v>6</v>
      </c>
      <c r="H1136">
        <v>8</v>
      </c>
      <c r="I1136" s="13">
        <v>45514</v>
      </c>
      <c r="J1136" s="13" t="str">
        <f>TEXT(Table1[[#This Row],[Date]],"[$-en-US]mmm yyyy")</f>
        <v>Aug 2024</v>
      </c>
      <c r="K1136" s="13" t="str">
        <f>TEXT(Table1[[#This Row],[Date]],"[$-en-US]ddd")</f>
        <v>Sat</v>
      </c>
    </row>
    <row r="1137" spans="1:11" x14ac:dyDescent="0.25">
      <c r="A1137">
        <v>21</v>
      </c>
      <c r="B1137" t="s">
        <v>9</v>
      </c>
      <c r="C1137">
        <v>32.82</v>
      </c>
      <c r="D1137" t="s">
        <v>19</v>
      </c>
      <c r="E1137" t="s">
        <v>18</v>
      </c>
      <c r="F1137" t="s">
        <v>33</v>
      </c>
      <c r="G1137">
        <v>6</v>
      </c>
      <c r="H1137">
        <v>8</v>
      </c>
      <c r="I1137" s="13">
        <v>45514</v>
      </c>
      <c r="J1137" s="13" t="str">
        <f>TEXT(Table1[[#This Row],[Date]],"[$-en-US]mmm yyyy")</f>
        <v>Aug 2024</v>
      </c>
      <c r="K1137" s="13" t="str">
        <f>TEXT(Table1[[#This Row],[Date]],"[$-en-US]ddd")</f>
        <v>Sat</v>
      </c>
    </row>
    <row r="1138" spans="1:11" x14ac:dyDescent="0.25">
      <c r="A1138">
        <v>21</v>
      </c>
      <c r="B1138" t="s">
        <v>9</v>
      </c>
      <c r="C1138">
        <v>32.82</v>
      </c>
      <c r="D1138" t="s">
        <v>19</v>
      </c>
      <c r="E1138" t="s">
        <v>18</v>
      </c>
      <c r="F1138" t="s">
        <v>33</v>
      </c>
      <c r="G1138">
        <v>6</v>
      </c>
      <c r="H1138">
        <v>8</v>
      </c>
      <c r="I1138" s="13">
        <v>45514</v>
      </c>
      <c r="J1138" s="13" t="str">
        <f>TEXT(Table1[[#This Row],[Date]],"[$-en-US]mmm yyyy")</f>
        <v>Aug 2024</v>
      </c>
      <c r="K1138" s="13" t="str">
        <f>TEXT(Table1[[#This Row],[Date]],"[$-en-US]ddd")</f>
        <v>Sat</v>
      </c>
    </row>
    <row r="1139" spans="1:11" x14ac:dyDescent="0.25">
      <c r="A1139">
        <v>21</v>
      </c>
      <c r="B1139" t="s">
        <v>9</v>
      </c>
      <c r="C1139">
        <v>32.82</v>
      </c>
      <c r="D1139" t="s">
        <v>19</v>
      </c>
      <c r="E1139" t="s">
        <v>18</v>
      </c>
      <c r="F1139" t="s">
        <v>33</v>
      </c>
      <c r="G1139">
        <v>6</v>
      </c>
      <c r="H1139">
        <v>8</v>
      </c>
      <c r="I1139" s="13">
        <v>45514</v>
      </c>
      <c r="J1139" s="13" t="str">
        <f>TEXT(Table1[[#This Row],[Date]],"[$-en-US]mmm yyyy")</f>
        <v>Aug 2024</v>
      </c>
      <c r="K1139" s="13" t="str">
        <f>TEXT(Table1[[#This Row],[Date]],"[$-en-US]ddd")</f>
        <v>Sat</v>
      </c>
    </row>
    <row r="1140" spans="1:11" x14ac:dyDescent="0.25">
      <c r="A1140">
        <v>9</v>
      </c>
      <c r="B1140" t="s">
        <v>9</v>
      </c>
      <c r="C1140">
        <v>32.82</v>
      </c>
      <c r="D1140" t="s">
        <v>10</v>
      </c>
      <c r="E1140" t="s">
        <v>11</v>
      </c>
      <c r="F1140" t="s">
        <v>33</v>
      </c>
      <c r="G1140">
        <v>7</v>
      </c>
      <c r="H1140">
        <v>8</v>
      </c>
      <c r="I1140" s="13">
        <v>45515</v>
      </c>
      <c r="J1140" s="13" t="str">
        <f>TEXT(Table1[[#This Row],[Date]],"[$-en-US]mmm yyyy")</f>
        <v>Aug 2024</v>
      </c>
      <c r="K1140" s="13" t="str">
        <f>TEXT(Table1[[#This Row],[Date]],"[$-en-US]ddd")</f>
        <v>Sun</v>
      </c>
    </row>
    <row r="1141" spans="1:11" x14ac:dyDescent="0.25">
      <c r="A1141">
        <v>9</v>
      </c>
      <c r="B1141" t="s">
        <v>9</v>
      </c>
      <c r="C1141">
        <v>32.82</v>
      </c>
      <c r="D1141" t="s">
        <v>10</v>
      </c>
      <c r="E1141" t="s">
        <v>11</v>
      </c>
      <c r="F1141" t="s">
        <v>33</v>
      </c>
      <c r="G1141">
        <v>7</v>
      </c>
      <c r="H1141">
        <v>8</v>
      </c>
      <c r="I1141" s="13">
        <v>45515</v>
      </c>
      <c r="J1141" s="13" t="str">
        <f>TEXT(Table1[[#This Row],[Date]],"[$-en-US]mmm yyyy")</f>
        <v>Aug 2024</v>
      </c>
      <c r="K1141" s="13" t="str">
        <f>TEXT(Table1[[#This Row],[Date]],"[$-en-US]ddd")</f>
        <v>Sun</v>
      </c>
    </row>
    <row r="1142" spans="1:11" x14ac:dyDescent="0.25">
      <c r="A1142">
        <v>10</v>
      </c>
      <c r="B1142" t="s">
        <v>9</v>
      </c>
      <c r="C1142">
        <v>27.92</v>
      </c>
      <c r="D1142" t="s">
        <v>17</v>
      </c>
      <c r="E1142" t="s">
        <v>11</v>
      </c>
      <c r="F1142" t="s">
        <v>33</v>
      </c>
      <c r="G1142">
        <v>7</v>
      </c>
      <c r="H1142">
        <v>8</v>
      </c>
      <c r="I1142" s="13">
        <v>45515</v>
      </c>
      <c r="J1142" s="13" t="str">
        <f>TEXT(Table1[[#This Row],[Date]],"[$-en-US]mmm yyyy")</f>
        <v>Aug 2024</v>
      </c>
      <c r="K1142" s="13" t="str">
        <f>TEXT(Table1[[#This Row],[Date]],"[$-en-US]ddd")</f>
        <v>Sun</v>
      </c>
    </row>
    <row r="1143" spans="1:11" x14ac:dyDescent="0.25">
      <c r="A1143">
        <v>11</v>
      </c>
      <c r="B1143" t="s">
        <v>9</v>
      </c>
      <c r="C1143">
        <v>32.82</v>
      </c>
      <c r="D1143" t="s">
        <v>27</v>
      </c>
      <c r="E1143" t="s">
        <v>11</v>
      </c>
      <c r="F1143" t="s">
        <v>33</v>
      </c>
      <c r="G1143">
        <v>7</v>
      </c>
      <c r="H1143">
        <v>8</v>
      </c>
      <c r="I1143" s="13">
        <v>45515</v>
      </c>
      <c r="J1143" s="13" t="str">
        <f>TEXT(Table1[[#This Row],[Date]],"[$-en-US]mmm yyyy")</f>
        <v>Aug 2024</v>
      </c>
      <c r="K1143" s="13" t="str">
        <f>TEXT(Table1[[#This Row],[Date]],"[$-en-US]ddd")</f>
        <v>Sun</v>
      </c>
    </row>
    <row r="1144" spans="1:11" x14ac:dyDescent="0.25">
      <c r="A1144">
        <v>11</v>
      </c>
      <c r="B1144" t="s">
        <v>9</v>
      </c>
      <c r="C1144">
        <v>27.92</v>
      </c>
      <c r="D1144" t="s">
        <v>17</v>
      </c>
      <c r="E1144" t="s">
        <v>11</v>
      </c>
      <c r="F1144" t="s">
        <v>33</v>
      </c>
      <c r="G1144">
        <v>7</v>
      </c>
      <c r="H1144">
        <v>8</v>
      </c>
      <c r="I1144" s="13">
        <v>45515</v>
      </c>
      <c r="J1144" s="13" t="str">
        <f>TEXT(Table1[[#This Row],[Date]],"[$-en-US]mmm yyyy")</f>
        <v>Aug 2024</v>
      </c>
      <c r="K1144" s="13" t="str">
        <f>TEXT(Table1[[#This Row],[Date]],"[$-en-US]ddd")</f>
        <v>Sun</v>
      </c>
    </row>
    <row r="1145" spans="1:11" x14ac:dyDescent="0.25">
      <c r="A1145">
        <v>12</v>
      </c>
      <c r="B1145" t="s">
        <v>9</v>
      </c>
      <c r="C1145">
        <v>23.02</v>
      </c>
      <c r="D1145" t="s">
        <v>22</v>
      </c>
      <c r="E1145" t="s">
        <v>15</v>
      </c>
      <c r="F1145" t="s">
        <v>33</v>
      </c>
      <c r="G1145">
        <v>7</v>
      </c>
      <c r="H1145">
        <v>8</v>
      </c>
      <c r="I1145" s="13">
        <v>45515</v>
      </c>
      <c r="J1145" s="13" t="str">
        <f>TEXT(Table1[[#This Row],[Date]],"[$-en-US]mmm yyyy")</f>
        <v>Aug 2024</v>
      </c>
      <c r="K1145" s="13" t="str">
        <f>TEXT(Table1[[#This Row],[Date]],"[$-en-US]ddd")</f>
        <v>Sun</v>
      </c>
    </row>
    <row r="1146" spans="1:11" x14ac:dyDescent="0.25">
      <c r="A1146">
        <v>15</v>
      </c>
      <c r="B1146" t="s">
        <v>9</v>
      </c>
      <c r="C1146">
        <v>32.82</v>
      </c>
      <c r="D1146" t="s">
        <v>10</v>
      </c>
      <c r="E1146" t="s">
        <v>15</v>
      </c>
      <c r="F1146" t="s">
        <v>33</v>
      </c>
      <c r="G1146">
        <v>7</v>
      </c>
      <c r="H1146">
        <v>8</v>
      </c>
      <c r="I1146" s="13">
        <v>45515</v>
      </c>
      <c r="J1146" s="13" t="str">
        <f>TEXT(Table1[[#This Row],[Date]],"[$-en-US]mmm yyyy")</f>
        <v>Aug 2024</v>
      </c>
      <c r="K1146" s="13" t="str">
        <f>TEXT(Table1[[#This Row],[Date]],"[$-en-US]ddd")</f>
        <v>Sun</v>
      </c>
    </row>
    <row r="1147" spans="1:11" x14ac:dyDescent="0.25">
      <c r="A1147">
        <v>15</v>
      </c>
      <c r="B1147" t="s">
        <v>9</v>
      </c>
      <c r="C1147">
        <v>27.92</v>
      </c>
      <c r="D1147" t="s">
        <v>17</v>
      </c>
      <c r="E1147" t="s">
        <v>15</v>
      </c>
      <c r="F1147" t="s">
        <v>33</v>
      </c>
      <c r="G1147">
        <v>7</v>
      </c>
      <c r="H1147">
        <v>8</v>
      </c>
      <c r="I1147" s="13">
        <v>45515</v>
      </c>
      <c r="J1147" s="13" t="str">
        <f>TEXT(Table1[[#This Row],[Date]],"[$-en-US]mmm yyyy")</f>
        <v>Aug 2024</v>
      </c>
      <c r="K1147" s="13" t="str">
        <f>TEXT(Table1[[#This Row],[Date]],"[$-en-US]ddd")</f>
        <v>Sun</v>
      </c>
    </row>
    <row r="1148" spans="1:11" x14ac:dyDescent="0.25">
      <c r="A1148">
        <v>15</v>
      </c>
      <c r="B1148" t="s">
        <v>9</v>
      </c>
      <c r="C1148">
        <v>32.82</v>
      </c>
      <c r="D1148" t="s">
        <v>19</v>
      </c>
      <c r="E1148" t="s">
        <v>15</v>
      </c>
      <c r="F1148" t="s">
        <v>33</v>
      </c>
      <c r="G1148">
        <v>7</v>
      </c>
      <c r="H1148">
        <v>8</v>
      </c>
      <c r="I1148" s="13">
        <v>45515</v>
      </c>
      <c r="J1148" s="13" t="str">
        <f>TEXT(Table1[[#This Row],[Date]],"[$-en-US]mmm yyyy")</f>
        <v>Aug 2024</v>
      </c>
      <c r="K1148" s="13" t="str">
        <f>TEXT(Table1[[#This Row],[Date]],"[$-en-US]ddd")</f>
        <v>Sun</v>
      </c>
    </row>
    <row r="1149" spans="1:11" x14ac:dyDescent="0.25">
      <c r="A1149">
        <v>16</v>
      </c>
      <c r="B1149" t="s">
        <v>9</v>
      </c>
      <c r="C1149">
        <v>32.82</v>
      </c>
      <c r="D1149" t="s">
        <v>27</v>
      </c>
      <c r="E1149" t="s">
        <v>15</v>
      </c>
      <c r="F1149" t="s">
        <v>33</v>
      </c>
      <c r="G1149">
        <v>7</v>
      </c>
      <c r="H1149">
        <v>8</v>
      </c>
      <c r="I1149" s="13">
        <v>45515</v>
      </c>
      <c r="J1149" s="13" t="str">
        <f>TEXT(Table1[[#This Row],[Date]],"[$-en-US]mmm yyyy")</f>
        <v>Aug 2024</v>
      </c>
      <c r="K1149" s="13" t="str">
        <f>TEXT(Table1[[#This Row],[Date]],"[$-en-US]ddd")</f>
        <v>Sun</v>
      </c>
    </row>
    <row r="1150" spans="1:11" x14ac:dyDescent="0.25">
      <c r="A1150">
        <v>16</v>
      </c>
      <c r="B1150" t="s">
        <v>9</v>
      </c>
      <c r="C1150">
        <v>18.12</v>
      </c>
      <c r="D1150" t="s">
        <v>24</v>
      </c>
      <c r="E1150" t="s">
        <v>15</v>
      </c>
      <c r="F1150" t="s">
        <v>33</v>
      </c>
      <c r="G1150">
        <v>7</v>
      </c>
      <c r="H1150">
        <v>8</v>
      </c>
      <c r="I1150" s="13">
        <v>45515</v>
      </c>
      <c r="J1150" s="13" t="str">
        <f>TEXT(Table1[[#This Row],[Date]],"[$-en-US]mmm yyyy")</f>
        <v>Aug 2024</v>
      </c>
      <c r="K1150" s="13" t="str">
        <f>TEXT(Table1[[#This Row],[Date]],"[$-en-US]ddd")</f>
        <v>Sun</v>
      </c>
    </row>
    <row r="1151" spans="1:11" x14ac:dyDescent="0.25">
      <c r="A1151">
        <v>21</v>
      </c>
      <c r="B1151" t="s">
        <v>9</v>
      </c>
      <c r="C1151">
        <v>23.02</v>
      </c>
      <c r="D1151" t="s">
        <v>22</v>
      </c>
      <c r="E1151" t="s">
        <v>18</v>
      </c>
      <c r="F1151" t="s">
        <v>33</v>
      </c>
      <c r="G1151">
        <v>7</v>
      </c>
      <c r="H1151">
        <v>8</v>
      </c>
      <c r="I1151" s="13">
        <v>45515</v>
      </c>
      <c r="J1151" s="13" t="str">
        <f>TEXT(Table1[[#This Row],[Date]],"[$-en-US]mmm yyyy")</f>
        <v>Aug 2024</v>
      </c>
      <c r="K1151" s="13" t="str">
        <f>TEXT(Table1[[#This Row],[Date]],"[$-en-US]ddd")</f>
        <v>Sun</v>
      </c>
    </row>
    <row r="1152" spans="1:11" x14ac:dyDescent="0.25">
      <c r="A1152">
        <v>21</v>
      </c>
      <c r="B1152" t="s">
        <v>9</v>
      </c>
      <c r="C1152">
        <v>32.82</v>
      </c>
      <c r="D1152" t="s">
        <v>10</v>
      </c>
      <c r="E1152" t="s">
        <v>18</v>
      </c>
      <c r="F1152" t="s">
        <v>33</v>
      </c>
      <c r="G1152">
        <v>7</v>
      </c>
      <c r="H1152">
        <v>8</v>
      </c>
      <c r="I1152" s="13">
        <v>45515</v>
      </c>
      <c r="J1152" s="13" t="str">
        <f>TEXT(Table1[[#This Row],[Date]],"[$-en-US]mmm yyyy")</f>
        <v>Aug 2024</v>
      </c>
      <c r="K1152" s="13" t="str">
        <f>TEXT(Table1[[#This Row],[Date]],"[$-en-US]ddd")</f>
        <v>Sun</v>
      </c>
    </row>
    <row r="1153" spans="1:11" x14ac:dyDescent="0.25">
      <c r="A1153">
        <v>21</v>
      </c>
      <c r="B1153" t="s">
        <v>9</v>
      </c>
      <c r="C1153">
        <v>32.82</v>
      </c>
      <c r="D1153" t="s">
        <v>10</v>
      </c>
      <c r="E1153" t="s">
        <v>18</v>
      </c>
      <c r="F1153" t="s">
        <v>33</v>
      </c>
      <c r="G1153">
        <v>7</v>
      </c>
      <c r="H1153">
        <v>8</v>
      </c>
      <c r="I1153" s="13">
        <v>45515</v>
      </c>
      <c r="J1153" s="13" t="str">
        <f>TEXT(Table1[[#This Row],[Date]],"[$-en-US]mmm yyyy")</f>
        <v>Aug 2024</v>
      </c>
      <c r="K1153" s="13" t="str">
        <f>TEXT(Table1[[#This Row],[Date]],"[$-en-US]ddd")</f>
        <v>Sun</v>
      </c>
    </row>
    <row r="1154" spans="1:11" x14ac:dyDescent="0.25">
      <c r="A1154">
        <v>22</v>
      </c>
      <c r="B1154" t="s">
        <v>9</v>
      </c>
      <c r="C1154">
        <v>32.82</v>
      </c>
      <c r="D1154" t="s">
        <v>27</v>
      </c>
      <c r="E1154" t="s">
        <v>18</v>
      </c>
      <c r="F1154" t="s">
        <v>33</v>
      </c>
      <c r="G1154">
        <v>7</v>
      </c>
      <c r="H1154">
        <v>8</v>
      </c>
      <c r="I1154" s="13">
        <v>45515</v>
      </c>
      <c r="J1154" s="13" t="str">
        <f>TEXT(Table1[[#This Row],[Date]],"[$-en-US]mmm yyyy")</f>
        <v>Aug 2024</v>
      </c>
      <c r="K1154" s="13" t="str">
        <f>TEXT(Table1[[#This Row],[Date]],"[$-en-US]ddd")</f>
        <v>Sun</v>
      </c>
    </row>
    <row r="1155" spans="1:11" x14ac:dyDescent="0.25">
      <c r="A1155">
        <v>8</v>
      </c>
      <c r="B1155" t="s">
        <v>9</v>
      </c>
      <c r="C1155">
        <v>32.82</v>
      </c>
      <c r="D1155" t="s">
        <v>14</v>
      </c>
      <c r="E1155" t="s">
        <v>11</v>
      </c>
      <c r="F1155" t="s">
        <v>33</v>
      </c>
      <c r="G1155">
        <v>1</v>
      </c>
      <c r="H1155">
        <v>8</v>
      </c>
      <c r="I1155" s="13">
        <v>45516</v>
      </c>
      <c r="J1155" s="13" t="str">
        <f>TEXT(Table1[[#This Row],[Date]],"[$-en-US]mmm yyyy")</f>
        <v>Aug 2024</v>
      </c>
      <c r="K1155" s="13" t="str">
        <f>TEXT(Table1[[#This Row],[Date]],"[$-en-US]ddd")</f>
        <v>Mon</v>
      </c>
    </row>
    <row r="1156" spans="1:11" x14ac:dyDescent="0.25">
      <c r="A1156">
        <v>11</v>
      </c>
      <c r="B1156" t="s">
        <v>9</v>
      </c>
      <c r="C1156">
        <v>27.92</v>
      </c>
      <c r="D1156" t="s">
        <v>17</v>
      </c>
      <c r="E1156" t="s">
        <v>11</v>
      </c>
      <c r="F1156" t="s">
        <v>33</v>
      </c>
      <c r="G1156">
        <v>1</v>
      </c>
      <c r="H1156">
        <v>8</v>
      </c>
      <c r="I1156" s="13">
        <v>45516</v>
      </c>
      <c r="J1156" s="13" t="str">
        <f>TEXT(Table1[[#This Row],[Date]],"[$-en-US]mmm yyyy")</f>
        <v>Aug 2024</v>
      </c>
      <c r="K1156" s="13" t="str">
        <f>TEXT(Table1[[#This Row],[Date]],"[$-en-US]ddd")</f>
        <v>Mon</v>
      </c>
    </row>
    <row r="1157" spans="1:11" x14ac:dyDescent="0.25">
      <c r="A1157">
        <v>11</v>
      </c>
      <c r="B1157" t="s">
        <v>9</v>
      </c>
      <c r="C1157">
        <v>23.02</v>
      </c>
      <c r="D1157" t="s">
        <v>16</v>
      </c>
      <c r="E1157" t="s">
        <v>11</v>
      </c>
      <c r="F1157" t="s">
        <v>33</v>
      </c>
      <c r="G1157">
        <v>1</v>
      </c>
      <c r="H1157">
        <v>8</v>
      </c>
      <c r="I1157" s="13">
        <v>45516</v>
      </c>
      <c r="J1157" s="13" t="str">
        <f>TEXT(Table1[[#This Row],[Date]],"[$-en-US]mmm yyyy")</f>
        <v>Aug 2024</v>
      </c>
      <c r="K1157" s="13" t="str">
        <f>TEXT(Table1[[#This Row],[Date]],"[$-en-US]ddd")</f>
        <v>Mon</v>
      </c>
    </row>
    <row r="1158" spans="1:11" x14ac:dyDescent="0.25">
      <c r="A1158">
        <v>11</v>
      </c>
      <c r="B1158" t="s">
        <v>9</v>
      </c>
      <c r="C1158">
        <v>32.82</v>
      </c>
      <c r="D1158" t="s">
        <v>10</v>
      </c>
      <c r="E1158" t="s">
        <v>11</v>
      </c>
      <c r="F1158" t="s">
        <v>33</v>
      </c>
      <c r="G1158">
        <v>1</v>
      </c>
      <c r="H1158">
        <v>8</v>
      </c>
      <c r="I1158" s="13">
        <v>45516</v>
      </c>
      <c r="J1158" s="13" t="str">
        <f>TEXT(Table1[[#This Row],[Date]],"[$-en-US]mmm yyyy")</f>
        <v>Aug 2024</v>
      </c>
      <c r="K1158" s="13" t="str">
        <f>TEXT(Table1[[#This Row],[Date]],"[$-en-US]ddd")</f>
        <v>Mon</v>
      </c>
    </row>
    <row r="1159" spans="1:11" x14ac:dyDescent="0.25">
      <c r="A1159">
        <v>11</v>
      </c>
      <c r="B1159" t="s">
        <v>9</v>
      </c>
      <c r="C1159">
        <v>32.82</v>
      </c>
      <c r="D1159" t="s">
        <v>10</v>
      </c>
      <c r="E1159" t="s">
        <v>11</v>
      </c>
      <c r="F1159" t="s">
        <v>33</v>
      </c>
      <c r="G1159">
        <v>1</v>
      </c>
      <c r="H1159">
        <v>8</v>
      </c>
      <c r="I1159" s="13">
        <v>45516</v>
      </c>
      <c r="J1159" s="13" t="str">
        <f>TEXT(Table1[[#This Row],[Date]],"[$-en-US]mmm yyyy")</f>
        <v>Aug 2024</v>
      </c>
      <c r="K1159" s="13" t="str">
        <f>TEXT(Table1[[#This Row],[Date]],"[$-en-US]ddd")</f>
        <v>Mon</v>
      </c>
    </row>
    <row r="1160" spans="1:11" x14ac:dyDescent="0.25">
      <c r="A1160">
        <v>14</v>
      </c>
      <c r="B1160" t="s">
        <v>9</v>
      </c>
      <c r="C1160">
        <v>18.12</v>
      </c>
      <c r="D1160" t="s">
        <v>24</v>
      </c>
      <c r="E1160" t="s">
        <v>15</v>
      </c>
      <c r="F1160" t="s">
        <v>33</v>
      </c>
      <c r="G1160">
        <v>1</v>
      </c>
      <c r="H1160">
        <v>8</v>
      </c>
      <c r="I1160" s="13">
        <v>45516</v>
      </c>
      <c r="J1160" s="13" t="str">
        <f>TEXT(Table1[[#This Row],[Date]],"[$-en-US]mmm yyyy")</f>
        <v>Aug 2024</v>
      </c>
      <c r="K1160" s="13" t="str">
        <f>TEXT(Table1[[#This Row],[Date]],"[$-en-US]ddd")</f>
        <v>Mon</v>
      </c>
    </row>
    <row r="1161" spans="1:11" x14ac:dyDescent="0.25">
      <c r="A1161">
        <v>14</v>
      </c>
      <c r="B1161" t="s">
        <v>9</v>
      </c>
      <c r="C1161">
        <v>27.92</v>
      </c>
      <c r="D1161" t="s">
        <v>17</v>
      </c>
      <c r="E1161" t="s">
        <v>15</v>
      </c>
      <c r="F1161" t="s">
        <v>33</v>
      </c>
      <c r="G1161">
        <v>1</v>
      </c>
      <c r="H1161">
        <v>8</v>
      </c>
      <c r="I1161" s="13">
        <v>45516</v>
      </c>
      <c r="J1161" s="13" t="str">
        <f>TEXT(Table1[[#This Row],[Date]],"[$-en-US]mmm yyyy")</f>
        <v>Aug 2024</v>
      </c>
      <c r="K1161" s="13" t="str">
        <f>TEXT(Table1[[#This Row],[Date]],"[$-en-US]ddd")</f>
        <v>Mon</v>
      </c>
    </row>
    <row r="1162" spans="1:11" x14ac:dyDescent="0.25">
      <c r="A1162">
        <v>15</v>
      </c>
      <c r="B1162" t="s">
        <v>9</v>
      </c>
      <c r="C1162">
        <v>27.92</v>
      </c>
      <c r="D1162" t="s">
        <v>17</v>
      </c>
      <c r="E1162" t="s">
        <v>15</v>
      </c>
      <c r="F1162" t="s">
        <v>33</v>
      </c>
      <c r="G1162">
        <v>1</v>
      </c>
      <c r="H1162">
        <v>8</v>
      </c>
      <c r="I1162" s="13">
        <v>45516</v>
      </c>
      <c r="J1162" s="13" t="str">
        <f>TEXT(Table1[[#This Row],[Date]],"[$-en-US]mmm yyyy")</f>
        <v>Aug 2024</v>
      </c>
      <c r="K1162" s="13" t="str">
        <f>TEXT(Table1[[#This Row],[Date]],"[$-en-US]ddd")</f>
        <v>Mon</v>
      </c>
    </row>
    <row r="1163" spans="1:11" x14ac:dyDescent="0.25">
      <c r="A1163">
        <v>18</v>
      </c>
      <c r="B1163" t="s">
        <v>9</v>
      </c>
      <c r="C1163">
        <v>27.92</v>
      </c>
      <c r="D1163" t="s">
        <v>17</v>
      </c>
      <c r="E1163" t="s">
        <v>18</v>
      </c>
      <c r="F1163" t="s">
        <v>33</v>
      </c>
      <c r="G1163">
        <v>1</v>
      </c>
      <c r="H1163">
        <v>8</v>
      </c>
      <c r="I1163" s="13">
        <v>45516</v>
      </c>
      <c r="J1163" s="13" t="str">
        <f>TEXT(Table1[[#This Row],[Date]],"[$-en-US]mmm yyyy")</f>
        <v>Aug 2024</v>
      </c>
      <c r="K1163" s="13" t="str">
        <f>TEXT(Table1[[#This Row],[Date]],"[$-en-US]ddd")</f>
        <v>Mon</v>
      </c>
    </row>
    <row r="1164" spans="1:11" x14ac:dyDescent="0.25">
      <c r="A1164">
        <v>21</v>
      </c>
      <c r="B1164" t="s">
        <v>9</v>
      </c>
      <c r="C1164">
        <v>27.92</v>
      </c>
      <c r="D1164" t="s">
        <v>17</v>
      </c>
      <c r="E1164" t="s">
        <v>18</v>
      </c>
      <c r="F1164" t="s">
        <v>33</v>
      </c>
      <c r="G1164">
        <v>1</v>
      </c>
      <c r="H1164">
        <v>8</v>
      </c>
      <c r="I1164" s="13">
        <v>45516</v>
      </c>
      <c r="J1164" s="13" t="str">
        <f>TEXT(Table1[[#This Row],[Date]],"[$-en-US]mmm yyyy")</f>
        <v>Aug 2024</v>
      </c>
      <c r="K1164" s="13" t="str">
        <f>TEXT(Table1[[#This Row],[Date]],"[$-en-US]ddd")</f>
        <v>Mon</v>
      </c>
    </row>
    <row r="1165" spans="1:11" x14ac:dyDescent="0.25">
      <c r="A1165">
        <v>21</v>
      </c>
      <c r="B1165" t="s">
        <v>9</v>
      </c>
      <c r="C1165">
        <v>32.82</v>
      </c>
      <c r="D1165" t="s">
        <v>10</v>
      </c>
      <c r="E1165" t="s">
        <v>18</v>
      </c>
      <c r="F1165" t="s">
        <v>33</v>
      </c>
      <c r="G1165">
        <v>1</v>
      </c>
      <c r="H1165">
        <v>8</v>
      </c>
      <c r="I1165" s="13">
        <v>45516</v>
      </c>
      <c r="J1165" s="13" t="str">
        <f>TEXT(Table1[[#This Row],[Date]],"[$-en-US]mmm yyyy")</f>
        <v>Aug 2024</v>
      </c>
      <c r="K1165" s="13" t="str">
        <f>TEXT(Table1[[#This Row],[Date]],"[$-en-US]ddd")</f>
        <v>Mon</v>
      </c>
    </row>
    <row r="1166" spans="1:11" x14ac:dyDescent="0.25">
      <c r="A1166">
        <v>22</v>
      </c>
      <c r="B1166" t="s">
        <v>9</v>
      </c>
      <c r="C1166">
        <v>32.82</v>
      </c>
      <c r="D1166" t="s">
        <v>27</v>
      </c>
      <c r="E1166" t="s">
        <v>18</v>
      </c>
      <c r="F1166" t="s">
        <v>33</v>
      </c>
      <c r="G1166">
        <v>1</v>
      </c>
      <c r="H1166">
        <v>8</v>
      </c>
      <c r="I1166" s="13">
        <v>45516</v>
      </c>
      <c r="J1166" s="13" t="str">
        <f>TEXT(Table1[[#This Row],[Date]],"[$-en-US]mmm yyyy")</f>
        <v>Aug 2024</v>
      </c>
      <c r="K1166" s="13" t="str">
        <f>TEXT(Table1[[#This Row],[Date]],"[$-en-US]ddd")</f>
        <v>Mon</v>
      </c>
    </row>
    <row r="1167" spans="1:11" x14ac:dyDescent="0.25">
      <c r="A1167">
        <v>22</v>
      </c>
      <c r="B1167" t="s">
        <v>9</v>
      </c>
      <c r="C1167">
        <v>32.82</v>
      </c>
      <c r="D1167" t="s">
        <v>27</v>
      </c>
      <c r="E1167" t="s">
        <v>18</v>
      </c>
      <c r="F1167" t="s">
        <v>33</v>
      </c>
      <c r="G1167">
        <v>1</v>
      </c>
      <c r="H1167">
        <v>8</v>
      </c>
      <c r="I1167" s="13">
        <v>45516</v>
      </c>
      <c r="J1167" s="13" t="str">
        <f>TEXT(Table1[[#This Row],[Date]],"[$-en-US]mmm yyyy")</f>
        <v>Aug 2024</v>
      </c>
      <c r="K1167" s="13" t="str">
        <f>TEXT(Table1[[#This Row],[Date]],"[$-en-US]ddd")</f>
        <v>Mon</v>
      </c>
    </row>
    <row r="1168" spans="1:11" x14ac:dyDescent="0.25">
      <c r="A1168">
        <v>8</v>
      </c>
      <c r="B1168" t="s">
        <v>9</v>
      </c>
      <c r="C1168">
        <v>27.92</v>
      </c>
      <c r="D1168" t="s">
        <v>17</v>
      </c>
      <c r="E1168" t="s">
        <v>11</v>
      </c>
      <c r="F1168" t="s">
        <v>33</v>
      </c>
      <c r="G1168">
        <v>2</v>
      </c>
      <c r="H1168">
        <v>8</v>
      </c>
      <c r="I1168" s="13">
        <v>45517</v>
      </c>
      <c r="J1168" s="13" t="str">
        <f>TEXT(Table1[[#This Row],[Date]],"[$-en-US]mmm yyyy")</f>
        <v>Aug 2024</v>
      </c>
      <c r="K1168" s="13" t="str">
        <f>TEXT(Table1[[#This Row],[Date]],"[$-en-US]ddd")</f>
        <v>Tue</v>
      </c>
    </row>
    <row r="1169" spans="1:11" x14ac:dyDescent="0.25">
      <c r="A1169">
        <v>9</v>
      </c>
      <c r="B1169" t="s">
        <v>9</v>
      </c>
      <c r="C1169">
        <v>27.92</v>
      </c>
      <c r="D1169" t="s">
        <v>17</v>
      </c>
      <c r="E1169" t="s">
        <v>11</v>
      </c>
      <c r="F1169" t="s">
        <v>33</v>
      </c>
      <c r="G1169">
        <v>2</v>
      </c>
      <c r="H1169">
        <v>8</v>
      </c>
      <c r="I1169" s="13">
        <v>45517</v>
      </c>
      <c r="J1169" s="13" t="str">
        <f>TEXT(Table1[[#This Row],[Date]],"[$-en-US]mmm yyyy")</f>
        <v>Aug 2024</v>
      </c>
      <c r="K1169" s="13" t="str">
        <f>TEXT(Table1[[#This Row],[Date]],"[$-en-US]ddd")</f>
        <v>Tue</v>
      </c>
    </row>
    <row r="1170" spans="1:11" x14ac:dyDescent="0.25">
      <c r="A1170">
        <v>9</v>
      </c>
      <c r="B1170" t="s">
        <v>9</v>
      </c>
      <c r="C1170">
        <v>27.92</v>
      </c>
      <c r="D1170" t="s">
        <v>17</v>
      </c>
      <c r="E1170" t="s">
        <v>11</v>
      </c>
      <c r="F1170" t="s">
        <v>33</v>
      </c>
      <c r="G1170">
        <v>2</v>
      </c>
      <c r="H1170">
        <v>8</v>
      </c>
      <c r="I1170" s="13">
        <v>45517</v>
      </c>
      <c r="J1170" s="13" t="str">
        <f>TEXT(Table1[[#This Row],[Date]],"[$-en-US]mmm yyyy")</f>
        <v>Aug 2024</v>
      </c>
      <c r="K1170" s="13" t="str">
        <f>TEXT(Table1[[#This Row],[Date]],"[$-en-US]ddd")</f>
        <v>Tue</v>
      </c>
    </row>
    <row r="1171" spans="1:11" x14ac:dyDescent="0.25">
      <c r="A1171">
        <v>10</v>
      </c>
      <c r="B1171" t="s">
        <v>9</v>
      </c>
      <c r="C1171">
        <v>23.02</v>
      </c>
      <c r="D1171" t="s">
        <v>22</v>
      </c>
      <c r="E1171" t="s">
        <v>11</v>
      </c>
      <c r="F1171" t="s">
        <v>33</v>
      </c>
      <c r="G1171">
        <v>2</v>
      </c>
      <c r="H1171">
        <v>8</v>
      </c>
      <c r="I1171" s="13">
        <v>45517</v>
      </c>
      <c r="J1171" s="13" t="str">
        <f>TEXT(Table1[[#This Row],[Date]],"[$-en-US]mmm yyyy")</f>
        <v>Aug 2024</v>
      </c>
      <c r="K1171" s="13" t="str">
        <f>TEXT(Table1[[#This Row],[Date]],"[$-en-US]ddd")</f>
        <v>Tue</v>
      </c>
    </row>
    <row r="1172" spans="1:11" x14ac:dyDescent="0.25">
      <c r="A1172">
        <v>11</v>
      </c>
      <c r="B1172" t="s">
        <v>9</v>
      </c>
      <c r="C1172">
        <v>32.82</v>
      </c>
      <c r="D1172" t="s">
        <v>10</v>
      </c>
      <c r="E1172" t="s">
        <v>11</v>
      </c>
      <c r="F1172" t="s">
        <v>33</v>
      </c>
      <c r="G1172">
        <v>2</v>
      </c>
      <c r="H1172">
        <v>8</v>
      </c>
      <c r="I1172" s="13">
        <v>45517</v>
      </c>
      <c r="J1172" s="13" t="str">
        <f>TEXT(Table1[[#This Row],[Date]],"[$-en-US]mmm yyyy")</f>
        <v>Aug 2024</v>
      </c>
      <c r="K1172" s="13" t="str">
        <f>TEXT(Table1[[#This Row],[Date]],"[$-en-US]ddd")</f>
        <v>Tue</v>
      </c>
    </row>
    <row r="1173" spans="1:11" x14ac:dyDescent="0.25">
      <c r="A1173">
        <v>13</v>
      </c>
      <c r="B1173" t="s">
        <v>9</v>
      </c>
      <c r="C1173">
        <v>27.92</v>
      </c>
      <c r="D1173" t="s">
        <v>17</v>
      </c>
      <c r="E1173" t="s">
        <v>15</v>
      </c>
      <c r="F1173" t="s">
        <v>33</v>
      </c>
      <c r="G1173">
        <v>2</v>
      </c>
      <c r="H1173">
        <v>8</v>
      </c>
      <c r="I1173" s="13">
        <v>45517</v>
      </c>
      <c r="J1173" s="13" t="str">
        <f>TEXT(Table1[[#This Row],[Date]],"[$-en-US]mmm yyyy")</f>
        <v>Aug 2024</v>
      </c>
      <c r="K1173" s="13" t="str">
        <f>TEXT(Table1[[#This Row],[Date]],"[$-en-US]ddd")</f>
        <v>Tue</v>
      </c>
    </row>
    <row r="1174" spans="1:11" x14ac:dyDescent="0.25">
      <c r="A1174">
        <v>14</v>
      </c>
      <c r="B1174" t="s">
        <v>9</v>
      </c>
      <c r="C1174">
        <v>32.82</v>
      </c>
      <c r="D1174" t="s">
        <v>10</v>
      </c>
      <c r="E1174" t="s">
        <v>15</v>
      </c>
      <c r="F1174" t="s">
        <v>33</v>
      </c>
      <c r="G1174">
        <v>2</v>
      </c>
      <c r="H1174">
        <v>8</v>
      </c>
      <c r="I1174" s="13">
        <v>45517</v>
      </c>
      <c r="J1174" s="13" t="str">
        <f>TEXT(Table1[[#This Row],[Date]],"[$-en-US]mmm yyyy")</f>
        <v>Aug 2024</v>
      </c>
      <c r="K1174" s="13" t="str">
        <f>TEXT(Table1[[#This Row],[Date]],"[$-en-US]ddd")</f>
        <v>Tue</v>
      </c>
    </row>
    <row r="1175" spans="1:11" x14ac:dyDescent="0.25">
      <c r="A1175">
        <v>15</v>
      </c>
      <c r="B1175" t="s">
        <v>9</v>
      </c>
      <c r="C1175">
        <v>32.82</v>
      </c>
      <c r="D1175" t="s">
        <v>27</v>
      </c>
      <c r="E1175" t="s">
        <v>15</v>
      </c>
      <c r="F1175" t="s">
        <v>33</v>
      </c>
      <c r="G1175">
        <v>2</v>
      </c>
      <c r="H1175">
        <v>8</v>
      </c>
      <c r="I1175" s="13">
        <v>45517</v>
      </c>
      <c r="J1175" s="13" t="str">
        <f>TEXT(Table1[[#This Row],[Date]],"[$-en-US]mmm yyyy")</f>
        <v>Aug 2024</v>
      </c>
      <c r="K1175" s="13" t="str">
        <f>TEXT(Table1[[#This Row],[Date]],"[$-en-US]ddd")</f>
        <v>Tue</v>
      </c>
    </row>
    <row r="1176" spans="1:11" x14ac:dyDescent="0.25">
      <c r="A1176">
        <v>15</v>
      </c>
      <c r="B1176" t="s">
        <v>9</v>
      </c>
      <c r="C1176">
        <v>27.92</v>
      </c>
      <c r="D1176" t="s">
        <v>17</v>
      </c>
      <c r="E1176" t="s">
        <v>15</v>
      </c>
      <c r="F1176" t="s">
        <v>33</v>
      </c>
      <c r="G1176">
        <v>2</v>
      </c>
      <c r="H1176">
        <v>8</v>
      </c>
      <c r="I1176" s="13">
        <v>45517</v>
      </c>
      <c r="J1176" s="13" t="str">
        <f>TEXT(Table1[[#This Row],[Date]],"[$-en-US]mmm yyyy")</f>
        <v>Aug 2024</v>
      </c>
      <c r="K1176" s="13" t="str">
        <f>TEXT(Table1[[#This Row],[Date]],"[$-en-US]ddd")</f>
        <v>Tue</v>
      </c>
    </row>
    <row r="1177" spans="1:11" x14ac:dyDescent="0.25">
      <c r="A1177">
        <v>20</v>
      </c>
      <c r="B1177" t="s">
        <v>9</v>
      </c>
      <c r="C1177">
        <v>32.82</v>
      </c>
      <c r="D1177" t="s">
        <v>10</v>
      </c>
      <c r="E1177" t="s">
        <v>18</v>
      </c>
      <c r="F1177" t="s">
        <v>33</v>
      </c>
      <c r="G1177">
        <v>2</v>
      </c>
      <c r="H1177">
        <v>8</v>
      </c>
      <c r="I1177" s="13">
        <v>45517</v>
      </c>
      <c r="J1177" s="13" t="str">
        <f>TEXT(Table1[[#This Row],[Date]],"[$-en-US]mmm yyyy")</f>
        <v>Aug 2024</v>
      </c>
      <c r="K1177" s="13" t="str">
        <f>TEXT(Table1[[#This Row],[Date]],"[$-en-US]ddd")</f>
        <v>Tue</v>
      </c>
    </row>
    <row r="1178" spans="1:11" x14ac:dyDescent="0.25">
      <c r="A1178">
        <v>20</v>
      </c>
      <c r="B1178" t="s">
        <v>9</v>
      </c>
      <c r="C1178">
        <v>32.82</v>
      </c>
      <c r="D1178" t="s">
        <v>19</v>
      </c>
      <c r="E1178" t="s">
        <v>18</v>
      </c>
      <c r="F1178" t="s">
        <v>33</v>
      </c>
      <c r="G1178">
        <v>2</v>
      </c>
      <c r="H1178">
        <v>8</v>
      </c>
      <c r="I1178" s="13">
        <v>45517</v>
      </c>
      <c r="J1178" s="13" t="str">
        <f>TEXT(Table1[[#This Row],[Date]],"[$-en-US]mmm yyyy")</f>
        <v>Aug 2024</v>
      </c>
      <c r="K1178" s="13" t="str">
        <f>TEXT(Table1[[#This Row],[Date]],"[$-en-US]ddd")</f>
        <v>Tue</v>
      </c>
    </row>
    <row r="1179" spans="1:11" x14ac:dyDescent="0.25">
      <c r="A1179">
        <v>20</v>
      </c>
      <c r="B1179" t="s">
        <v>9</v>
      </c>
      <c r="C1179">
        <v>32.82</v>
      </c>
      <c r="D1179" t="s">
        <v>27</v>
      </c>
      <c r="E1179" t="s">
        <v>18</v>
      </c>
      <c r="F1179" t="s">
        <v>33</v>
      </c>
      <c r="G1179">
        <v>2</v>
      </c>
      <c r="H1179">
        <v>8</v>
      </c>
      <c r="I1179" s="13">
        <v>45517</v>
      </c>
      <c r="J1179" s="13" t="str">
        <f>TEXT(Table1[[#This Row],[Date]],"[$-en-US]mmm yyyy")</f>
        <v>Aug 2024</v>
      </c>
      <c r="K1179" s="13" t="str">
        <f>TEXT(Table1[[#This Row],[Date]],"[$-en-US]ddd")</f>
        <v>Tue</v>
      </c>
    </row>
    <row r="1180" spans="1:11" x14ac:dyDescent="0.25">
      <c r="A1180">
        <v>21</v>
      </c>
      <c r="B1180" t="s">
        <v>9</v>
      </c>
      <c r="C1180">
        <v>23.02</v>
      </c>
      <c r="D1180" t="s">
        <v>22</v>
      </c>
      <c r="E1180" t="s">
        <v>18</v>
      </c>
      <c r="F1180" t="s">
        <v>33</v>
      </c>
      <c r="G1180">
        <v>2</v>
      </c>
      <c r="H1180">
        <v>8</v>
      </c>
      <c r="I1180" s="13">
        <v>45517</v>
      </c>
      <c r="J1180" s="13" t="str">
        <f>TEXT(Table1[[#This Row],[Date]],"[$-en-US]mmm yyyy")</f>
        <v>Aug 2024</v>
      </c>
      <c r="K1180" s="13" t="str">
        <f>TEXT(Table1[[#This Row],[Date]],"[$-en-US]ddd")</f>
        <v>Tue</v>
      </c>
    </row>
    <row r="1181" spans="1:11" x14ac:dyDescent="0.25">
      <c r="A1181">
        <v>7</v>
      </c>
      <c r="B1181" t="s">
        <v>9</v>
      </c>
      <c r="C1181">
        <v>32.82</v>
      </c>
      <c r="D1181" t="s">
        <v>10</v>
      </c>
      <c r="E1181" t="s">
        <v>11</v>
      </c>
      <c r="F1181" t="s">
        <v>33</v>
      </c>
      <c r="G1181">
        <v>3</v>
      </c>
      <c r="H1181">
        <v>8</v>
      </c>
      <c r="I1181" s="13">
        <v>45518</v>
      </c>
      <c r="J1181" s="13" t="str">
        <f>TEXT(Table1[[#This Row],[Date]],"[$-en-US]mmm yyyy")</f>
        <v>Aug 2024</v>
      </c>
      <c r="K1181" s="13" t="str">
        <f>TEXT(Table1[[#This Row],[Date]],"[$-en-US]ddd")</f>
        <v>Wed</v>
      </c>
    </row>
    <row r="1182" spans="1:11" x14ac:dyDescent="0.25">
      <c r="A1182">
        <v>7</v>
      </c>
      <c r="B1182" t="s">
        <v>9</v>
      </c>
      <c r="C1182">
        <v>32.82</v>
      </c>
      <c r="D1182" t="s">
        <v>27</v>
      </c>
      <c r="E1182" t="s">
        <v>11</v>
      </c>
      <c r="F1182" t="s">
        <v>33</v>
      </c>
      <c r="G1182">
        <v>3</v>
      </c>
      <c r="H1182">
        <v>8</v>
      </c>
      <c r="I1182" s="13">
        <v>45518</v>
      </c>
      <c r="J1182" s="13" t="str">
        <f>TEXT(Table1[[#This Row],[Date]],"[$-en-US]mmm yyyy")</f>
        <v>Aug 2024</v>
      </c>
      <c r="K1182" s="13" t="str">
        <f>TEXT(Table1[[#This Row],[Date]],"[$-en-US]ddd")</f>
        <v>Wed</v>
      </c>
    </row>
    <row r="1183" spans="1:11" x14ac:dyDescent="0.25">
      <c r="A1183">
        <v>10</v>
      </c>
      <c r="B1183" t="s">
        <v>9</v>
      </c>
      <c r="C1183">
        <v>23.02</v>
      </c>
      <c r="D1183" t="s">
        <v>22</v>
      </c>
      <c r="E1183" t="s">
        <v>11</v>
      </c>
      <c r="F1183" t="s">
        <v>33</v>
      </c>
      <c r="G1183">
        <v>3</v>
      </c>
      <c r="H1183">
        <v>8</v>
      </c>
      <c r="I1183" s="13">
        <v>45518</v>
      </c>
      <c r="J1183" s="13" t="str">
        <f>TEXT(Table1[[#This Row],[Date]],"[$-en-US]mmm yyyy")</f>
        <v>Aug 2024</v>
      </c>
      <c r="K1183" s="13" t="str">
        <f>TEXT(Table1[[#This Row],[Date]],"[$-en-US]ddd")</f>
        <v>Wed</v>
      </c>
    </row>
    <row r="1184" spans="1:11" x14ac:dyDescent="0.25">
      <c r="A1184">
        <v>11</v>
      </c>
      <c r="B1184" t="s">
        <v>9</v>
      </c>
      <c r="C1184">
        <v>18.12</v>
      </c>
      <c r="D1184" t="s">
        <v>24</v>
      </c>
      <c r="E1184" t="s">
        <v>11</v>
      </c>
      <c r="F1184" t="s">
        <v>33</v>
      </c>
      <c r="G1184">
        <v>3</v>
      </c>
      <c r="H1184">
        <v>8</v>
      </c>
      <c r="I1184" s="13">
        <v>45518</v>
      </c>
      <c r="J1184" s="13" t="str">
        <f>TEXT(Table1[[#This Row],[Date]],"[$-en-US]mmm yyyy")</f>
        <v>Aug 2024</v>
      </c>
      <c r="K1184" s="13" t="str">
        <f>TEXT(Table1[[#This Row],[Date]],"[$-en-US]ddd")</f>
        <v>Wed</v>
      </c>
    </row>
    <row r="1185" spans="1:11" x14ac:dyDescent="0.25">
      <c r="A1185">
        <v>12</v>
      </c>
      <c r="B1185" t="s">
        <v>9</v>
      </c>
      <c r="C1185">
        <v>23.02</v>
      </c>
      <c r="D1185" t="s">
        <v>16</v>
      </c>
      <c r="E1185" t="s">
        <v>15</v>
      </c>
      <c r="F1185" t="s">
        <v>33</v>
      </c>
      <c r="G1185">
        <v>3</v>
      </c>
      <c r="H1185">
        <v>8</v>
      </c>
      <c r="I1185" s="13">
        <v>45518</v>
      </c>
      <c r="J1185" s="13" t="str">
        <f>TEXT(Table1[[#This Row],[Date]],"[$-en-US]mmm yyyy")</f>
        <v>Aug 2024</v>
      </c>
      <c r="K1185" s="13" t="str">
        <f>TEXT(Table1[[#This Row],[Date]],"[$-en-US]ddd")</f>
        <v>Wed</v>
      </c>
    </row>
    <row r="1186" spans="1:11" x14ac:dyDescent="0.25">
      <c r="A1186">
        <v>12</v>
      </c>
      <c r="B1186" t="s">
        <v>9</v>
      </c>
      <c r="C1186">
        <v>23.02</v>
      </c>
      <c r="D1186" t="s">
        <v>16</v>
      </c>
      <c r="E1186" t="s">
        <v>15</v>
      </c>
      <c r="F1186" t="s">
        <v>33</v>
      </c>
      <c r="G1186">
        <v>3</v>
      </c>
      <c r="H1186">
        <v>8</v>
      </c>
      <c r="I1186" s="13">
        <v>45518</v>
      </c>
      <c r="J1186" s="13" t="str">
        <f>TEXT(Table1[[#This Row],[Date]],"[$-en-US]mmm yyyy")</f>
        <v>Aug 2024</v>
      </c>
      <c r="K1186" s="13" t="str">
        <f>TEXT(Table1[[#This Row],[Date]],"[$-en-US]ddd")</f>
        <v>Wed</v>
      </c>
    </row>
    <row r="1187" spans="1:11" x14ac:dyDescent="0.25">
      <c r="A1187">
        <v>15</v>
      </c>
      <c r="B1187" t="s">
        <v>9</v>
      </c>
      <c r="C1187">
        <v>32.82</v>
      </c>
      <c r="D1187" t="s">
        <v>10</v>
      </c>
      <c r="E1187" t="s">
        <v>15</v>
      </c>
      <c r="F1187" t="s">
        <v>33</v>
      </c>
      <c r="G1187">
        <v>3</v>
      </c>
      <c r="H1187">
        <v>8</v>
      </c>
      <c r="I1187" s="13">
        <v>45518</v>
      </c>
      <c r="J1187" s="13" t="str">
        <f>TEXT(Table1[[#This Row],[Date]],"[$-en-US]mmm yyyy")</f>
        <v>Aug 2024</v>
      </c>
      <c r="K1187" s="13" t="str">
        <f>TEXT(Table1[[#This Row],[Date]],"[$-en-US]ddd")</f>
        <v>Wed</v>
      </c>
    </row>
    <row r="1188" spans="1:11" x14ac:dyDescent="0.25">
      <c r="A1188">
        <v>17</v>
      </c>
      <c r="B1188" t="s">
        <v>9</v>
      </c>
      <c r="C1188">
        <v>23.02</v>
      </c>
      <c r="D1188" t="s">
        <v>16</v>
      </c>
      <c r="E1188" t="s">
        <v>18</v>
      </c>
      <c r="F1188" t="s">
        <v>33</v>
      </c>
      <c r="G1188">
        <v>3</v>
      </c>
      <c r="H1188">
        <v>8</v>
      </c>
      <c r="I1188" s="13">
        <v>45518</v>
      </c>
      <c r="J1188" s="13" t="str">
        <f>TEXT(Table1[[#This Row],[Date]],"[$-en-US]mmm yyyy")</f>
        <v>Aug 2024</v>
      </c>
      <c r="K1188" s="13" t="str">
        <f>TEXT(Table1[[#This Row],[Date]],"[$-en-US]ddd")</f>
        <v>Wed</v>
      </c>
    </row>
    <row r="1189" spans="1:11" x14ac:dyDescent="0.25">
      <c r="A1189">
        <v>18</v>
      </c>
      <c r="B1189" t="s">
        <v>9</v>
      </c>
      <c r="C1189">
        <v>23.02</v>
      </c>
      <c r="D1189" t="s">
        <v>22</v>
      </c>
      <c r="E1189" t="s">
        <v>18</v>
      </c>
      <c r="F1189" t="s">
        <v>33</v>
      </c>
      <c r="G1189">
        <v>3</v>
      </c>
      <c r="H1189">
        <v>8</v>
      </c>
      <c r="I1189" s="13">
        <v>45518</v>
      </c>
      <c r="J1189" s="13" t="str">
        <f>TEXT(Table1[[#This Row],[Date]],"[$-en-US]mmm yyyy")</f>
        <v>Aug 2024</v>
      </c>
      <c r="K1189" s="13" t="str">
        <f>TEXT(Table1[[#This Row],[Date]],"[$-en-US]ddd")</f>
        <v>Wed</v>
      </c>
    </row>
    <row r="1190" spans="1:11" x14ac:dyDescent="0.25">
      <c r="A1190">
        <v>18</v>
      </c>
      <c r="B1190" t="s">
        <v>9</v>
      </c>
      <c r="C1190">
        <v>27.92</v>
      </c>
      <c r="D1190" t="s">
        <v>17</v>
      </c>
      <c r="E1190" t="s">
        <v>18</v>
      </c>
      <c r="F1190" t="s">
        <v>33</v>
      </c>
      <c r="G1190">
        <v>3</v>
      </c>
      <c r="H1190">
        <v>8</v>
      </c>
      <c r="I1190" s="13">
        <v>45518</v>
      </c>
      <c r="J1190" s="13" t="str">
        <f>TEXT(Table1[[#This Row],[Date]],"[$-en-US]mmm yyyy")</f>
        <v>Aug 2024</v>
      </c>
      <c r="K1190" s="13" t="str">
        <f>TEXT(Table1[[#This Row],[Date]],"[$-en-US]ddd")</f>
        <v>Wed</v>
      </c>
    </row>
    <row r="1191" spans="1:11" x14ac:dyDescent="0.25">
      <c r="A1191">
        <v>19</v>
      </c>
      <c r="B1191" t="s">
        <v>9</v>
      </c>
      <c r="C1191">
        <v>32.82</v>
      </c>
      <c r="D1191" t="s">
        <v>10</v>
      </c>
      <c r="E1191" t="s">
        <v>18</v>
      </c>
      <c r="F1191" t="s">
        <v>33</v>
      </c>
      <c r="G1191">
        <v>3</v>
      </c>
      <c r="H1191">
        <v>8</v>
      </c>
      <c r="I1191" s="13">
        <v>45518</v>
      </c>
      <c r="J1191" s="13" t="str">
        <f>TEXT(Table1[[#This Row],[Date]],"[$-en-US]mmm yyyy")</f>
        <v>Aug 2024</v>
      </c>
      <c r="K1191" s="13" t="str">
        <f>TEXT(Table1[[#This Row],[Date]],"[$-en-US]ddd")</f>
        <v>Wed</v>
      </c>
    </row>
    <row r="1192" spans="1:11" x14ac:dyDescent="0.25">
      <c r="A1192">
        <v>19</v>
      </c>
      <c r="B1192" t="s">
        <v>9</v>
      </c>
      <c r="C1192">
        <v>23.02</v>
      </c>
      <c r="D1192" t="s">
        <v>22</v>
      </c>
      <c r="E1192" t="s">
        <v>18</v>
      </c>
      <c r="F1192" t="s">
        <v>33</v>
      </c>
      <c r="G1192">
        <v>3</v>
      </c>
      <c r="H1192">
        <v>8</v>
      </c>
      <c r="I1192" s="13">
        <v>45518</v>
      </c>
      <c r="J1192" s="13" t="str">
        <f>TEXT(Table1[[#This Row],[Date]],"[$-en-US]mmm yyyy")</f>
        <v>Aug 2024</v>
      </c>
      <c r="K1192" s="13" t="str">
        <f>TEXT(Table1[[#This Row],[Date]],"[$-en-US]ddd")</f>
        <v>Wed</v>
      </c>
    </row>
    <row r="1193" spans="1:11" x14ac:dyDescent="0.25">
      <c r="A1193">
        <v>21</v>
      </c>
      <c r="B1193" t="s">
        <v>9</v>
      </c>
      <c r="C1193">
        <v>32.82</v>
      </c>
      <c r="D1193" t="s">
        <v>10</v>
      </c>
      <c r="E1193" t="s">
        <v>18</v>
      </c>
      <c r="F1193" t="s">
        <v>33</v>
      </c>
      <c r="G1193">
        <v>3</v>
      </c>
      <c r="H1193">
        <v>8</v>
      </c>
      <c r="I1193" s="13">
        <v>45518</v>
      </c>
      <c r="J1193" s="13" t="str">
        <f>TEXT(Table1[[#This Row],[Date]],"[$-en-US]mmm yyyy")</f>
        <v>Aug 2024</v>
      </c>
      <c r="K1193" s="13" t="str">
        <f>TEXT(Table1[[#This Row],[Date]],"[$-en-US]ddd")</f>
        <v>Wed</v>
      </c>
    </row>
    <row r="1194" spans="1:11" x14ac:dyDescent="0.25">
      <c r="A1194">
        <v>9</v>
      </c>
      <c r="B1194" t="s">
        <v>9</v>
      </c>
      <c r="C1194">
        <v>23.02</v>
      </c>
      <c r="D1194" t="s">
        <v>22</v>
      </c>
      <c r="E1194" t="s">
        <v>11</v>
      </c>
      <c r="F1194" t="s">
        <v>33</v>
      </c>
      <c r="G1194">
        <v>4</v>
      </c>
      <c r="H1194">
        <v>8</v>
      </c>
      <c r="I1194" s="13">
        <v>45519</v>
      </c>
      <c r="J1194" s="13" t="str">
        <f>TEXT(Table1[[#This Row],[Date]],"[$-en-US]mmm yyyy")</f>
        <v>Aug 2024</v>
      </c>
      <c r="K1194" s="13" t="str">
        <f>TEXT(Table1[[#This Row],[Date]],"[$-en-US]ddd")</f>
        <v>Thu</v>
      </c>
    </row>
    <row r="1195" spans="1:11" x14ac:dyDescent="0.25">
      <c r="A1195">
        <v>9</v>
      </c>
      <c r="B1195" t="s">
        <v>9</v>
      </c>
      <c r="C1195">
        <v>32.82</v>
      </c>
      <c r="D1195" t="s">
        <v>27</v>
      </c>
      <c r="E1195" t="s">
        <v>11</v>
      </c>
      <c r="F1195" t="s">
        <v>33</v>
      </c>
      <c r="G1195">
        <v>4</v>
      </c>
      <c r="H1195">
        <v>8</v>
      </c>
      <c r="I1195" s="13">
        <v>45519</v>
      </c>
      <c r="J1195" s="13" t="str">
        <f>TEXT(Table1[[#This Row],[Date]],"[$-en-US]mmm yyyy")</f>
        <v>Aug 2024</v>
      </c>
      <c r="K1195" s="13" t="str">
        <f>TEXT(Table1[[#This Row],[Date]],"[$-en-US]ddd")</f>
        <v>Thu</v>
      </c>
    </row>
    <row r="1196" spans="1:11" x14ac:dyDescent="0.25">
      <c r="A1196">
        <v>9</v>
      </c>
      <c r="B1196" t="s">
        <v>9</v>
      </c>
      <c r="C1196">
        <v>32.82</v>
      </c>
      <c r="D1196" t="s">
        <v>14</v>
      </c>
      <c r="E1196" t="s">
        <v>11</v>
      </c>
      <c r="F1196" t="s">
        <v>33</v>
      </c>
      <c r="G1196">
        <v>4</v>
      </c>
      <c r="H1196">
        <v>8</v>
      </c>
      <c r="I1196" s="13">
        <v>45519</v>
      </c>
      <c r="J1196" s="13" t="str">
        <f>TEXT(Table1[[#This Row],[Date]],"[$-en-US]mmm yyyy")</f>
        <v>Aug 2024</v>
      </c>
      <c r="K1196" s="13" t="str">
        <f>TEXT(Table1[[#This Row],[Date]],"[$-en-US]ddd")</f>
        <v>Thu</v>
      </c>
    </row>
    <row r="1197" spans="1:11" x14ac:dyDescent="0.25">
      <c r="A1197">
        <v>9</v>
      </c>
      <c r="B1197" t="s">
        <v>9</v>
      </c>
      <c r="C1197">
        <v>32.82</v>
      </c>
      <c r="D1197" t="s">
        <v>10</v>
      </c>
      <c r="E1197" t="s">
        <v>11</v>
      </c>
      <c r="F1197" t="s">
        <v>33</v>
      </c>
      <c r="G1197">
        <v>4</v>
      </c>
      <c r="H1197">
        <v>8</v>
      </c>
      <c r="I1197" s="13">
        <v>45519</v>
      </c>
      <c r="J1197" s="13" t="str">
        <f>TEXT(Table1[[#This Row],[Date]],"[$-en-US]mmm yyyy")</f>
        <v>Aug 2024</v>
      </c>
      <c r="K1197" s="13" t="str">
        <f>TEXT(Table1[[#This Row],[Date]],"[$-en-US]ddd")</f>
        <v>Thu</v>
      </c>
    </row>
    <row r="1198" spans="1:11" x14ac:dyDescent="0.25">
      <c r="A1198">
        <v>12</v>
      </c>
      <c r="B1198" t="s">
        <v>9</v>
      </c>
      <c r="C1198">
        <v>32.82</v>
      </c>
      <c r="D1198" t="s">
        <v>10</v>
      </c>
      <c r="E1198" t="s">
        <v>15</v>
      </c>
      <c r="F1198" t="s">
        <v>33</v>
      </c>
      <c r="G1198">
        <v>4</v>
      </c>
      <c r="H1198">
        <v>8</v>
      </c>
      <c r="I1198" s="13">
        <v>45519</v>
      </c>
      <c r="J1198" s="13" t="str">
        <f>TEXT(Table1[[#This Row],[Date]],"[$-en-US]mmm yyyy")</f>
        <v>Aug 2024</v>
      </c>
      <c r="K1198" s="13" t="str">
        <f>TEXT(Table1[[#This Row],[Date]],"[$-en-US]ddd")</f>
        <v>Thu</v>
      </c>
    </row>
    <row r="1199" spans="1:11" x14ac:dyDescent="0.25">
      <c r="A1199">
        <v>13</v>
      </c>
      <c r="B1199" t="s">
        <v>9</v>
      </c>
      <c r="C1199">
        <v>32.82</v>
      </c>
      <c r="D1199" t="s">
        <v>10</v>
      </c>
      <c r="E1199" t="s">
        <v>15</v>
      </c>
      <c r="F1199" t="s">
        <v>33</v>
      </c>
      <c r="G1199">
        <v>4</v>
      </c>
      <c r="H1199">
        <v>8</v>
      </c>
      <c r="I1199" s="13">
        <v>45519</v>
      </c>
      <c r="J1199" s="13" t="str">
        <f>TEXT(Table1[[#This Row],[Date]],"[$-en-US]mmm yyyy")</f>
        <v>Aug 2024</v>
      </c>
      <c r="K1199" s="13" t="str">
        <f>TEXT(Table1[[#This Row],[Date]],"[$-en-US]ddd")</f>
        <v>Thu</v>
      </c>
    </row>
    <row r="1200" spans="1:11" x14ac:dyDescent="0.25">
      <c r="A1200">
        <v>14</v>
      </c>
      <c r="B1200" t="s">
        <v>9</v>
      </c>
      <c r="C1200">
        <v>23.02</v>
      </c>
      <c r="D1200" t="s">
        <v>16</v>
      </c>
      <c r="E1200" t="s">
        <v>15</v>
      </c>
      <c r="F1200" t="s">
        <v>33</v>
      </c>
      <c r="G1200">
        <v>4</v>
      </c>
      <c r="H1200">
        <v>8</v>
      </c>
      <c r="I1200" s="13">
        <v>45519</v>
      </c>
      <c r="J1200" s="13" t="str">
        <f>TEXT(Table1[[#This Row],[Date]],"[$-en-US]mmm yyyy")</f>
        <v>Aug 2024</v>
      </c>
      <c r="K1200" s="13" t="str">
        <f>TEXT(Table1[[#This Row],[Date]],"[$-en-US]ddd")</f>
        <v>Thu</v>
      </c>
    </row>
    <row r="1201" spans="1:11" x14ac:dyDescent="0.25">
      <c r="A1201">
        <v>14</v>
      </c>
      <c r="B1201" t="s">
        <v>9</v>
      </c>
      <c r="C1201">
        <v>18.12</v>
      </c>
      <c r="D1201" t="s">
        <v>24</v>
      </c>
      <c r="E1201" t="s">
        <v>15</v>
      </c>
      <c r="F1201" t="s">
        <v>33</v>
      </c>
      <c r="G1201">
        <v>4</v>
      </c>
      <c r="H1201">
        <v>8</v>
      </c>
      <c r="I1201" s="13">
        <v>45519</v>
      </c>
      <c r="J1201" s="13" t="str">
        <f>TEXT(Table1[[#This Row],[Date]],"[$-en-US]mmm yyyy")</f>
        <v>Aug 2024</v>
      </c>
      <c r="K1201" s="13" t="str">
        <f>TEXT(Table1[[#This Row],[Date]],"[$-en-US]ddd")</f>
        <v>Thu</v>
      </c>
    </row>
    <row r="1202" spans="1:11" x14ac:dyDescent="0.25">
      <c r="A1202">
        <v>17</v>
      </c>
      <c r="B1202" t="s">
        <v>9</v>
      </c>
      <c r="C1202">
        <v>27.92</v>
      </c>
      <c r="D1202" t="s">
        <v>17</v>
      </c>
      <c r="E1202" t="s">
        <v>18</v>
      </c>
      <c r="F1202" t="s">
        <v>33</v>
      </c>
      <c r="G1202">
        <v>4</v>
      </c>
      <c r="H1202">
        <v>8</v>
      </c>
      <c r="I1202" s="13">
        <v>45519</v>
      </c>
      <c r="J1202" s="13" t="str">
        <f>TEXT(Table1[[#This Row],[Date]],"[$-en-US]mmm yyyy")</f>
        <v>Aug 2024</v>
      </c>
      <c r="K1202" s="13" t="str">
        <f>TEXT(Table1[[#This Row],[Date]],"[$-en-US]ddd")</f>
        <v>Thu</v>
      </c>
    </row>
    <row r="1203" spans="1:11" x14ac:dyDescent="0.25">
      <c r="A1203">
        <v>19</v>
      </c>
      <c r="B1203" t="s">
        <v>9</v>
      </c>
      <c r="C1203">
        <v>32.82</v>
      </c>
      <c r="D1203" t="s">
        <v>14</v>
      </c>
      <c r="E1203" t="s">
        <v>18</v>
      </c>
      <c r="F1203" t="s">
        <v>33</v>
      </c>
      <c r="G1203">
        <v>4</v>
      </c>
      <c r="H1203">
        <v>8</v>
      </c>
      <c r="I1203" s="13">
        <v>45519</v>
      </c>
      <c r="J1203" s="13" t="str">
        <f>TEXT(Table1[[#This Row],[Date]],"[$-en-US]mmm yyyy")</f>
        <v>Aug 2024</v>
      </c>
      <c r="K1203" s="13" t="str">
        <f>TEXT(Table1[[#This Row],[Date]],"[$-en-US]ddd")</f>
        <v>Thu</v>
      </c>
    </row>
    <row r="1204" spans="1:11" x14ac:dyDescent="0.25">
      <c r="A1204">
        <v>19</v>
      </c>
      <c r="B1204" t="s">
        <v>9</v>
      </c>
      <c r="C1204">
        <v>27.92</v>
      </c>
      <c r="D1204" t="s">
        <v>17</v>
      </c>
      <c r="E1204" t="s">
        <v>18</v>
      </c>
      <c r="F1204" t="s">
        <v>33</v>
      </c>
      <c r="G1204">
        <v>4</v>
      </c>
      <c r="H1204">
        <v>8</v>
      </c>
      <c r="I1204" s="13">
        <v>45519</v>
      </c>
      <c r="J1204" s="13" t="str">
        <f>TEXT(Table1[[#This Row],[Date]],"[$-en-US]mmm yyyy")</f>
        <v>Aug 2024</v>
      </c>
      <c r="K1204" s="13" t="str">
        <f>TEXT(Table1[[#This Row],[Date]],"[$-en-US]ddd")</f>
        <v>Thu</v>
      </c>
    </row>
    <row r="1205" spans="1:11" x14ac:dyDescent="0.25">
      <c r="A1205">
        <v>19</v>
      </c>
      <c r="B1205" t="s">
        <v>9</v>
      </c>
      <c r="C1205">
        <v>27.92</v>
      </c>
      <c r="D1205" t="s">
        <v>17</v>
      </c>
      <c r="E1205" t="s">
        <v>18</v>
      </c>
      <c r="F1205" t="s">
        <v>33</v>
      </c>
      <c r="G1205">
        <v>4</v>
      </c>
      <c r="H1205">
        <v>8</v>
      </c>
      <c r="I1205" s="13">
        <v>45519</v>
      </c>
      <c r="J1205" s="13" t="str">
        <f>TEXT(Table1[[#This Row],[Date]],"[$-en-US]mmm yyyy")</f>
        <v>Aug 2024</v>
      </c>
      <c r="K1205" s="13" t="str">
        <f>TEXT(Table1[[#This Row],[Date]],"[$-en-US]ddd")</f>
        <v>Thu</v>
      </c>
    </row>
    <row r="1206" spans="1:11" x14ac:dyDescent="0.25">
      <c r="A1206">
        <v>19</v>
      </c>
      <c r="B1206" t="s">
        <v>9</v>
      </c>
      <c r="C1206">
        <v>23.02</v>
      </c>
      <c r="D1206" t="s">
        <v>16</v>
      </c>
      <c r="E1206" t="s">
        <v>18</v>
      </c>
      <c r="F1206" t="s">
        <v>33</v>
      </c>
      <c r="G1206">
        <v>4</v>
      </c>
      <c r="H1206">
        <v>8</v>
      </c>
      <c r="I1206" s="13">
        <v>45519</v>
      </c>
      <c r="J1206" s="13" t="str">
        <f>TEXT(Table1[[#This Row],[Date]],"[$-en-US]mmm yyyy")</f>
        <v>Aug 2024</v>
      </c>
      <c r="K1206" s="13" t="str">
        <f>TEXT(Table1[[#This Row],[Date]],"[$-en-US]ddd")</f>
        <v>Thu</v>
      </c>
    </row>
    <row r="1207" spans="1:11" x14ac:dyDescent="0.25">
      <c r="A1207">
        <v>20</v>
      </c>
      <c r="B1207" t="s">
        <v>9</v>
      </c>
      <c r="C1207">
        <v>32.82</v>
      </c>
      <c r="D1207" t="s">
        <v>27</v>
      </c>
      <c r="E1207" t="s">
        <v>18</v>
      </c>
      <c r="F1207" t="s">
        <v>33</v>
      </c>
      <c r="G1207">
        <v>4</v>
      </c>
      <c r="H1207">
        <v>8</v>
      </c>
      <c r="I1207" s="13">
        <v>45519</v>
      </c>
      <c r="J1207" s="13" t="str">
        <f>TEXT(Table1[[#This Row],[Date]],"[$-en-US]mmm yyyy")</f>
        <v>Aug 2024</v>
      </c>
      <c r="K1207" s="13" t="str">
        <f>TEXT(Table1[[#This Row],[Date]],"[$-en-US]ddd")</f>
        <v>Thu</v>
      </c>
    </row>
    <row r="1208" spans="1:11" x14ac:dyDescent="0.25">
      <c r="A1208">
        <v>21</v>
      </c>
      <c r="B1208" t="s">
        <v>9</v>
      </c>
      <c r="C1208">
        <v>18.12</v>
      </c>
      <c r="D1208" t="s">
        <v>24</v>
      </c>
      <c r="E1208" t="s">
        <v>18</v>
      </c>
      <c r="F1208" t="s">
        <v>33</v>
      </c>
      <c r="G1208">
        <v>4</v>
      </c>
      <c r="H1208">
        <v>8</v>
      </c>
      <c r="I1208" s="13">
        <v>45519</v>
      </c>
      <c r="J1208" s="13" t="str">
        <f>TEXT(Table1[[#This Row],[Date]],"[$-en-US]mmm yyyy")</f>
        <v>Aug 2024</v>
      </c>
      <c r="K1208" s="13" t="str">
        <f>TEXT(Table1[[#This Row],[Date]],"[$-en-US]ddd")</f>
        <v>Thu</v>
      </c>
    </row>
    <row r="1209" spans="1:11" x14ac:dyDescent="0.25">
      <c r="A1209">
        <v>21</v>
      </c>
      <c r="B1209" t="s">
        <v>9</v>
      </c>
      <c r="C1209">
        <v>27.92</v>
      </c>
      <c r="D1209" t="s">
        <v>17</v>
      </c>
      <c r="E1209" t="s">
        <v>18</v>
      </c>
      <c r="F1209" t="s">
        <v>33</v>
      </c>
      <c r="G1209">
        <v>4</v>
      </c>
      <c r="H1209">
        <v>8</v>
      </c>
      <c r="I1209" s="13">
        <v>45519</v>
      </c>
      <c r="J1209" s="13" t="str">
        <f>TEXT(Table1[[#This Row],[Date]],"[$-en-US]mmm yyyy")</f>
        <v>Aug 2024</v>
      </c>
      <c r="K1209" s="13" t="str">
        <f>TEXT(Table1[[#This Row],[Date]],"[$-en-US]ddd")</f>
        <v>Thu</v>
      </c>
    </row>
    <row r="1210" spans="1:11" x14ac:dyDescent="0.25">
      <c r="A1210">
        <v>12</v>
      </c>
      <c r="B1210" t="s">
        <v>9</v>
      </c>
      <c r="C1210">
        <v>32.82</v>
      </c>
      <c r="D1210" t="s">
        <v>10</v>
      </c>
      <c r="E1210" t="s">
        <v>15</v>
      </c>
      <c r="F1210" t="s">
        <v>33</v>
      </c>
      <c r="G1210">
        <v>5</v>
      </c>
      <c r="H1210">
        <v>8</v>
      </c>
      <c r="I1210" s="13">
        <v>45520</v>
      </c>
      <c r="J1210" s="13" t="str">
        <f>TEXT(Table1[[#This Row],[Date]],"[$-en-US]mmm yyyy")</f>
        <v>Aug 2024</v>
      </c>
      <c r="K1210" s="13" t="str">
        <f>TEXT(Table1[[#This Row],[Date]],"[$-en-US]ddd")</f>
        <v>Fri</v>
      </c>
    </row>
    <row r="1211" spans="1:11" x14ac:dyDescent="0.25">
      <c r="A1211">
        <v>12</v>
      </c>
      <c r="B1211" t="s">
        <v>9</v>
      </c>
      <c r="C1211">
        <v>23.02</v>
      </c>
      <c r="D1211" t="s">
        <v>16</v>
      </c>
      <c r="E1211" t="s">
        <v>15</v>
      </c>
      <c r="F1211" t="s">
        <v>33</v>
      </c>
      <c r="G1211">
        <v>5</v>
      </c>
      <c r="H1211">
        <v>8</v>
      </c>
      <c r="I1211" s="13">
        <v>45520</v>
      </c>
      <c r="J1211" s="13" t="str">
        <f>TEXT(Table1[[#This Row],[Date]],"[$-en-US]mmm yyyy")</f>
        <v>Aug 2024</v>
      </c>
      <c r="K1211" s="13" t="str">
        <f>TEXT(Table1[[#This Row],[Date]],"[$-en-US]ddd")</f>
        <v>Fri</v>
      </c>
    </row>
    <row r="1212" spans="1:11" x14ac:dyDescent="0.25">
      <c r="A1212">
        <v>13</v>
      </c>
      <c r="B1212" t="s">
        <v>9</v>
      </c>
      <c r="C1212">
        <v>27.92</v>
      </c>
      <c r="D1212" t="s">
        <v>17</v>
      </c>
      <c r="E1212" t="s">
        <v>15</v>
      </c>
      <c r="F1212" t="s">
        <v>33</v>
      </c>
      <c r="G1212">
        <v>5</v>
      </c>
      <c r="H1212">
        <v>8</v>
      </c>
      <c r="I1212" s="13">
        <v>45520</v>
      </c>
      <c r="J1212" s="13" t="str">
        <f>TEXT(Table1[[#This Row],[Date]],"[$-en-US]mmm yyyy")</f>
        <v>Aug 2024</v>
      </c>
      <c r="K1212" s="13" t="str">
        <f>TEXT(Table1[[#This Row],[Date]],"[$-en-US]ddd")</f>
        <v>Fri</v>
      </c>
    </row>
    <row r="1213" spans="1:11" x14ac:dyDescent="0.25">
      <c r="A1213">
        <v>15</v>
      </c>
      <c r="B1213" t="s">
        <v>9</v>
      </c>
      <c r="C1213">
        <v>18.12</v>
      </c>
      <c r="D1213" t="s">
        <v>24</v>
      </c>
      <c r="E1213" t="s">
        <v>15</v>
      </c>
      <c r="F1213" t="s">
        <v>33</v>
      </c>
      <c r="G1213">
        <v>5</v>
      </c>
      <c r="H1213">
        <v>8</v>
      </c>
      <c r="I1213" s="13">
        <v>45520</v>
      </c>
      <c r="J1213" s="13" t="str">
        <f>TEXT(Table1[[#This Row],[Date]],"[$-en-US]mmm yyyy")</f>
        <v>Aug 2024</v>
      </c>
      <c r="K1213" s="13" t="str">
        <f>TEXT(Table1[[#This Row],[Date]],"[$-en-US]ddd")</f>
        <v>Fri</v>
      </c>
    </row>
    <row r="1214" spans="1:11" x14ac:dyDescent="0.25">
      <c r="A1214">
        <v>15</v>
      </c>
      <c r="B1214" t="s">
        <v>9</v>
      </c>
      <c r="C1214">
        <v>18.12</v>
      </c>
      <c r="D1214" t="s">
        <v>24</v>
      </c>
      <c r="E1214" t="s">
        <v>15</v>
      </c>
      <c r="F1214" t="s">
        <v>33</v>
      </c>
      <c r="G1214">
        <v>5</v>
      </c>
      <c r="H1214">
        <v>8</v>
      </c>
      <c r="I1214" s="13">
        <v>45520</v>
      </c>
      <c r="J1214" s="13" t="str">
        <f>TEXT(Table1[[#This Row],[Date]],"[$-en-US]mmm yyyy")</f>
        <v>Aug 2024</v>
      </c>
      <c r="K1214" s="13" t="str">
        <f>TEXT(Table1[[#This Row],[Date]],"[$-en-US]ddd")</f>
        <v>Fri</v>
      </c>
    </row>
    <row r="1215" spans="1:11" x14ac:dyDescent="0.25">
      <c r="A1215">
        <v>9</v>
      </c>
      <c r="B1215" t="s">
        <v>9</v>
      </c>
      <c r="C1215">
        <v>27.92</v>
      </c>
      <c r="D1215" t="s">
        <v>17</v>
      </c>
      <c r="E1215" t="s">
        <v>11</v>
      </c>
      <c r="F1215" t="s">
        <v>33</v>
      </c>
      <c r="G1215">
        <v>6</v>
      </c>
      <c r="H1215">
        <v>8</v>
      </c>
      <c r="I1215" s="13">
        <v>45521</v>
      </c>
      <c r="J1215" s="13" t="str">
        <f>TEXT(Table1[[#This Row],[Date]],"[$-en-US]mmm yyyy")</f>
        <v>Aug 2024</v>
      </c>
      <c r="K1215" s="13" t="str">
        <f>TEXT(Table1[[#This Row],[Date]],"[$-en-US]ddd")</f>
        <v>Sat</v>
      </c>
    </row>
    <row r="1216" spans="1:11" x14ac:dyDescent="0.25">
      <c r="A1216">
        <v>9</v>
      </c>
      <c r="B1216" t="s">
        <v>9</v>
      </c>
      <c r="C1216">
        <v>32.82</v>
      </c>
      <c r="D1216" t="s">
        <v>27</v>
      </c>
      <c r="E1216" t="s">
        <v>11</v>
      </c>
      <c r="F1216" t="s">
        <v>33</v>
      </c>
      <c r="G1216">
        <v>6</v>
      </c>
      <c r="H1216">
        <v>8</v>
      </c>
      <c r="I1216" s="13">
        <v>45521</v>
      </c>
      <c r="J1216" s="13" t="str">
        <f>TEXT(Table1[[#This Row],[Date]],"[$-en-US]mmm yyyy")</f>
        <v>Aug 2024</v>
      </c>
      <c r="K1216" s="13" t="str">
        <f>TEXT(Table1[[#This Row],[Date]],"[$-en-US]ddd")</f>
        <v>Sat</v>
      </c>
    </row>
    <row r="1217" spans="1:11" x14ac:dyDescent="0.25">
      <c r="A1217">
        <v>10</v>
      </c>
      <c r="B1217" t="s">
        <v>9</v>
      </c>
      <c r="C1217">
        <v>27.92</v>
      </c>
      <c r="D1217" t="s">
        <v>17</v>
      </c>
      <c r="E1217" t="s">
        <v>11</v>
      </c>
      <c r="F1217" t="s">
        <v>33</v>
      </c>
      <c r="G1217">
        <v>6</v>
      </c>
      <c r="H1217">
        <v>8</v>
      </c>
      <c r="I1217" s="13">
        <v>45521</v>
      </c>
      <c r="J1217" s="13" t="str">
        <f>TEXT(Table1[[#This Row],[Date]],"[$-en-US]mmm yyyy")</f>
        <v>Aug 2024</v>
      </c>
      <c r="K1217" s="13" t="str">
        <f>TEXT(Table1[[#This Row],[Date]],"[$-en-US]ddd")</f>
        <v>Sat</v>
      </c>
    </row>
    <row r="1218" spans="1:11" x14ac:dyDescent="0.25">
      <c r="A1218">
        <v>11</v>
      </c>
      <c r="B1218" t="s">
        <v>9</v>
      </c>
      <c r="C1218">
        <v>23.02</v>
      </c>
      <c r="D1218" t="s">
        <v>22</v>
      </c>
      <c r="E1218" t="s">
        <v>11</v>
      </c>
      <c r="F1218" t="s">
        <v>33</v>
      </c>
      <c r="G1218">
        <v>6</v>
      </c>
      <c r="H1218">
        <v>8</v>
      </c>
      <c r="I1218" s="13">
        <v>45521</v>
      </c>
      <c r="J1218" s="13" t="str">
        <f>TEXT(Table1[[#This Row],[Date]],"[$-en-US]mmm yyyy")</f>
        <v>Aug 2024</v>
      </c>
      <c r="K1218" s="13" t="str">
        <f>TEXT(Table1[[#This Row],[Date]],"[$-en-US]ddd")</f>
        <v>Sat</v>
      </c>
    </row>
    <row r="1219" spans="1:11" x14ac:dyDescent="0.25">
      <c r="A1219">
        <v>11</v>
      </c>
      <c r="B1219" t="s">
        <v>9</v>
      </c>
      <c r="C1219">
        <v>23.02</v>
      </c>
      <c r="D1219" t="s">
        <v>22</v>
      </c>
      <c r="E1219" t="s">
        <v>11</v>
      </c>
      <c r="F1219" t="s">
        <v>33</v>
      </c>
      <c r="G1219">
        <v>6</v>
      </c>
      <c r="H1219">
        <v>8</v>
      </c>
      <c r="I1219" s="13">
        <v>45521</v>
      </c>
      <c r="J1219" s="13" t="str">
        <f>TEXT(Table1[[#This Row],[Date]],"[$-en-US]mmm yyyy")</f>
        <v>Aug 2024</v>
      </c>
      <c r="K1219" s="13" t="str">
        <f>TEXT(Table1[[#This Row],[Date]],"[$-en-US]ddd")</f>
        <v>Sat</v>
      </c>
    </row>
    <row r="1220" spans="1:11" x14ac:dyDescent="0.25">
      <c r="A1220">
        <v>13</v>
      </c>
      <c r="B1220" t="s">
        <v>9</v>
      </c>
      <c r="C1220">
        <v>27.92</v>
      </c>
      <c r="D1220" t="s">
        <v>17</v>
      </c>
      <c r="E1220" t="s">
        <v>15</v>
      </c>
      <c r="F1220" t="s">
        <v>33</v>
      </c>
      <c r="G1220">
        <v>6</v>
      </c>
      <c r="H1220">
        <v>8</v>
      </c>
      <c r="I1220" s="13">
        <v>45521</v>
      </c>
      <c r="J1220" s="13" t="str">
        <f>TEXT(Table1[[#This Row],[Date]],"[$-en-US]mmm yyyy")</f>
        <v>Aug 2024</v>
      </c>
      <c r="K1220" s="13" t="str">
        <f>TEXT(Table1[[#This Row],[Date]],"[$-en-US]ddd")</f>
        <v>Sat</v>
      </c>
    </row>
    <row r="1221" spans="1:11" x14ac:dyDescent="0.25">
      <c r="A1221">
        <v>16</v>
      </c>
      <c r="B1221" t="s">
        <v>9</v>
      </c>
      <c r="C1221">
        <v>23.02</v>
      </c>
      <c r="D1221" t="s">
        <v>22</v>
      </c>
      <c r="E1221" t="s">
        <v>15</v>
      </c>
      <c r="F1221" t="s">
        <v>33</v>
      </c>
      <c r="G1221">
        <v>6</v>
      </c>
      <c r="H1221">
        <v>8</v>
      </c>
      <c r="I1221" s="13">
        <v>45521</v>
      </c>
      <c r="J1221" s="13" t="str">
        <f>TEXT(Table1[[#This Row],[Date]],"[$-en-US]mmm yyyy")</f>
        <v>Aug 2024</v>
      </c>
      <c r="K1221" s="13" t="str">
        <f>TEXT(Table1[[#This Row],[Date]],"[$-en-US]ddd")</f>
        <v>Sat</v>
      </c>
    </row>
    <row r="1222" spans="1:11" x14ac:dyDescent="0.25">
      <c r="A1222">
        <v>16</v>
      </c>
      <c r="B1222" t="s">
        <v>9</v>
      </c>
      <c r="C1222">
        <v>32.82</v>
      </c>
      <c r="D1222" t="s">
        <v>10</v>
      </c>
      <c r="E1222" t="s">
        <v>15</v>
      </c>
      <c r="F1222" t="s">
        <v>33</v>
      </c>
      <c r="G1222">
        <v>6</v>
      </c>
      <c r="H1222">
        <v>8</v>
      </c>
      <c r="I1222" s="13">
        <v>45521</v>
      </c>
      <c r="J1222" s="13" t="str">
        <f>TEXT(Table1[[#This Row],[Date]],"[$-en-US]mmm yyyy")</f>
        <v>Aug 2024</v>
      </c>
      <c r="K1222" s="13" t="str">
        <f>TEXT(Table1[[#This Row],[Date]],"[$-en-US]ddd")</f>
        <v>Sat</v>
      </c>
    </row>
    <row r="1223" spans="1:11" x14ac:dyDescent="0.25">
      <c r="A1223">
        <v>18</v>
      </c>
      <c r="B1223" t="s">
        <v>9</v>
      </c>
      <c r="C1223">
        <v>32.82</v>
      </c>
      <c r="D1223" t="s">
        <v>27</v>
      </c>
      <c r="E1223" t="s">
        <v>18</v>
      </c>
      <c r="F1223" t="s">
        <v>33</v>
      </c>
      <c r="G1223">
        <v>6</v>
      </c>
      <c r="H1223">
        <v>8</v>
      </c>
      <c r="I1223" s="13">
        <v>45521</v>
      </c>
      <c r="J1223" s="13" t="str">
        <f>TEXT(Table1[[#This Row],[Date]],"[$-en-US]mmm yyyy")</f>
        <v>Aug 2024</v>
      </c>
      <c r="K1223" s="13" t="str">
        <f>TEXT(Table1[[#This Row],[Date]],"[$-en-US]ddd")</f>
        <v>Sat</v>
      </c>
    </row>
    <row r="1224" spans="1:11" x14ac:dyDescent="0.25">
      <c r="A1224">
        <v>21</v>
      </c>
      <c r="B1224" t="s">
        <v>9</v>
      </c>
      <c r="C1224">
        <v>27.92</v>
      </c>
      <c r="D1224" t="s">
        <v>17</v>
      </c>
      <c r="E1224" t="s">
        <v>18</v>
      </c>
      <c r="F1224" t="s">
        <v>33</v>
      </c>
      <c r="G1224">
        <v>6</v>
      </c>
      <c r="H1224">
        <v>8</v>
      </c>
      <c r="I1224" s="13">
        <v>45521</v>
      </c>
      <c r="J1224" s="13" t="str">
        <f>TEXT(Table1[[#This Row],[Date]],"[$-en-US]mmm yyyy")</f>
        <v>Aug 2024</v>
      </c>
      <c r="K1224" s="13" t="str">
        <f>TEXT(Table1[[#This Row],[Date]],"[$-en-US]ddd")</f>
        <v>Sat</v>
      </c>
    </row>
    <row r="1225" spans="1:11" x14ac:dyDescent="0.25">
      <c r="A1225">
        <v>22</v>
      </c>
      <c r="B1225" t="s">
        <v>9</v>
      </c>
      <c r="C1225">
        <v>32.82</v>
      </c>
      <c r="D1225" t="s">
        <v>10</v>
      </c>
      <c r="E1225" t="s">
        <v>18</v>
      </c>
      <c r="F1225" t="s">
        <v>33</v>
      </c>
      <c r="G1225">
        <v>6</v>
      </c>
      <c r="H1225">
        <v>8</v>
      </c>
      <c r="I1225" s="13">
        <v>45521</v>
      </c>
      <c r="J1225" s="13" t="str">
        <f>TEXT(Table1[[#This Row],[Date]],"[$-en-US]mmm yyyy")</f>
        <v>Aug 2024</v>
      </c>
      <c r="K1225" s="13" t="str">
        <f>TEXT(Table1[[#This Row],[Date]],"[$-en-US]ddd")</f>
        <v>Sat</v>
      </c>
    </row>
    <row r="1226" spans="1:11" x14ac:dyDescent="0.25">
      <c r="A1226">
        <v>8</v>
      </c>
      <c r="B1226" t="s">
        <v>9</v>
      </c>
      <c r="C1226">
        <v>32.82</v>
      </c>
      <c r="D1226" t="s">
        <v>27</v>
      </c>
      <c r="E1226" t="s">
        <v>11</v>
      </c>
      <c r="F1226" t="s">
        <v>33</v>
      </c>
      <c r="G1226">
        <v>7</v>
      </c>
      <c r="H1226">
        <v>8</v>
      </c>
      <c r="I1226" s="13">
        <v>45522</v>
      </c>
      <c r="J1226" s="13" t="str">
        <f>TEXT(Table1[[#This Row],[Date]],"[$-en-US]mmm yyyy")</f>
        <v>Aug 2024</v>
      </c>
      <c r="K1226" s="13" t="str">
        <f>TEXT(Table1[[#This Row],[Date]],"[$-en-US]ddd")</f>
        <v>Sun</v>
      </c>
    </row>
    <row r="1227" spans="1:11" x14ac:dyDescent="0.25">
      <c r="A1227">
        <v>8</v>
      </c>
      <c r="B1227" t="s">
        <v>9</v>
      </c>
      <c r="C1227">
        <v>32.82</v>
      </c>
      <c r="D1227" t="s">
        <v>27</v>
      </c>
      <c r="E1227" t="s">
        <v>11</v>
      </c>
      <c r="F1227" t="s">
        <v>33</v>
      </c>
      <c r="G1227">
        <v>7</v>
      </c>
      <c r="H1227">
        <v>8</v>
      </c>
      <c r="I1227" s="13">
        <v>45522</v>
      </c>
      <c r="J1227" s="13" t="str">
        <f>TEXT(Table1[[#This Row],[Date]],"[$-en-US]mmm yyyy")</f>
        <v>Aug 2024</v>
      </c>
      <c r="K1227" s="13" t="str">
        <f>TEXT(Table1[[#This Row],[Date]],"[$-en-US]ddd")</f>
        <v>Sun</v>
      </c>
    </row>
    <row r="1228" spans="1:11" x14ac:dyDescent="0.25">
      <c r="A1228">
        <v>8</v>
      </c>
      <c r="B1228" t="s">
        <v>9</v>
      </c>
      <c r="C1228">
        <v>23.02</v>
      </c>
      <c r="D1228" t="s">
        <v>22</v>
      </c>
      <c r="E1228" t="s">
        <v>11</v>
      </c>
      <c r="F1228" t="s">
        <v>33</v>
      </c>
      <c r="G1228">
        <v>7</v>
      </c>
      <c r="H1228">
        <v>8</v>
      </c>
      <c r="I1228" s="13">
        <v>45522</v>
      </c>
      <c r="J1228" s="13" t="str">
        <f>TEXT(Table1[[#This Row],[Date]],"[$-en-US]mmm yyyy")</f>
        <v>Aug 2024</v>
      </c>
      <c r="K1228" s="13" t="str">
        <f>TEXT(Table1[[#This Row],[Date]],"[$-en-US]ddd")</f>
        <v>Sun</v>
      </c>
    </row>
    <row r="1229" spans="1:11" x14ac:dyDescent="0.25">
      <c r="A1229">
        <v>8</v>
      </c>
      <c r="B1229" t="s">
        <v>9</v>
      </c>
      <c r="C1229">
        <v>27.92</v>
      </c>
      <c r="D1229" t="s">
        <v>17</v>
      </c>
      <c r="E1229" t="s">
        <v>11</v>
      </c>
      <c r="F1229" t="s">
        <v>33</v>
      </c>
      <c r="G1229">
        <v>7</v>
      </c>
      <c r="H1229">
        <v>8</v>
      </c>
      <c r="I1229" s="13">
        <v>45522</v>
      </c>
      <c r="J1229" s="13" t="str">
        <f>TEXT(Table1[[#This Row],[Date]],"[$-en-US]mmm yyyy")</f>
        <v>Aug 2024</v>
      </c>
      <c r="K1229" s="13" t="str">
        <f>TEXT(Table1[[#This Row],[Date]],"[$-en-US]ddd")</f>
        <v>Sun</v>
      </c>
    </row>
    <row r="1230" spans="1:11" x14ac:dyDescent="0.25">
      <c r="A1230">
        <v>12</v>
      </c>
      <c r="B1230" t="s">
        <v>9</v>
      </c>
      <c r="C1230">
        <v>32.82</v>
      </c>
      <c r="D1230" t="s">
        <v>27</v>
      </c>
      <c r="E1230" t="s">
        <v>15</v>
      </c>
      <c r="F1230" t="s">
        <v>33</v>
      </c>
      <c r="G1230">
        <v>7</v>
      </c>
      <c r="H1230">
        <v>8</v>
      </c>
      <c r="I1230" s="13">
        <v>45522</v>
      </c>
      <c r="J1230" s="13" t="str">
        <f>TEXT(Table1[[#This Row],[Date]],"[$-en-US]mmm yyyy")</f>
        <v>Aug 2024</v>
      </c>
      <c r="K1230" s="13" t="str">
        <f>TEXT(Table1[[#This Row],[Date]],"[$-en-US]ddd")</f>
        <v>Sun</v>
      </c>
    </row>
    <row r="1231" spans="1:11" x14ac:dyDescent="0.25">
      <c r="A1231">
        <v>14</v>
      </c>
      <c r="B1231" t="s">
        <v>9</v>
      </c>
      <c r="C1231">
        <v>27.92</v>
      </c>
      <c r="D1231" t="s">
        <v>17</v>
      </c>
      <c r="E1231" t="s">
        <v>15</v>
      </c>
      <c r="F1231" t="s">
        <v>33</v>
      </c>
      <c r="G1231">
        <v>7</v>
      </c>
      <c r="H1231">
        <v>8</v>
      </c>
      <c r="I1231" s="13">
        <v>45522</v>
      </c>
      <c r="J1231" s="13" t="str">
        <f>TEXT(Table1[[#This Row],[Date]],"[$-en-US]mmm yyyy")</f>
        <v>Aug 2024</v>
      </c>
      <c r="K1231" s="13" t="str">
        <f>TEXT(Table1[[#This Row],[Date]],"[$-en-US]ddd")</f>
        <v>Sun</v>
      </c>
    </row>
    <row r="1232" spans="1:11" x14ac:dyDescent="0.25">
      <c r="A1232">
        <v>18</v>
      </c>
      <c r="B1232" t="s">
        <v>9</v>
      </c>
      <c r="C1232">
        <v>27.92</v>
      </c>
      <c r="D1232" t="s">
        <v>17</v>
      </c>
      <c r="E1232" t="s">
        <v>18</v>
      </c>
      <c r="F1232" t="s">
        <v>33</v>
      </c>
      <c r="G1232">
        <v>7</v>
      </c>
      <c r="H1232">
        <v>8</v>
      </c>
      <c r="I1232" s="13">
        <v>45522</v>
      </c>
      <c r="J1232" s="13" t="str">
        <f>TEXT(Table1[[#This Row],[Date]],"[$-en-US]mmm yyyy")</f>
        <v>Aug 2024</v>
      </c>
      <c r="K1232" s="13" t="str">
        <f>TEXT(Table1[[#This Row],[Date]],"[$-en-US]ddd")</f>
        <v>Sun</v>
      </c>
    </row>
    <row r="1233" spans="1:11" x14ac:dyDescent="0.25">
      <c r="A1233">
        <v>18</v>
      </c>
      <c r="B1233" t="s">
        <v>9</v>
      </c>
      <c r="C1233">
        <v>27.92</v>
      </c>
      <c r="D1233" t="s">
        <v>17</v>
      </c>
      <c r="E1233" t="s">
        <v>18</v>
      </c>
      <c r="F1233" t="s">
        <v>33</v>
      </c>
      <c r="G1233">
        <v>7</v>
      </c>
      <c r="H1233">
        <v>8</v>
      </c>
      <c r="I1233" s="13">
        <v>45522</v>
      </c>
      <c r="J1233" s="13" t="str">
        <f>TEXT(Table1[[#This Row],[Date]],"[$-en-US]mmm yyyy")</f>
        <v>Aug 2024</v>
      </c>
      <c r="K1233" s="13" t="str">
        <f>TEXT(Table1[[#This Row],[Date]],"[$-en-US]ddd")</f>
        <v>Sun</v>
      </c>
    </row>
    <row r="1234" spans="1:11" x14ac:dyDescent="0.25">
      <c r="A1234">
        <v>18</v>
      </c>
      <c r="B1234" t="s">
        <v>9</v>
      </c>
      <c r="C1234">
        <v>23.02</v>
      </c>
      <c r="D1234" t="s">
        <v>16</v>
      </c>
      <c r="E1234" t="s">
        <v>18</v>
      </c>
      <c r="F1234" t="s">
        <v>33</v>
      </c>
      <c r="G1234">
        <v>7</v>
      </c>
      <c r="H1234">
        <v>8</v>
      </c>
      <c r="I1234" s="13">
        <v>45522</v>
      </c>
      <c r="J1234" s="13" t="str">
        <f>TEXT(Table1[[#This Row],[Date]],"[$-en-US]mmm yyyy")</f>
        <v>Aug 2024</v>
      </c>
      <c r="K1234" s="13" t="str">
        <f>TEXT(Table1[[#This Row],[Date]],"[$-en-US]ddd")</f>
        <v>Sun</v>
      </c>
    </row>
    <row r="1235" spans="1:11" x14ac:dyDescent="0.25">
      <c r="A1235">
        <v>18</v>
      </c>
      <c r="B1235" t="s">
        <v>9</v>
      </c>
      <c r="C1235">
        <v>23.02</v>
      </c>
      <c r="D1235" t="s">
        <v>16</v>
      </c>
      <c r="E1235" t="s">
        <v>18</v>
      </c>
      <c r="F1235" t="s">
        <v>33</v>
      </c>
      <c r="G1235">
        <v>7</v>
      </c>
      <c r="H1235">
        <v>8</v>
      </c>
      <c r="I1235" s="13">
        <v>45522</v>
      </c>
      <c r="J1235" s="13" t="str">
        <f>TEXT(Table1[[#This Row],[Date]],"[$-en-US]mmm yyyy")</f>
        <v>Aug 2024</v>
      </c>
      <c r="K1235" s="13" t="str">
        <f>TEXT(Table1[[#This Row],[Date]],"[$-en-US]ddd")</f>
        <v>Sun</v>
      </c>
    </row>
    <row r="1236" spans="1:11" x14ac:dyDescent="0.25">
      <c r="A1236">
        <v>15</v>
      </c>
      <c r="B1236" t="s">
        <v>9</v>
      </c>
      <c r="C1236">
        <v>27.92</v>
      </c>
      <c r="D1236" t="s">
        <v>17</v>
      </c>
      <c r="E1236" t="s">
        <v>15</v>
      </c>
      <c r="F1236" t="s">
        <v>33</v>
      </c>
      <c r="G1236">
        <v>1</v>
      </c>
      <c r="H1236">
        <v>8</v>
      </c>
      <c r="I1236" s="13">
        <v>45523</v>
      </c>
      <c r="J1236" s="13" t="str">
        <f>TEXT(Table1[[#This Row],[Date]],"[$-en-US]mmm yyyy")</f>
        <v>Aug 2024</v>
      </c>
      <c r="K1236" s="13" t="str">
        <f>TEXT(Table1[[#This Row],[Date]],"[$-en-US]ddd")</f>
        <v>Mon</v>
      </c>
    </row>
    <row r="1237" spans="1:11" x14ac:dyDescent="0.25">
      <c r="A1237">
        <v>15</v>
      </c>
      <c r="B1237" t="s">
        <v>9</v>
      </c>
      <c r="C1237">
        <v>27.92</v>
      </c>
      <c r="D1237" t="s">
        <v>17</v>
      </c>
      <c r="E1237" t="s">
        <v>15</v>
      </c>
      <c r="F1237" t="s">
        <v>33</v>
      </c>
      <c r="G1237">
        <v>1</v>
      </c>
      <c r="H1237">
        <v>8</v>
      </c>
      <c r="I1237" s="13">
        <v>45523</v>
      </c>
      <c r="J1237" s="13" t="str">
        <f>TEXT(Table1[[#This Row],[Date]],"[$-en-US]mmm yyyy")</f>
        <v>Aug 2024</v>
      </c>
      <c r="K1237" s="13" t="str">
        <f>TEXT(Table1[[#This Row],[Date]],"[$-en-US]ddd")</f>
        <v>Mon</v>
      </c>
    </row>
    <row r="1238" spans="1:11" x14ac:dyDescent="0.25">
      <c r="A1238">
        <v>21</v>
      </c>
      <c r="B1238" t="s">
        <v>9</v>
      </c>
      <c r="C1238">
        <v>32.82</v>
      </c>
      <c r="D1238" t="s">
        <v>10</v>
      </c>
      <c r="E1238" t="s">
        <v>18</v>
      </c>
      <c r="F1238" t="s">
        <v>33</v>
      </c>
      <c r="G1238">
        <v>1</v>
      </c>
      <c r="H1238">
        <v>8</v>
      </c>
      <c r="I1238" s="13">
        <v>45523</v>
      </c>
      <c r="J1238" s="13" t="str">
        <f>TEXT(Table1[[#This Row],[Date]],"[$-en-US]mmm yyyy")</f>
        <v>Aug 2024</v>
      </c>
      <c r="K1238" s="13" t="str">
        <f>TEXT(Table1[[#This Row],[Date]],"[$-en-US]ddd")</f>
        <v>Mon</v>
      </c>
    </row>
    <row r="1239" spans="1:11" x14ac:dyDescent="0.25">
      <c r="A1239">
        <v>21</v>
      </c>
      <c r="B1239" t="s">
        <v>9</v>
      </c>
      <c r="C1239">
        <v>32.82</v>
      </c>
      <c r="D1239" t="s">
        <v>19</v>
      </c>
      <c r="E1239" t="s">
        <v>18</v>
      </c>
      <c r="F1239" t="s">
        <v>33</v>
      </c>
      <c r="G1239">
        <v>1</v>
      </c>
      <c r="H1239">
        <v>8</v>
      </c>
      <c r="I1239" s="13">
        <v>45523</v>
      </c>
      <c r="J1239" s="13" t="str">
        <f>TEXT(Table1[[#This Row],[Date]],"[$-en-US]mmm yyyy")</f>
        <v>Aug 2024</v>
      </c>
      <c r="K1239" s="13" t="str">
        <f>TEXT(Table1[[#This Row],[Date]],"[$-en-US]ddd")</f>
        <v>Mon</v>
      </c>
    </row>
    <row r="1240" spans="1:11" x14ac:dyDescent="0.25">
      <c r="A1240">
        <v>8</v>
      </c>
      <c r="B1240" t="s">
        <v>9</v>
      </c>
      <c r="C1240">
        <v>23.02</v>
      </c>
      <c r="D1240" t="s">
        <v>22</v>
      </c>
      <c r="E1240" t="s">
        <v>11</v>
      </c>
      <c r="F1240" t="s">
        <v>33</v>
      </c>
      <c r="G1240">
        <v>2</v>
      </c>
      <c r="H1240">
        <v>8</v>
      </c>
      <c r="I1240" s="13">
        <v>45524</v>
      </c>
      <c r="J1240" s="13" t="str">
        <f>TEXT(Table1[[#This Row],[Date]],"[$-en-US]mmm yyyy")</f>
        <v>Aug 2024</v>
      </c>
      <c r="K1240" s="13" t="str">
        <f>TEXT(Table1[[#This Row],[Date]],"[$-en-US]ddd")</f>
        <v>Tue</v>
      </c>
    </row>
    <row r="1241" spans="1:11" x14ac:dyDescent="0.25">
      <c r="A1241">
        <v>8</v>
      </c>
      <c r="B1241" t="s">
        <v>9</v>
      </c>
      <c r="C1241">
        <v>32.82</v>
      </c>
      <c r="D1241" t="s">
        <v>10</v>
      </c>
      <c r="E1241" t="s">
        <v>11</v>
      </c>
      <c r="F1241" t="s">
        <v>33</v>
      </c>
      <c r="G1241">
        <v>2</v>
      </c>
      <c r="H1241">
        <v>8</v>
      </c>
      <c r="I1241" s="13">
        <v>45524</v>
      </c>
      <c r="J1241" s="13" t="str">
        <f>TEXT(Table1[[#This Row],[Date]],"[$-en-US]mmm yyyy")</f>
        <v>Aug 2024</v>
      </c>
      <c r="K1241" s="13" t="str">
        <f>TEXT(Table1[[#This Row],[Date]],"[$-en-US]ddd")</f>
        <v>Tue</v>
      </c>
    </row>
    <row r="1242" spans="1:11" x14ac:dyDescent="0.25">
      <c r="A1242">
        <v>8</v>
      </c>
      <c r="B1242" t="s">
        <v>9</v>
      </c>
      <c r="C1242">
        <v>18.12</v>
      </c>
      <c r="D1242" t="s">
        <v>24</v>
      </c>
      <c r="E1242" t="s">
        <v>11</v>
      </c>
      <c r="F1242" t="s">
        <v>33</v>
      </c>
      <c r="G1242">
        <v>2</v>
      </c>
      <c r="H1242">
        <v>8</v>
      </c>
      <c r="I1242" s="13">
        <v>45524</v>
      </c>
      <c r="J1242" s="13" t="str">
        <f>TEXT(Table1[[#This Row],[Date]],"[$-en-US]mmm yyyy")</f>
        <v>Aug 2024</v>
      </c>
      <c r="K1242" s="13" t="str">
        <f>TEXT(Table1[[#This Row],[Date]],"[$-en-US]ddd")</f>
        <v>Tue</v>
      </c>
    </row>
    <row r="1243" spans="1:11" x14ac:dyDescent="0.25">
      <c r="A1243">
        <v>8</v>
      </c>
      <c r="B1243" t="s">
        <v>9</v>
      </c>
      <c r="C1243">
        <v>23.02</v>
      </c>
      <c r="D1243" t="s">
        <v>22</v>
      </c>
      <c r="E1243" t="s">
        <v>11</v>
      </c>
      <c r="F1243" t="s">
        <v>33</v>
      </c>
      <c r="G1243">
        <v>2</v>
      </c>
      <c r="H1243">
        <v>8</v>
      </c>
      <c r="I1243" s="13">
        <v>45524</v>
      </c>
      <c r="J1243" s="13" t="str">
        <f>TEXT(Table1[[#This Row],[Date]],"[$-en-US]mmm yyyy")</f>
        <v>Aug 2024</v>
      </c>
      <c r="K1243" s="13" t="str">
        <f>TEXT(Table1[[#This Row],[Date]],"[$-en-US]ddd")</f>
        <v>Tue</v>
      </c>
    </row>
    <row r="1244" spans="1:11" x14ac:dyDescent="0.25">
      <c r="A1244">
        <v>9</v>
      </c>
      <c r="B1244" t="s">
        <v>9</v>
      </c>
      <c r="C1244">
        <v>27.92</v>
      </c>
      <c r="D1244" t="s">
        <v>17</v>
      </c>
      <c r="E1244" t="s">
        <v>11</v>
      </c>
      <c r="F1244" t="s">
        <v>33</v>
      </c>
      <c r="G1244">
        <v>2</v>
      </c>
      <c r="H1244">
        <v>8</v>
      </c>
      <c r="I1244" s="13">
        <v>45524</v>
      </c>
      <c r="J1244" s="13" t="str">
        <f>TEXT(Table1[[#This Row],[Date]],"[$-en-US]mmm yyyy")</f>
        <v>Aug 2024</v>
      </c>
      <c r="K1244" s="13" t="str">
        <f>TEXT(Table1[[#This Row],[Date]],"[$-en-US]ddd")</f>
        <v>Tue</v>
      </c>
    </row>
    <row r="1245" spans="1:11" x14ac:dyDescent="0.25">
      <c r="A1245">
        <v>11</v>
      </c>
      <c r="B1245" t="s">
        <v>9</v>
      </c>
      <c r="C1245">
        <v>23.02</v>
      </c>
      <c r="D1245" t="s">
        <v>16</v>
      </c>
      <c r="E1245" t="s">
        <v>11</v>
      </c>
      <c r="F1245" t="s">
        <v>33</v>
      </c>
      <c r="G1245">
        <v>2</v>
      </c>
      <c r="H1245">
        <v>8</v>
      </c>
      <c r="I1245" s="13">
        <v>45524</v>
      </c>
      <c r="J1245" s="13" t="str">
        <f>TEXT(Table1[[#This Row],[Date]],"[$-en-US]mmm yyyy")</f>
        <v>Aug 2024</v>
      </c>
      <c r="K1245" s="13" t="str">
        <f>TEXT(Table1[[#This Row],[Date]],"[$-en-US]ddd")</f>
        <v>Tue</v>
      </c>
    </row>
    <row r="1246" spans="1:11" x14ac:dyDescent="0.25">
      <c r="A1246">
        <v>11</v>
      </c>
      <c r="B1246" t="s">
        <v>9</v>
      </c>
      <c r="C1246">
        <v>23.02</v>
      </c>
      <c r="D1246" t="s">
        <v>16</v>
      </c>
      <c r="E1246" t="s">
        <v>11</v>
      </c>
      <c r="F1246" t="s">
        <v>33</v>
      </c>
      <c r="G1246">
        <v>2</v>
      </c>
      <c r="H1246">
        <v>8</v>
      </c>
      <c r="I1246" s="13">
        <v>45524</v>
      </c>
      <c r="J1246" s="13" t="str">
        <f>TEXT(Table1[[#This Row],[Date]],"[$-en-US]mmm yyyy")</f>
        <v>Aug 2024</v>
      </c>
      <c r="K1246" s="13" t="str">
        <f>TEXT(Table1[[#This Row],[Date]],"[$-en-US]ddd")</f>
        <v>Tue</v>
      </c>
    </row>
    <row r="1247" spans="1:11" x14ac:dyDescent="0.25">
      <c r="A1247">
        <v>11</v>
      </c>
      <c r="B1247" t="s">
        <v>9</v>
      </c>
      <c r="C1247">
        <v>23.02</v>
      </c>
      <c r="D1247" t="s">
        <v>16</v>
      </c>
      <c r="E1247" t="s">
        <v>11</v>
      </c>
      <c r="F1247" t="s">
        <v>33</v>
      </c>
      <c r="G1247">
        <v>2</v>
      </c>
      <c r="H1247">
        <v>8</v>
      </c>
      <c r="I1247" s="13">
        <v>45524</v>
      </c>
      <c r="J1247" s="13" t="str">
        <f>TEXT(Table1[[#This Row],[Date]],"[$-en-US]mmm yyyy")</f>
        <v>Aug 2024</v>
      </c>
      <c r="K1247" s="13" t="str">
        <f>TEXT(Table1[[#This Row],[Date]],"[$-en-US]ddd")</f>
        <v>Tue</v>
      </c>
    </row>
    <row r="1248" spans="1:11" x14ac:dyDescent="0.25">
      <c r="A1248">
        <v>11</v>
      </c>
      <c r="B1248" t="s">
        <v>9</v>
      </c>
      <c r="C1248">
        <v>32.82</v>
      </c>
      <c r="D1248" t="s">
        <v>10</v>
      </c>
      <c r="E1248" t="s">
        <v>11</v>
      </c>
      <c r="F1248" t="s">
        <v>33</v>
      </c>
      <c r="G1248">
        <v>2</v>
      </c>
      <c r="H1248">
        <v>8</v>
      </c>
      <c r="I1248" s="13">
        <v>45524</v>
      </c>
      <c r="J1248" s="13" t="str">
        <f>TEXT(Table1[[#This Row],[Date]],"[$-en-US]mmm yyyy")</f>
        <v>Aug 2024</v>
      </c>
      <c r="K1248" s="13" t="str">
        <f>TEXT(Table1[[#This Row],[Date]],"[$-en-US]ddd")</f>
        <v>Tue</v>
      </c>
    </row>
    <row r="1249" spans="1:11" x14ac:dyDescent="0.25">
      <c r="A1249">
        <v>20</v>
      </c>
      <c r="B1249" t="s">
        <v>9</v>
      </c>
      <c r="C1249">
        <v>32.82</v>
      </c>
      <c r="D1249" t="s">
        <v>10</v>
      </c>
      <c r="E1249" t="s">
        <v>18</v>
      </c>
      <c r="F1249" t="s">
        <v>33</v>
      </c>
      <c r="G1249">
        <v>2</v>
      </c>
      <c r="H1249">
        <v>8</v>
      </c>
      <c r="I1249" s="13">
        <v>45524</v>
      </c>
      <c r="J1249" s="13" t="str">
        <f>TEXT(Table1[[#This Row],[Date]],"[$-en-US]mmm yyyy")</f>
        <v>Aug 2024</v>
      </c>
      <c r="K1249" s="13" t="str">
        <f>TEXT(Table1[[#This Row],[Date]],"[$-en-US]ddd")</f>
        <v>Tue</v>
      </c>
    </row>
    <row r="1250" spans="1:11" x14ac:dyDescent="0.25">
      <c r="A1250">
        <v>20</v>
      </c>
      <c r="B1250" t="s">
        <v>9</v>
      </c>
      <c r="C1250">
        <v>32.82</v>
      </c>
      <c r="D1250" t="s">
        <v>10</v>
      </c>
      <c r="E1250" t="s">
        <v>18</v>
      </c>
      <c r="F1250" t="s">
        <v>33</v>
      </c>
      <c r="G1250">
        <v>2</v>
      </c>
      <c r="H1250">
        <v>8</v>
      </c>
      <c r="I1250" s="13">
        <v>45524</v>
      </c>
      <c r="J1250" s="13" t="str">
        <f>TEXT(Table1[[#This Row],[Date]],"[$-en-US]mmm yyyy")</f>
        <v>Aug 2024</v>
      </c>
      <c r="K1250" s="13" t="str">
        <f>TEXT(Table1[[#This Row],[Date]],"[$-en-US]ddd")</f>
        <v>Tue</v>
      </c>
    </row>
    <row r="1251" spans="1:11" x14ac:dyDescent="0.25">
      <c r="A1251">
        <v>20</v>
      </c>
      <c r="B1251" t="s">
        <v>9</v>
      </c>
      <c r="C1251">
        <v>32.82</v>
      </c>
      <c r="D1251" t="s">
        <v>10</v>
      </c>
      <c r="E1251" t="s">
        <v>18</v>
      </c>
      <c r="F1251" t="s">
        <v>33</v>
      </c>
      <c r="G1251">
        <v>2</v>
      </c>
      <c r="H1251">
        <v>8</v>
      </c>
      <c r="I1251" s="13">
        <v>45524</v>
      </c>
      <c r="J1251" s="13" t="str">
        <f>TEXT(Table1[[#This Row],[Date]],"[$-en-US]mmm yyyy")</f>
        <v>Aug 2024</v>
      </c>
      <c r="K1251" s="13" t="str">
        <f>TEXT(Table1[[#This Row],[Date]],"[$-en-US]ddd")</f>
        <v>Tue</v>
      </c>
    </row>
    <row r="1252" spans="1:11" x14ac:dyDescent="0.25">
      <c r="A1252">
        <v>20</v>
      </c>
      <c r="B1252" t="s">
        <v>9</v>
      </c>
      <c r="C1252">
        <v>32.82</v>
      </c>
      <c r="D1252" t="s">
        <v>10</v>
      </c>
      <c r="E1252" t="s">
        <v>18</v>
      </c>
      <c r="F1252" t="s">
        <v>33</v>
      </c>
      <c r="G1252">
        <v>2</v>
      </c>
      <c r="H1252">
        <v>8</v>
      </c>
      <c r="I1252" s="13">
        <v>45524</v>
      </c>
      <c r="J1252" s="13" t="str">
        <f>TEXT(Table1[[#This Row],[Date]],"[$-en-US]mmm yyyy")</f>
        <v>Aug 2024</v>
      </c>
      <c r="K1252" s="13" t="str">
        <f>TEXT(Table1[[#This Row],[Date]],"[$-en-US]ddd")</f>
        <v>Tue</v>
      </c>
    </row>
    <row r="1253" spans="1:11" x14ac:dyDescent="0.25">
      <c r="A1253">
        <v>7</v>
      </c>
      <c r="B1253" t="s">
        <v>9</v>
      </c>
      <c r="C1253">
        <v>27.92</v>
      </c>
      <c r="D1253" t="s">
        <v>17</v>
      </c>
      <c r="E1253" t="s">
        <v>11</v>
      </c>
      <c r="F1253" t="s">
        <v>33</v>
      </c>
      <c r="G1253">
        <v>3</v>
      </c>
      <c r="H1253">
        <v>8</v>
      </c>
      <c r="I1253" s="13">
        <v>45525</v>
      </c>
      <c r="J1253" s="13" t="str">
        <f>TEXT(Table1[[#This Row],[Date]],"[$-en-US]mmm yyyy")</f>
        <v>Aug 2024</v>
      </c>
      <c r="K1253" s="13" t="str">
        <f>TEXT(Table1[[#This Row],[Date]],"[$-en-US]ddd")</f>
        <v>Wed</v>
      </c>
    </row>
    <row r="1254" spans="1:11" x14ac:dyDescent="0.25">
      <c r="A1254">
        <v>8</v>
      </c>
      <c r="B1254" t="s">
        <v>9</v>
      </c>
      <c r="C1254">
        <v>23.02</v>
      </c>
      <c r="D1254" t="s">
        <v>22</v>
      </c>
      <c r="E1254" t="s">
        <v>11</v>
      </c>
      <c r="F1254" t="s">
        <v>33</v>
      </c>
      <c r="G1254">
        <v>3</v>
      </c>
      <c r="H1254">
        <v>8</v>
      </c>
      <c r="I1254" s="13">
        <v>45525</v>
      </c>
      <c r="J1254" s="13" t="str">
        <f>TEXT(Table1[[#This Row],[Date]],"[$-en-US]mmm yyyy")</f>
        <v>Aug 2024</v>
      </c>
      <c r="K1254" s="13" t="str">
        <f>TEXT(Table1[[#This Row],[Date]],"[$-en-US]ddd")</f>
        <v>Wed</v>
      </c>
    </row>
    <row r="1255" spans="1:11" x14ac:dyDescent="0.25">
      <c r="A1255">
        <v>10</v>
      </c>
      <c r="B1255" t="s">
        <v>9</v>
      </c>
      <c r="C1255">
        <v>23.02</v>
      </c>
      <c r="D1255" t="s">
        <v>16</v>
      </c>
      <c r="E1255" t="s">
        <v>11</v>
      </c>
      <c r="F1255" t="s">
        <v>33</v>
      </c>
      <c r="G1255">
        <v>3</v>
      </c>
      <c r="H1255">
        <v>8</v>
      </c>
      <c r="I1255" s="13">
        <v>45525</v>
      </c>
      <c r="J1255" s="13" t="str">
        <f>TEXT(Table1[[#This Row],[Date]],"[$-en-US]mmm yyyy")</f>
        <v>Aug 2024</v>
      </c>
      <c r="K1255" s="13" t="str">
        <f>TEXT(Table1[[#This Row],[Date]],"[$-en-US]ddd")</f>
        <v>Wed</v>
      </c>
    </row>
    <row r="1256" spans="1:11" x14ac:dyDescent="0.25">
      <c r="A1256">
        <v>10</v>
      </c>
      <c r="B1256" t="s">
        <v>9</v>
      </c>
      <c r="C1256">
        <v>27.92</v>
      </c>
      <c r="D1256" t="s">
        <v>17</v>
      </c>
      <c r="E1256" t="s">
        <v>11</v>
      </c>
      <c r="F1256" t="s">
        <v>33</v>
      </c>
      <c r="G1256">
        <v>3</v>
      </c>
      <c r="H1256">
        <v>8</v>
      </c>
      <c r="I1256" s="13">
        <v>45525</v>
      </c>
      <c r="J1256" s="13" t="str">
        <f>TEXT(Table1[[#This Row],[Date]],"[$-en-US]mmm yyyy")</f>
        <v>Aug 2024</v>
      </c>
      <c r="K1256" s="13" t="str">
        <f>TEXT(Table1[[#This Row],[Date]],"[$-en-US]ddd")</f>
        <v>Wed</v>
      </c>
    </row>
    <row r="1257" spans="1:11" x14ac:dyDescent="0.25">
      <c r="A1257">
        <v>11</v>
      </c>
      <c r="B1257" t="s">
        <v>9</v>
      </c>
      <c r="C1257">
        <v>23.02</v>
      </c>
      <c r="D1257" t="s">
        <v>22</v>
      </c>
      <c r="E1257" t="s">
        <v>11</v>
      </c>
      <c r="F1257" t="s">
        <v>33</v>
      </c>
      <c r="G1257">
        <v>3</v>
      </c>
      <c r="H1257">
        <v>8</v>
      </c>
      <c r="I1257" s="13">
        <v>45525</v>
      </c>
      <c r="J1257" s="13" t="str">
        <f>TEXT(Table1[[#This Row],[Date]],"[$-en-US]mmm yyyy")</f>
        <v>Aug 2024</v>
      </c>
      <c r="K1257" s="13" t="str">
        <f>TEXT(Table1[[#This Row],[Date]],"[$-en-US]ddd")</f>
        <v>Wed</v>
      </c>
    </row>
    <row r="1258" spans="1:11" x14ac:dyDescent="0.25">
      <c r="A1258">
        <v>13</v>
      </c>
      <c r="B1258" t="s">
        <v>9</v>
      </c>
      <c r="C1258">
        <v>32.82</v>
      </c>
      <c r="D1258" t="s">
        <v>10</v>
      </c>
      <c r="E1258" t="s">
        <v>15</v>
      </c>
      <c r="F1258" t="s">
        <v>33</v>
      </c>
      <c r="G1258">
        <v>3</v>
      </c>
      <c r="H1258">
        <v>8</v>
      </c>
      <c r="I1258" s="13">
        <v>45525</v>
      </c>
      <c r="J1258" s="13" t="str">
        <f>TEXT(Table1[[#This Row],[Date]],"[$-en-US]mmm yyyy")</f>
        <v>Aug 2024</v>
      </c>
      <c r="K1258" s="13" t="str">
        <f>TEXT(Table1[[#This Row],[Date]],"[$-en-US]ddd")</f>
        <v>Wed</v>
      </c>
    </row>
    <row r="1259" spans="1:11" x14ac:dyDescent="0.25">
      <c r="A1259">
        <v>19</v>
      </c>
      <c r="B1259" t="s">
        <v>9</v>
      </c>
      <c r="C1259">
        <v>32.82</v>
      </c>
      <c r="D1259" t="s">
        <v>10</v>
      </c>
      <c r="E1259" t="s">
        <v>18</v>
      </c>
      <c r="F1259" t="s">
        <v>33</v>
      </c>
      <c r="G1259">
        <v>3</v>
      </c>
      <c r="H1259">
        <v>8</v>
      </c>
      <c r="I1259" s="13">
        <v>45525</v>
      </c>
      <c r="J1259" s="13" t="str">
        <f>TEXT(Table1[[#This Row],[Date]],"[$-en-US]mmm yyyy")</f>
        <v>Aug 2024</v>
      </c>
      <c r="K1259" s="13" t="str">
        <f>TEXT(Table1[[#This Row],[Date]],"[$-en-US]ddd")</f>
        <v>Wed</v>
      </c>
    </row>
    <row r="1260" spans="1:11" x14ac:dyDescent="0.25">
      <c r="A1260">
        <v>9</v>
      </c>
      <c r="B1260" t="s">
        <v>9</v>
      </c>
      <c r="C1260">
        <v>23.02</v>
      </c>
      <c r="D1260" t="s">
        <v>22</v>
      </c>
      <c r="E1260" t="s">
        <v>11</v>
      </c>
      <c r="F1260" t="s">
        <v>33</v>
      </c>
      <c r="G1260">
        <v>4</v>
      </c>
      <c r="H1260">
        <v>8</v>
      </c>
      <c r="I1260" s="13">
        <v>45526</v>
      </c>
      <c r="J1260" s="13" t="str">
        <f>TEXT(Table1[[#This Row],[Date]],"[$-en-US]mmm yyyy")</f>
        <v>Aug 2024</v>
      </c>
      <c r="K1260" s="13" t="str">
        <f>TEXT(Table1[[#This Row],[Date]],"[$-en-US]ddd")</f>
        <v>Thu</v>
      </c>
    </row>
    <row r="1261" spans="1:11" x14ac:dyDescent="0.25">
      <c r="A1261">
        <v>10</v>
      </c>
      <c r="B1261" t="s">
        <v>9</v>
      </c>
      <c r="C1261">
        <v>27.92</v>
      </c>
      <c r="D1261" t="s">
        <v>17</v>
      </c>
      <c r="E1261" t="s">
        <v>11</v>
      </c>
      <c r="F1261" t="s">
        <v>33</v>
      </c>
      <c r="G1261">
        <v>4</v>
      </c>
      <c r="H1261">
        <v>8</v>
      </c>
      <c r="I1261" s="13">
        <v>45526</v>
      </c>
      <c r="J1261" s="13" t="str">
        <f>TEXT(Table1[[#This Row],[Date]],"[$-en-US]mmm yyyy")</f>
        <v>Aug 2024</v>
      </c>
      <c r="K1261" s="13" t="str">
        <f>TEXT(Table1[[#This Row],[Date]],"[$-en-US]ddd")</f>
        <v>Thu</v>
      </c>
    </row>
    <row r="1262" spans="1:11" x14ac:dyDescent="0.25">
      <c r="A1262">
        <v>10</v>
      </c>
      <c r="B1262" t="s">
        <v>9</v>
      </c>
      <c r="C1262">
        <v>27.92</v>
      </c>
      <c r="D1262" t="s">
        <v>17</v>
      </c>
      <c r="E1262" t="s">
        <v>11</v>
      </c>
      <c r="F1262" t="s">
        <v>33</v>
      </c>
      <c r="G1262">
        <v>4</v>
      </c>
      <c r="H1262">
        <v>8</v>
      </c>
      <c r="I1262" s="13">
        <v>45526</v>
      </c>
      <c r="J1262" s="13" t="str">
        <f>TEXT(Table1[[#This Row],[Date]],"[$-en-US]mmm yyyy")</f>
        <v>Aug 2024</v>
      </c>
      <c r="K1262" s="13" t="str">
        <f>TEXT(Table1[[#This Row],[Date]],"[$-en-US]ddd")</f>
        <v>Thu</v>
      </c>
    </row>
    <row r="1263" spans="1:11" x14ac:dyDescent="0.25">
      <c r="A1263">
        <v>14</v>
      </c>
      <c r="B1263" t="s">
        <v>9</v>
      </c>
      <c r="C1263">
        <v>32.82</v>
      </c>
      <c r="D1263" t="s">
        <v>10</v>
      </c>
      <c r="E1263" t="s">
        <v>15</v>
      </c>
      <c r="F1263" t="s">
        <v>33</v>
      </c>
      <c r="G1263">
        <v>4</v>
      </c>
      <c r="H1263">
        <v>8</v>
      </c>
      <c r="I1263" s="13">
        <v>45526</v>
      </c>
      <c r="J1263" s="13" t="str">
        <f>TEXT(Table1[[#This Row],[Date]],"[$-en-US]mmm yyyy")</f>
        <v>Aug 2024</v>
      </c>
      <c r="K1263" s="13" t="str">
        <f>TEXT(Table1[[#This Row],[Date]],"[$-en-US]ddd")</f>
        <v>Thu</v>
      </c>
    </row>
    <row r="1264" spans="1:11" x14ac:dyDescent="0.25">
      <c r="A1264">
        <v>14</v>
      </c>
      <c r="B1264" t="s">
        <v>9</v>
      </c>
      <c r="C1264">
        <v>32.82</v>
      </c>
      <c r="D1264" t="s">
        <v>10</v>
      </c>
      <c r="E1264" t="s">
        <v>15</v>
      </c>
      <c r="F1264" t="s">
        <v>33</v>
      </c>
      <c r="G1264">
        <v>4</v>
      </c>
      <c r="H1264">
        <v>8</v>
      </c>
      <c r="I1264" s="13">
        <v>45526</v>
      </c>
      <c r="J1264" s="13" t="str">
        <f>TEXT(Table1[[#This Row],[Date]],"[$-en-US]mmm yyyy")</f>
        <v>Aug 2024</v>
      </c>
      <c r="K1264" s="13" t="str">
        <f>TEXT(Table1[[#This Row],[Date]],"[$-en-US]ddd")</f>
        <v>Thu</v>
      </c>
    </row>
    <row r="1265" spans="1:11" x14ac:dyDescent="0.25">
      <c r="A1265">
        <v>15</v>
      </c>
      <c r="B1265" t="s">
        <v>9</v>
      </c>
      <c r="C1265">
        <v>32.82</v>
      </c>
      <c r="D1265" t="s">
        <v>27</v>
      </c>
      <c r="E1265" t="s">
        <v>15</v>
      </c>
      <c r="F1265" t="s">
        <v>33</v>
      </c>
      <c r="G1265">
        <v>4</v>
      </c>
      <c r="H1265">
        <v>8</v>
      </c>
      <c r="I1265" s="13">
        <v>45526</v>
      </c>
      <c r="J1265" s="13" t="str">
        <f>TEXT(Table1[[#This Row],[Date]],"[$-en-US]mmm yyyy")</f>
        <v>Aug 2024</v>
      </c>
      <c r="K1265" s="13" t="str">
        <f>TEXT(Table1[[#This Row],[Date]],"[$-en-US]ddd")</f>
        <v>Thu</v>
      </c>
    </row>
    <row r="1266" spans="1:11" x14ac:dyDescent="0.25">
      <c r="A1266">
        <v>15</v>
      </c>
      <c r="B1266" t="s">
        <v>9</v>
      </c>
      <c r="C1266">
        <v>23.02</v>
      </c>
      <c r="D1266" t="s">
        <v>16</v>
      </c>
      <c r="E1266" t="s">
        <v>15</v>
      </c>
      <c r="F1266" t="s">
        <v>33</v>
      </c>
      <c r="G1266">
        <v>4</v>
      </c>
      <c r="H1266">
        <v>8</v>
      </c>
      <c r="I1266" s="13">
        <v>45526</v>
      </c>
      <c r="J1266" s="13" t="str">
        <f>TEXT(Table1[[#This Row],[Date]],"[$-en-US]mmm yyyy")</f>
        <v>Aug 2024</v>
      </c>
      <c r="K1266" s="13" t="str">
        <f>TEXT(Table1[[#This Row],[Date]],"[$-en-US]ddd")</f>
        <v>Thu</v>
      </c>
    </row>
    <row r="1267" spans="1:11" x14ac:dyDescent="0.25">
      <c r="A1267">
        <v>7</v>
      </c>
      <c r="B1267" t="s">
        <v>9</v>
      </c>
      <c r="C1267">
        <v>32.82</v>
      </c>
      <c r="D1267" t="s">
        <v>10</v>
      </c>
      <c r="E1267" t="s">
        <v>11</v>
      </c>
      <c r="F1267" t="s">
        <v>33</v>
      </c>
      <c r="G1267">
        <v>5</v>
      </c>
      <c r="H1267">
        <v>8</v>
      </c>
      <c r="I1267" s="13">
        <v>45527</v>
      </c>
      <c r="J1267" s="13" t="str">
        <f>TEXT(Table1[[#This Row],[Date]],"[$-en-US]mmm yyyy")</f>
        <v>Aug 2024</v>
      </c>
      <c r="K1267" s="13" t="str">
        <f>TEXT(Table1[[#This Row],[Date]],"[$-en-US]ddd")</f>
        <v>Fri</v>
      </c>
    </row>
    <row r="1268" spans="1:11" x14ac:dyDescent="0.25">
      <c r="A1268">
        <v>8</v>
      </c>
      <c r="B1268" t="s">
        <v>9</v>
      </c>
      <c r="C1268">
        <v>23.02</v>
      </c>
      <c r="D1268" t="s">
        <v>22</v>
      </c>
      <c r="E1268" t="s">
        <v>11</v>
      </c>
      <c r="F1268" t="s">
        <v>33</v>
      </c>
      <c r="G1268">
        <v>5</v>
      </c>
      <c r="H1268">
        <v>8</v>
      </c>
      <c r="I1268" s="13">
        <v>45527</v>
      </c>
      <c r="J1268" s="13" t="str">
        <f>TEXT(Table1[[#This Row],[Date]],"[$-en-US]mmm yyyy")</f>
        <v>Aug 2024</v>
      </c>
      <c r="K1268" s="13" t="str">
        <f>TEXT(Table1[[#This Row],[Date]],"[$-en-US]ddd")</f>
        <v>Fri</v>
      </c>
    </row>
    <row r="1269" spans="1:11" x14ac:dyDescent="0.25">
      <c r="A1269">
        <v>8</v>
      </c>
      <c r="B1269" t="s">
        <v>9</v>
      </c>
      <c r="C1269">
        <v>32.82</v>
      </c>
      <c r="D1269" t="s">
        <v>10</v>
      </c>
      <c r="E1269" t="s">
        <v>11</v>
      </c>
      <c r="F1269" t="s">
        <v>33</v>
      </c>
      <c r="G1269">
        <v>5</v>
      </c>
      <c r="H1269">
        <v>8</v>
      </c>
      <c r="I1269" s="13">
        <v>45527</v>
      </c>
      <c r="J1269" s="13" t="str">
        <f>TEXT(Table1[[#This Row],[Date]],"[$-en-US]mmm yyyy")</f>
        <v>Aug 2024</v>
      </c>
      <c r="K1269" s="13" t="str">
        <f>TEXT(Table1[[#This Row],[Date]],"[$-en-US]ddd")</f>
        <v>Fri</v>
      </c>
    </row>
    <row r="1270" spans="1:11" x14ac:dyDescent="0.25">
      <c r="A1270">
        <v>8</v>
      </c>
      <c r="B1270" t="s">
        <v>9</v>
      </c>
      <c r="C1270">
        <v>23.02</v>
      </c>
      <c r="D1270" t="s">
        <v>16</v>
      </c>
      <c r="E1270" t="s">
        <v>11</v>
      </c>
      <c r="F1270" t="s">
        <v>33</v>
      </c>
      <c r="G1270">
        <v>5</v>
      </c>
      <c r="H1270">
        <v>8</v>
      </c>
      <c r="I1270" s="13">
        <v>45527</v>
      </c>
      <c r="J1270" s="13" t="str">
        <f>TEXT(Table1[[#This Row],[Date]],"[$-en-US]mmm yyyy")</f>
        <v>Aug 2024</v>
      </c>
      <c r="K1270" s="13" t="str">
        <f>TEXT(Table1[[#This Row],[Date]],"[$-en-US]ddd")</f>
        <v>Fri</v>
      </c>
    </row>
    <row r="1271" spans="1:11" x14ac:dyDescent="0.25">
      <c r="A1271">
        <v>8</v>
      </c>
      <c r="B1271" t="s">
        <v>9</v>
      </c>
      <c r="C1271">
        <v>23.02</v>
      </c>
      <c r="D1271" t="s">
        <v>16</v>
      </c>
      <c r="E1271" t="s">
        <v>11</v>
      </c>
      <c r="F1271" t="s">
        <v>33</v>
      </c>
      <c r="G1271">
        <v>5</v>
      </c>
      <c r="H1271">
        <v>8</v>
      </c>
      <c r="I1271" s="13">
        <v>45527</v>
      </c>
      <c r="J1271" s="13" t="str">
        <f>TEXT(Table1[[#This Row],[Date]],"[$-en-US]mmm yyyy")</f>
        <v>Aug 2024</v>
      </c>
      <c r="K1271" s="13" t="str">
        <f>TEXT(Table1[[#This Row],[Date]],"[$-en-US]ddd")</f>
        <v>Fri</v>
      </c>
    </row>
    <row r="1272" spans="1:11" x14ac:dyDescent="0.25">
      <c r="A1272">
        <v>9</v>
      </c>
      <c r="B1272" t="s">
        <v>9</v>
      </c>
      <c r="C1272">
        <v>27.92</v>
      </c>
      <c r="D1272" t="s">
        <v>17</v>
      </c>
      <c r="E1272" t="s">
        <v>11</v>
      </c>
      <c r="F1272" t="s">
        <v>33</v>
      </c>
      <c r="G1272">
        <v>5</v>
      </c>
      <c r="H1272">
        <v>8</v>
      </c>
      <c r="I1272" s="13">
        <v>45527</v>
      </c>
      <c r="J1272" s="13" t="str">
        <f>TEXT(Table1[[#This Row],[Date]],"[$-en-US]mmm yyyy")</f>
        <v>Aug 2024</v>
      </c>
      <c r="K1272" s="13" t="str">
        <f>TEXT(Table1[[#This Row],[Date]],"[$-en-US]ddd")</f>
        <v>Fri</v>
      </c>
    </row>
    <row r="1273" spans="1:11" x14ac:dyDescent="0.25">
      <c r="A1273">
        <v>10</v>
      </c>
      <c r="B1273" t="s">
        <v>9</v>
      </c>
      <c r="C1273">
        <v>32.82</v>
      </c>
      <c r="D1273" t="s">
        <v>19</v>
      </c>
      <c r="E1273" t="s">
        <v>11</v>
      </c>
      <c r="F1273" t="s">
        <v>33</v>
      </c>
      <c r="G1273">
        <v>5</v>
      </c>
      <c r="H1273">
        <v>8</v>
      </c>
      <c r="I1273" s="13">
        <v>45527</v>
      </c>
      <c r="J1273" s="13" t="str">
        <f>TEXT(Table1[[#This Row],[Date]],"[$-en-US]mmm yyyy")</f>
        <v>Aug 2024</v>
      </c>
      <c r="K1273" s="13" t="str">
        <f>TEXT(Table1[[#This Row],[Date]],"[$-en-US]ddd")</f>
        <v>Fri</v>
      </c>
    </row>
    <row r="1274" spans="1:11" x14ac:dyDescent="0.25">
      <c r="A1274">
        <v>10</v>
      </c>
      <c r="B1274" t="s">
        <v>9</v>
      </c>
      <c r="C1274">
        <v>23.02</v>
      </c>
      <c r="D1274" t="s">
        <v>16</v>
      </c>
      <c r="E1274" t="s">
        <v>11</v>
      </c>
      <c r="F1274" t="s">
        <v>33</v>
      </c>
      <c r="G1274">
        <v>5</v>
      </c>
      <c r="H1274">
        <v>8</v>
      </c>
      <c r="I1274" s="13">
        <v>45527</v>
      </c>
      <c r="J1274" s="13" t="str">
        <f>TEXT(Table1[[#This Row],[Date]],"[$-en-US]mmm yyyy")</f>
        <v>Aug 2024</v>
      </c>
      <c r="K1274" s="13" t="str">
        <f>TEXT(Table1[[#This Row],[Date]],"[$-en-US]ddd")</f>
        <v>Fri</v>
      </c>
    </row>
    <row r="1275" spans="1:11" x14ac:dyDescent="0.25">
      <c r="A1275">
        <v>10</v>
      </c>
      <c r="B1275" t="s">
        <v>9</v>
      </c>
      <c r="C1275">
        <v>23.02</v>
      </c>
      <c r="D1275" t="s">
        <v>22</v>
      </c>
      <c r="E1275" t="s">
        <v>11</v>
      </c>
      <c r="F1275" t="s">
        <v>33</v>
      </c>
      <c r="G1275">
        <v>5</v>
      </c>
      <c r="H1275">
        <v>8</v>
      </c>
      <c r="I1275" s="13">
        <v>45527</v>
      </c>
      <c r="J1275" s="13" t="str">
        <f>TEXT(Table1[[#This Row],[Date]],"[$-en-US]mmm yyyy")</f>
        <v>Aug 2024</v>
      </c>
      <c r="K1275" s="13" t="str">
        <f>TEXT(Table1[[#This Row],[Date]],"[$-en-US]ddd")</f>
        <v>Fri</v>
      </c>
    </row>
    <row r="1276" spans="1:11" x14ac:dyDescent="0.25">
      <c r="A1276">
        <v>11</v>
      </c>
      <c r="B1276" t="s">
        <v>9</v>
      </c>
      <c r="C1276">
        <v>32.82</v>
      </c>
      <c r="D1276" t="s">
        <v>14</v>
      </c>
      <c r="E1276" t="s">
        <v>11</v>
      </c>
      <c r="F1276" t="s">
        <v>33</v>
      </c>
      <c r="G1276">
        <v>5</v>
      </c>
      <c r="H1276">
        <v>8</v>
      </c>
      <c r="I1276" s="13">
        <v>45527</v>
      </c>
      <c r="J1276" s="13" t="str">
        <f>TEXT(Table1[[#This Row],[Date]],"[$-en-US]mmm yyyy")</f>
        <v>Aug 2024</v>
      </c>
      <c r="K1276" s="13" t="str">
        <f>TEXT(Table1[[#This Row],[Date]],"[$-en-US]ddd")</f>
        <v>Fri</v>
      </c>
    </row>
    <row r="1277" spans="1:11" x14ac:dyDescent="0.25">
      <c r="A1277">
        <v>13</v>
      </c>
      <c r="B1277" t="s">
        <v>9</v>
      </c>
      <c r="C1277">
        <v>23.02</v>
      </c>
      <c r="D1277" t="s">
        <v>16</v>
      </c>
      <c r="E1277" t="s">
        <v>15</v>
      </c>
      <c r="F1277" t="s">
        <v>33</v>
      </c>
      <c r="G1277">
        <v>5</v>
      </c>
      <c r="H1277">
        <v>8</v>
      </c>
      <c r="I1277" s="13">
        <v>45527</v>
      </c>
      <c r="J1277" s="13" t="str">
        <f>TEXT(Table1[[#This Row],[Date]],"[$-en-US]mmm yyyy")</f>
        <v>Aug 2024</v>
      </c>
      <c r="K1277" s="13" t="str">
        <f>TEXT(Table1[[#This Row],[Date]],"[$-en-US]ddd")</f>
        <v>Fri</v>
      </c>
    </row>
    <row r="1278" spans="1:11" x14ac:dyDescent="0.25">
      <c r="A1278">
        <v>15</v>
      </c>
      <c r="B1278" t="s">
        <v>9</v>
      </c>
      <c r="C1278">
        <v>23.02</v>
      </c>
      <c r="D1278" t="s">
        <v>16</v>
      </c>
      <c r="E1278" t="s">
        <v>15</v>
      </c>
      <c r="F1278" t="s">
        <v>33</v>
      </c>
      <c r="G1278">
        <v>5</v>
      </c>
      <c r="H1278">
        <v>8</v>
      </c>
      <c r="I1278" s="13">
        <v>45527</v>
      </c>
      <c r="J1278" s="13" t="str">
        <f>TEXT(Table1[[#This Row],[Date]],"[$-en-US]mmm yyyy")</f>
        <v>Aug 2024</v>
      </c>
      <c r="K1278" s="13" t="str">
        <f>TEXT(Table1[[#This Row],[Date]],"[$-en-US]ddd")</f>
        <v>Fri</v>
      </c>
    </row>
    <row r="1279" spans="1:11" x14ac:dyDescent="0.25">
      <c r="A1279">
        <v>19</v>
      </c>
      <c r="B1279" t="s">
        <v>9</v>
      </c>
      <c r="C1279">
        <v>32.82</v>
      </c>
      <c r="D1279" t="s">
        <v>10</v>
      </c>
      <c r="E1279" t="s">
        <v>18</v>
      </c>
      <c r="F1279" t="s">
        <v>33</v>
      </c>
      <c r="G1279">
        <v>5</v>
      </c>
      <c r="H1279">
        <v>8</v>
      </c>
      <c r="I1279" s="13">
        <v>45527</v>
      </c>
      <c r="J1279" s="13" t="str">
        <f>TEXT(Table1[[#This Row],[Date]],"[$-en-US]mmm yyyy")</f>
        <v>Aug 2024</v>
      </c>
      <c r="K1279" s="13" t="str">
        <f>TEXT(Table1[[#This Row],[Date]],"[$-en-US]ddd")</f>
        <v>Fri</v>
      </c>
    </row>
    <row r="1280" spans="1:11" x14ac:dyDescent="0.25">
      <c r="A1280">
        <v>8</v>
      </c>
      <c r="B1280" t="s">
        <v>9</v>
      </c>
      <c r="C1280">
        <v>23.02</v>
      </c>
      <c r="D1280" t="s">
        <v>22</v>
      </c>
      <c r="E1280" t="s">
        <v>11</v>
      </c>
      <c r="F1280" t="s">
        <v>33</v>
      </c>
      <c r="G1280">
        <v>6</v>
      </c>
      <c r="H1280">
        <v>8</v>
      </c>
      <c r="I1280" s="13">
        <v>45528</v>
      </c>
      <c r="J1280" s="13" t="str">
        <f>TEXT(Table1[[#This Row],[Date]],"[$-en-US]mmm yyyy")</f>
        <v>Aug 2024</v>
      </c>
      <c r="K1280" s="13" t="str">
        <f>TEXT(Table1[[#This Row],[Date]],"[$-en-US]ddd")</f>
        <v>Sat</v>
      </c>
    </row>
    <row r="1281" spans="1:11" x14ac:dyDescent="0.25">
      <c r="A1281">
        <v>8</v>
      </c>
      <c r="B1281" t="s">
        <v>9</v>
      </c>
      <c r="C1281">
        <v>23.02</v>
      </c>
      <c r="D1281" t="s">
        <v>22</v>
      </c>
      <c r="E1281" t="s">
        <v>11</v>
      </c>
      <c r="F1281" t="s">
        <v>33</v>
      </c>
      <c r="G1281">
        <v>6</v>
      </c>
      <c r="H1281">
        <v>8</v>
      </c>
      <c r="I1281" s="13">
        <v>45528</v>
      </c>
      <c r="J1281" s="13" t="str">
        <f>TEXT(Table1[[#This Row],[Date]],"[$-en-US]mmm yyyy")</f>
        <v>Aug 2024</v>
      </c>
      <c r="K1281" s="13" t="str">
        <f>TEXT(Table1[[#This Row],[Date]],"[$-en-US]ddd")</f>
        <v>Sat</v>
      </c>
    </row>
    <row r="1282" spans="1:11" x14ac:dyDescent="0.25">
      <c r="A1282">
        <v>8</v>
      </c>
      <c r="B1282" t="s">
        <v>9</v>
      </c>
      <c r="C1282">
        <v>23.02</v>
      </c>
      <c r="D1282" t="s">
        <v>22</v>
      </c>
      <c r="E1282" t="s">
        <v>11</v>
      </c>
      <c r="F1282" t="s">
        <v>33</v>
      </c>
      <c r="G1282">
        <v>6</v>
      </c>
      <c r="H1282">
        <v>8</v>
      </c>
      <c r="I1282" s="13">
        <v>45528</v>
      </c>
      <c r="J1282" s="13" t="str">
        <f>TEXT(Table1[[#This Row],[Date]],"[$-en-US]mmm yyyy")</f>
        <v>Aug 2024</v>
      </c>
      <c r="K1282" s="13" t="str">
        <f>TEXT(Table1[[#This Row],[Date]],"[$-en-US]ddd")</f>
        <v>Sat</v>
      </c>
    </row>
    <row r="1283" spans="1:11" x14ac:dyDescent="0.25">
      <c r="A1283">
        <v>10</v>
      </c>
      <c r="B1283" t="s">
        <v>9</v>
      </c>
      <c r="C1283">
        <v>18.12</v>
      </c>
      <c r="D1283" t="s">
        <v>24</v>
      </c>
      <c r="E1283" t="s">
        <v>11</v>
      </c>
      <c r="F1283" t="s">
        <v>33</v>
      </c>
      <c r="G1283">
        <v>6</v>
      </c>
      <c r="H1283">
        <v>8</v>
      </c>
      <c r="I1283" s="13">
        <v>45528</v>
      </c>
      <c r="J1283" s="13" t="str">
        <f>TEXT(Table1[[#This Row],[Date]],"[$-en-US]mmm yyyy")</f>
        <v>Aug 2024</v>
      </c>
      <c r="K1283" s="13" t="str">
        <f>TEXT(Table1[[#This Row],[Date]],"[$-en-US]ddd")</f>
        <v>Sat</v>
      </c>
    </row>
    <row r="1284" spans="1:11" x14ac:dyDescent="0.25">
      <c r="A1284">
        <v>10</v>
      </c>
      <c r="B1284" t="s">
        <v>9</v>
      </c>
      <c r="C1284">
        <v>18.12</v>
      </c>
      <c r="D1284" t="s">
        <v>24</v>
      </c>
      <c r="E1284" t="s">
        <v>11</v>
      </c>
      <c r="F1284" t="s">
        <v>33</v>
      </c>
      <c r="G1284">
        <v>6</v>
      </c>
      <c r="H1284">
        <v>8</v>
      </c>
      <c r="I1284" s="13">
        <v>45528</v>
      </c>
      <c r="J1284" s="13" t="str">
        <f>TEXT(Table1[[#This Row],[Date]],"[$-en-US]mmm yyyy")</f>
        <v>Aug 2024</v>
      </c>
      <c r="K1284" s="13" t="str">
        <f>TEXT(Table1[[#This Row],[Date]],"[$-en-US]ddd")</f>
        <v>Sat</v>
      </c>
    </row>
    <row r="1285" spans="1:11" x14ac:dyDescent="0.25">
      <c r="A1285">
        <v>10</v>
      </c>
      <c r="B1285" t="s">
        <v>9</v>
      </c>
      <c r="C1285">
        <v>23.02</v>
      </c>
      <c r="D1285" t="s">
        <v>16</v>
      </c>
      <c r="E1285" t="s">
        <v>11</v>
      </c>
      <c r="F1285" t="s">
        <v>33</v>
      </c>
      <c r="G1285">
        <v>6</v>
      </c>
      <c r="H1285">
        <v>8</v>
      </c>
      <c r="I1285" s="13">
        <v>45528</v>
      </c>
      <c r="J1285" s="13" t="str">
        <f>TEXT(Table1[[#This Row],[Date]],"[$-en-US]mmm yyyy")</f>
        <v>Aug 2024</v>
      </c>
      <c r="K1285" s="13" t="str">
        <f>TEXT(Table1[[#This Row],[Date]],"[$-en-US]ddd")</f>
        <v>Sat</v>
      </c>
    </row>
    <row r="1286" spans="1:11" x14ac:dyDescent="0.25">
      <c r="A1286">
        <v>8</v>
      </c>
      <c r="B1286" t="s">
        <v>9</v>
      </c>
      <c r="C1286">
        <v>23.02</v>
      </c>
      <c r="D1286" t="s">
        <v>22</v>
      </c>
      <c r="E1286" t="s">
        <v>11</v>
      </c>
      <c r="F1286" t="s">
        <v>33</v>
      </c>
      <c r="G1286">
        <v>7</v>
      </c>
      <c r="H1286">
        <v>8</v>
      </c>
      <c r="I1286" s="13">
        <v>45529</v>
      </c>
      <c r="J1286" s="13" t="str">
        <f>TEXT(Table1[[#This Row],[Date]],"[$-en-US]mmm yyyy")</f>
        <v>Aug 2024</v>
      </c>
      <c r="K1286" s="13" t="str">
        <f>TEXT(Table1[[#This Row],[Date]],"[$-en-US]ddd")</f>
        <v>Sun</v>
      </c>
    </row>
    <row r="1287" spans="1:11" x14ac:dyDescent="0.25">
      <c r="A1287">
        <v>8</v>
      </c>
      <c r="B1287" t="s">
        <v>9</v>
      </c>
      <c r="C1287">
        <v>23.02</v>
      </c>
      <c r="D1287" t="s">
        <v>16</v>
      </c>
      <c r="E1287" t="s">
        <v>11</v>
      </c>
      <c r="F1287" t="s">
        <v>33</v>
      </c>
      <c r="G1287">
        <v>7</v>
      </c>
      <c r="H1287">
        <v>8</v>
      </c>
      <c r="I1287" s="13">
        <v>45529</v>
      </c>
      <c r="J1287" s="13" t="str">
        <f>TEXT(Table1[[#This Row],[Date]],"[$-en-US]mmm yyyy")</f>
        <v>Aug 2024</v>
      </c>
      <c r="K1287" s="13" t="str">
        <f>TEXT(Table1[[#This Row],[Date]],"[$-en-US]ddd")</f>
        <v>Sun</v>
      </c>
    </row>
    <row r="1288" spans="1:11" x14ac:dyDescent="0.25">
      <c r="A1288">
        <v>8</v>
      </c>
      <c r="B1288" t="s">
        <v>9</v>
      </c>
      <c r="C1288">
        <v>23.02</v>
      </c>
      <c r="D1288" t="s">
        <v>16</v>
      </c>
      <c r="E1288" t="s">
        <v>11</v>
      </c>
      <c r="F1288" t="s">
        <v>33</v>
      </c>
      <c r="G1288">
        <v>7</v>
      </c>
      <c r="H1288">
        <v>8</v>
      </c>
      <c r="I1288" s="13">
        <v>45529</v>
      </c>
      <c r="J1288" s="13" t="str">
        <f>TEXT(Table1[[#This Row],[Date]],"[$-en-US]mmm yyyy")</f>
        <v>Aug 2024</v>
      </c>
      <c r="K1288" s="13" t="str">
        <f>TEXT(Table1[[#This Row],[Date]],"[$-en-US]ddd")</f>
        <v>Sun</v>
      </c>
    </row>
    <row r="1289" spans="1:11" x14ac:dyDescent="0.25">
      <c r="A1289">
        <v>9</v>
      </c>
      <c r="B1289" t="s">
        <v>9</v>
      </c>
      <c r="C1289">
        <v>32.82</v>
      </c>
      <c r="D1289" t="s">
        <v>27</v>
      </c>
      <c r="E1289" t="s">
        <v>11</v>
      </c>
      <c r="F1289" t="s">
        <v>33</v>
      </c>
      <c r="G1289">
        <v>7</v>
      </c>
      <c r="H1289">
        <v>8</v>
      </c>
      <c r="I1289" s="13">
        <v>45529</v>
      </c>
      <c r="J1289" s="13" t="str">
        <f>TEXT(Table1[[#This Row],[Date]],"[$-en-US]mmm yyyy")</f>
        <v>Aug 2024</v>
      </c>
      <c r="K1289" s="13" t="str">
        <f>TEXT(Table1[[#This Row],[Date]],"[$-en-US]ddd")</f>
        <v>Sun</v>
      </c>
    </row>
    <row r="1290" spans="1:11" x14ac:dyDescent="0.25">
      <c r="A1290">
        <v>12</v>
      </c>
      <c r="B1290" t="s">
        <v>9</v>
      </c>
      <c r="C1290">
        <v>32.82</v>
      </c>
      <c r="D1290" t="s">
        <v>27</v>
      </c>
      <c r="E1290" t="s">
        <v>15</v>
      </c>
      <c r="F1290" t="s">
        <v>33</v>
      </c>
      <c r="G1290">
        <v>7</v>
      </c>
      <c r="H1290">
        <v>8</v>
      </c>
      <c r="I1290" s="13">
        <v>45529</v>
      </c>
      <c r="J1290" s="13" t="str">
        <f>TEXT(Table1[[#This Row],[Date]],"[$-en-US]mmm yyyy")</f>
        <v>Aug 2024</v>
      </c>
      <c r="K1290" s="13" t="str">
        <f>TEXT(Table1[[#This Row],[Date]],"[$-en-US]ddd")</f>
        <v>Sun</v>
      </c>
    </row>
    <row r="1291" spans="1:11" x14ac:dyDescent="0.25">
      <c r="A1291">
        <v>14</v>
      </c>
      <c r="B1291" t="s">
        <v>9</v>
      </c>
      <c r="C1291">
        <v>32.82</v>
      </c>
      <c r="D1291" t="s">
        <v>10</v>
      </c>
      <c r="E1291" t="s">
        <v>15</v>
      </c>
      <c r="F1291" t="s">
        <v>33</v>
      </c>
      <c r="G1291">
        <v>7</v>
      </c>
      <c r="H1291">
        <v>8</v>
      </c>
      <c r="I1291" s="13">
        <v>45529</v>
      </c>
      <c r="J1291" s="13" t="str">
        <f>TEXT(Table1[[#This Row],[Date]],"[$-en-US]mmm yyyy")</f>
        <v>Aug 2024</v>
      </c>
      <c r="K1291" s="13" t="str">
        <f>TEXT(Table1[[#This Row],[Date]],"[$-en-US]ddd")</f>
        <v>Sun</v>
      </c>
    </row>
    <row r="1292" spans="1:11" x14ac:dyDescent="0.25">
      <c r="A1292">
        <v>8</v>
      </c>
      <c r="B1292" t="s">
        <v>9</v>
      </c>
      <c r="C1292">
        <v>23.02</v>
      </c>
      <c r="D1292" t="s">
        <v>22</v>
      </c>
      <c r="E1292" t="s">
        <v>11</v>
      </c>
      <c r="F1292" t="s">
        <v>33</v>
      </c>
      <c r="G1292">
        <v>1</v>
      </c>
      <c r="H1292">
        <v>8</v>
      </c>
      <c r="I1292" s="13">
        <v>45530</v>
      </c>
      <c r="J1292" s="13" t="str">
        <f>TEXT(Table1[[#This Row],[Date]],"[$-en-US]mmm yyyy")</f>
        <v>Aug 2024</v>
      </c>
      <c r="K1292" s="13" t="str">
        <f>TEXT(Table1[[#This Row],[Date]],"[$-en-US]ddd")</f>
        <v>Mon</v>
      </c>
    </row>
    <row r="1293" spans="1:11" x14ac:dyDescent="0.25">
      <c r="A1293">
        <v>8</v>
      </c>
      <c r="B1293" t="s">
        <v>9</v>
      </c>
      <c r="C1293">
        <v>23.02</v>
      </c>
      <c r="D1293" t="s">
        <v>16</v>
      </c>
      <c r="E1293" t="s">
        <v>11</v>
      </c>
      <c r="F1293" t="s">
        <v>33</v>
      </c>
      <c r="G1293">
        <v>1</v>
      </c>
      <c r="H1293">
        <v>8</v>
      </c>
      <c r="I1293" s="13">
        <v>45530</v>
      </c>
      <c r="J1293" s="13" t="str">
        <f>TEXT(Table1[[#This Row],[Date]],"[$-en-US]mmm yyyy")</f>
        <v>Aug 2024</v>
      </c>
      <c r="K1293" s="13" t="str">
        <f>TEXT(Table1[[#This Row],[Date]],"[$-en-US]ddd")</f>
        <v>Mon</v>
      </c>
    </row>
    <row r="1294" spans="1:11" x14ac:dyDescent="0.25">
      <c r="A1294">
        <v>8</v>
      </c>
      <c r="B1294" t="s">
        <v>9</v>
      </c>
      <c r="C1294">
        <v>23.02</v>
      </c>
      <c r="D1294" t="s">
        <v>16</v>
      </c>
      <c r="E1294" t="s">
        <v>11</v>
      </c>
      <c r="F1294" t="s">
        <v>33</v>
      </c>
      <c r="G1294">
        <v>1</v>
      </c>
      <c r="H1294">
        <v>8</v>
      </c>
      <c r="I1294" s="13">
        <v>45530</v>
      </c>
      <c r="J1294" s="13" t="str">
        <f>TEXT(Table1[[#This Row],[Date]],"[$-en-US]mmm yyyy")</f>
        <v>Aug 2024</v>
      </c>
      <c r="K1294" s="13" t="str">
        <f>TEXT(Table1[[#This Row],[Date]],"[$-en-US]ddd")</f>
        <v>Mon</v>
      </c>
    </row>
    <row r="1295" spans="1:11" x14ac:dyDescent="0.25">
      <c r="A1295">
        <v>9</v>
      </c>
      <c r="B1295" t="s">
        <v>9</v>
      </c>
      <c r="C1295">
        <v>27.92</v>
      </c>
      <c r="D1295" t="s">
        <v>17</v>
      </c>
      <c r="E1295" t="s">
        <v>11</v>
      </c>
      <c r="F1295" t="s">
        <v>33</v>
      </c>
      <c r="G1295">
        <v>1</v>
      </c>
      <c r="H1295">
        <v>8</v>
      </c>
      <c r="I1295" s="13">
        <v>45530</v>
      </c>
      <c r="J1295" s="13" t="str">
        <f>TEXT(Table1[[#This Row],[Date]],"[$-en-US]mmm yyyy")</f>
        <v>Aug 2024</v>
      </c>
      <c r="K1295" s="13" t="str">
        <f>TEXT(Table1[[#This Row],[Date]],"[$-en-US]ddd")</f>
        <v>Mon</v>
      </c>
    </row>
    <row r="1296" spans="1:11" x14ac:dyDescent="0.25">
      <c r="A1296">
        <v>10</v>
      </c>
      <c r="B1296" t="s">
        <v>9</v>
      </c>
      <c r="C1296">
        <v>32.82</v>
      </c>
      <c r="D1296" t="s">
        <v>10</v>
      </c>
      <c r="E1296" t="s">
        <v>11</v>
      </c>
      <c r="F1296" t="s">
        <v>33</v>
      </c>
      <c r="G1296">
        <v>1</v>
      </c>
      <c r="H1296">
        <v>8</v>
      </c>
      <c r="I1296" s="13">
        <v>45530</v>
      </c>
      <c r="J1296" s="13" t="str">
        <f>TEXT(Table1[[#This Row],[Date]],"[$-en-US]mmm yyyy")</f>
        <v>Aug 2024</v>
      </c>
      <c r="K1296" s="13" t="str">
        <f>TEXT(Table1[[#This Row],[Date]],"[$-en-US]ddd")</f>
        <v>Mon</v>
      </c>
    </row>
    <row r="1297" spans="1:11" x14ac:dyDescent="0.25">
      <c r="A1297">
        <v>10</v>
      </c>
      <c r="B1297" t="s">
        <v>9</v>
      </c>
      <c r="C1297">
        <v>32.82</v>
      </c>
      <c r="D1297" t="s">
        <v>27</v>
      </c>
      <c r="E1297" t="s">
        <v>11</v>
      </c>
      <c r="F1297" t="s">
        <v>33</v>
      </c>
      <c r="G1297">
        <v>1</v>
      </c>
      <c r="H1297">
        <v>8</v>
      </c>
      <c r="I1297" s="13">
        <v>45530</v>
      </c>
      <c r="J1297" s="13" t="str">
        <f>TEXT(Table1[[#This Row],[Date]],"[$-en-US]mmm yyyy")</f>
        <v>Aug 2024</v>
      </c>
      <c r="K1297" s="13" t="str">
        <f>TEXT(Table1[[#This Row],[Date]],"[$-en-US]ddd")</f>
        <v>Mon</v>
      </c>
    </row>
    <row r="1298" spans="1:11" x14ac:dyDescent="0.25">
      <c r="A1298">
        <v>12</v>
      </c>
      <c r="B1298" t="s">
        <v>9</v>
      </c>
      <c r="C1298">
        <v>23.02</v>
      </c>
      <c r="D1298" t="s">
        <v>16</v>
      </c>
      <c r="E1298" t="s">
        <v>15</v>
      </c>
      <c r="F1298" t="s">
        <v>33</v>
      </c>
      <c r="G1298">
        <v>1</v>
      </c>
      <c r="H1298">
        <v>8</v>
      </c>
      <c r="I1298" s="13">
        <v>45530</v>
      </c>
      <c r="J1298" s="13" t="str">
        <f>TEXT(Table1[[#This Row],[Date]],"[$-en-US]mmm yyyy")</f>
        <v>Aug 2024</v>
      </c>
      <c r="K1298" s="13" t="str">
        <f>TEXT(Table1[[#This Row],[Date]],"[$-en-US]ddd")</f>
        <v>Mon</v>
      </c>
    </row>
    <row r="1299" spans="1:11" x14ac:dyDescent="0.25">
      <c r="A1299">
        <v>12</v>
      </c>
      <c r="B1299" t="s">
        <v>9</v>
      </c>
      <c r="C1299">
        <v>23.02</v>
      </c>
      <c r="D1299" t="s">
        <v>16</v>
      </c>
      <c r="E1299" t="s">
        <v>15</v>
      </c>
      <c r="F1299" t="s">
        <v>33</v>
      </c>
      <c r="G1299">
        <v>1</v>
      </c>
      <c r="H1299">
        <v>8</v>
      </c>
      <c r="I1299" s="13">
        <v>45530</v>
      </c>
      <c r="J1299" s="13" t="str">
        <f>TEXT(Table1[[#This Row],[Date]],"[$-en-US]mmm yyyy")</f>
        <v>Aug 2024</v>
      </c>
      <c r="K1299" s="13" t="str">
        <f>TEXT(Table1[[#This Row],[Date]],"[$-en-US]ddd")</f>
        <v>Mon</v>
      </c>
    </row>
    <row r="1300" spans="1:11" x14ac:dyDescent="0.25">
      <c r="A1300">
        <v>18</v>
      </c>
      <c r="B1300" t="s">
        <v>9</v>
      </c>
      <c r="C1300">
        <v>27.92</v>
      </c>
      <c r="D1300" t="s">
        <v>17</v>
      </c>
      <c r="E1300" t="s">
        <v>18</v>
      </c>
      <c r="F1300" t="s">
        <v>33</v>
      </c>
      <c r="G1300">
        <v>1</v>
      </c>
      <c r="H1300">
        <v>8</v>
      </c>
      <c r="I1300" s="13">
        <v>45530</v>
      </c>
      <c r="J1300" s="13" t="str">
        <f>TEXT(Table1[[#This Row],[Date]],"[$-en-US]mmm yyyy")</f>
        <v>Aug 2024</v>
      </c>
      <c r="K1300" s="13" t="str">
        <f>TEXT(Table1[[#This Row],[Date]],"[$-en-US]ddd")</f>
        <v>Mon</v>
      </c>
    </row>
    <row r="1301" spans="1:11" x14ac:dyDescent="0.25">
      <c r="A1301">
        <v>18</v>
      </c>
      <c r="B1301" t="s">
        <v>9</v>
      </c>
      <c r="C1301">
        <v>32.82</v>
      </c>
      <c r="D1301" t="s">
        <v>10</v>
      </c>
      <c r="E1301" t="s">
        <v>18</v>
      </c>
      <c r="F1301" t="s">
        <v>33</v>
      </c>
      <c r="G1301">
        <v>1</v>
      </c>
      <c r="H1301">
        <v>8</v>
      </c>
      <c r="I1301" s="13">
        <v>45530</v>
      </c>
      <c r="J1301" s="13" t="str">
        <f>TEXT(Table1[[#This Row],[Date]],"[$-en-US]mmm yyyy")</f>
        <v>Aug 2024</v>
      </c>
      <c r="K1301" s="13" t="str">
        <f>TEXT(Table1[[#This Row],[Date]],"[$-en-US]ddd")</f>
        <v>Mon</v>
      </c>
    </row>
    <row r="1302" spans="1:11" x14ac:dyDescent="0.25">
      <c r="A1302">
        <v>22</v>
      </c>
      <c r="B1302" t="s">
        <v>9</v>
      </c>
      <c r="C1302">
        <v>27.92</v>
      </c>
      <c r="D1302" t="s">
        <v>17</v>
      </c>
      <c r="E1302" t="s">
        <v>18</v>
      </c>
      <c r="F1302" t="s">
        <v>33</v>
      </c>
      <c r="G1302">
        <v>1</v>
      </c>
      <c r="H1302">
        <v>8</v>
      </c>
      <c r="I1302" s="13">
        <v>45530</v>
      </c>
      <c r="J1302" s="13" t="str">
        <f>TEXT(Table1[[#This Row],[Date]],"[$-en-US]mmm yyyy")</f>
        <v>Aug 2024</v>
      </c>
      <c r="K1302" s="13" t="str">
        <f>TEXT(Table1[[#This Row],[Date]],"[$-en-US]ddd")</f>
        <v>Mon</v>
      </c>
    </row>
    <row r="1303" spans="1:11" x14ac:dyDescent="0.25">
      <c r="A1303">
        <v>10</v>
      </c>
      <c r="B1303" t="s">
        <v>9</v>
      </c>
      <c r="C1303">
        <v>32.82</v>
      </c>
      <c r="D1303" t="s">
        <v>10</v>
      </c>
      <c r="E1303" t="s">
        <v>11</v>
      </c>
      <c r="F1303" t="s">
        <v>33</v>
      </c>
      <c r="G1303">
        <v>2</v>
      </c>
      <c r="H1303">
        <v>8</v>
      </c>
      <c r="I1303" s="13">
        <v>45531</v>
      </c>
      <c r="J1303" s="13" t="str">
        <f>TEXT(Table1[[#This Row],[Date]],"[$-en-US]mmm yyyy")</f>
        <v>Aug 2024</v>
      </c>
      <c r="K1303" s="13" t="str">
        <f>TEXT(Table1[[#This Row],[Date]],"[$-en-US]ddd")</f>
        <v>Tue</v>
      </c>
    </row>
    <row r="1304" spans="1:11" x14ac:dyDescent="0.25">
      <c r="A1304">
        <v>12</v>
      </c>
      <c r="B1304" t="s">
        <v>9</v>
      </c>
      <c r="C1304">
        <v>27.92</v>
      </c>
      <c r="D1304" t="s">
        <v>17</v>
      </c>
      <c r="E1304" t="s">
        <v>15</v>
      </c>
      <c r="F1304" t="s">
        <v>33</v>
      </c>
      <c r="G1304">
        <v>3</v>
      </c>
      <c r="H1304">
        <v>8</v>
      </c>
      <c r="I1304" s="13">
        <v>45532</v>
      </c>
      <c r="J1304" s="13" t="str">
        <f>TEXT(Table1[[#This Row],[Date]],"[$-en-US]mmm yyyy")</f>
        <v>Aug 2024</v>
      </c>
      <c r="K1304" s="13" t="str">
        <f>TEXT(Table1[[#This Row],[Date]],"[$-en-US]ddd")</f>
        <v>Wed</v>
      </c>
    </row>
    <row r="1305" spans="1:11" x14ac:dyDescent="0.25">
      <c r="A1305">
        <v>12</v>
      </c>
      <c r="B1305" t="s">
        <v>9</v>
      </c>
      <c r="C1305">
        <v>32.82</v>
      </c>
      <c r="D1305" t="s">
        <v>27</v>
      </c>
      <c r="E1305" t="s">
        <v>15</v>
      </c>
      <c r="F1305" t="s">
        <v>33</v>
      </c>
      <c r="G1305">
        <v>3</v>
      </c>
      <c r="H1305">
        <v>8</v>
      </c>
      <c r="I1305" s="13">
        <v>45532</v>
      </c>
      <c r="J1305" s="13" t="str">
        <f>TEXT(Table1[[#This Row],[Date]],"[$-en-US]mmm yyyy")</f>
        <v>Aug 2024</v>
      </c>
      <c r="K1305" s="13" t="str">
        <f>TEXT(Table1[[#This Row],[Date]],"[$-en-US]ddd")</f>
        <v>Wed</v>
      </c>
    </row>
    <row r="1306" spans="1:11" x14ac:dyDescent="0.25">
      <c r="A1306">
        <v>12</v>
      </c>
      <c r="B1306" t="s">
        <v>9</v>
      </c>
      <c r="C1306">
        <v>23.02</v>
      </c>
      <c r="D1306" t="s">
        <v>16</v>
      </c>
      <c r="E1306" t="s">
        <v>15</v>
      </c>
      <c r="F1306" t="s">
        <v>33</v>
      </c>
      <c r="G1306">
        <v>3</v>
      </c>
      <c r="H1306">
        <v>8</v>
      </c>
      <c r="I1306" s="13">
        <v>45532</v>
      </c>
      <c r="J1306" s="13" t="str">
        <f>TEXT(Table1[[#This Row],[Date]],"[$-en-US]mmm yyyy")</f>
        <v>Aug 2024</v>
      </c>
      <c r="K1306" s="13" t="str">
        <f>TEXT(Table1[[#This Row],[Date]],"[$-en-US]ddd")</f>
        <v>Wed</v>
      </c>
    </row>
    <row r="1307" spans="1:11" x14ac:dyDescent="0.25">
      <c r="A1307">
        <v>13</v>
      </c>
      <c r="B1307" t="s">
        <v>9</v>
      </c>
      <c r="C1307">
        <v>27.92</v>
      </c>
      <c r="D1307" t="s">
        <v>17</v>
      </c>
      <c r="E1307" t="s">
        <v>15</v>
      </c>
      <c r="F1307" t="s">
        <v>33</v>
      </c>
      <c r="G1307">
        <v>3</v>
      </c>
      <c r="H1307">
        <v>8</v>
      </c>
      <c r="I1307" s="13">
        <v>45532</v>
      </c>
      <c r="J1307" s="13" t="str">
        <f>TEXT(Table1[[#This Row],[Date]],"[$-en-US]mmm yyyy")</f>
        <v>Aug 2024</v>
      </c>
      <c r="K1307" s="13" t="str">
        <f>TEXT(Table1[[#This Row],[Date]],"[$-en-US]ddd")</f>
        <v>Wed</v>
      </c>
    </row>
    <row r="1308" spans="1:11" x14ac:dyDescent="0.25">
      <c r="A1308">
        <v>7</v>
      </c>
      <c r="B1308" t="s">
        <v>9</v>
      </c>
      <c r="C1308">
        <v>23.02</v>
      </c>
      <c r="D1308" t="s">
        <v>16</v>
      </c>
      <c r="E1308" t="s">
        <v>11</v>
      </c>
      <c r="F1308" t="s">
        <v>33</v>
      </c>
      <c r="G1308">
        <v>4</v>
      </c>
      <c r="H1308">
        <v>8</v>
      </c>
      <c r="I1308" s="13">
        <v>45533</v>
      </c>
      <c r="J1308" s="13" t="str">
        <f>TEXT(Table1[[#This Row],[Date]],"[$-en-US]mmm yyyy")</f>
        <v>Aug 2024</v>
      </c>
      <c r="K1308" s="13" t="str">
        <f>TEXT(Table1[[#This Row],[Date]],"[$-en-US]ddd")</f>
        <v>Thu</v>
      </c>
    </row>
    <row r="1309" spans="1:11" x14ac:dyDescent="0.25">
      <c r="A1309">
        <v>17</v>
      </c>
      <c r="B1309" t="s">
        <v>9</v>
      </c>
      <c r="C1309">
        <v>32.82</v>
      </c>
      <c r="D1309" t="s">
        <v>10</v>
      </c>
      <c r="E1309" t="s">
        <v>18</v>
      </c>
      <c r="F1309" t="s">
        <v>33</v>
      </c>
      <c r="G1309">
        <v>5</v>
      </c>
      <c r="H1309">
        <v>8</v>
      </c>
      <c r="I1309" s="13">
        <v>45534</v>
      </c>
      <c r="J1309" s="13" t="str">
        <f>TEXT(Table1[[#This Row],[Date]],"[$-en-US]mmm yyyy")</f>
        <v>Aug 2024</v>
      </c>
      <c r="K1309" s="13" t="str">
        <f>TEXT(Table1[[#This Row],[Date]],"[$-en-US]ddd")</f>
        <v>Fri</v>
      </c>
    </row>
    <row r="1310" spans="1:11" x14ac:dyDescent="0.25">
      <c r="A1310">
        <v>17</v>
      </c>
      <c r="B1310" t="s">
        <v>9</v>
      </c>
      <c r="C1310">
        <v>27.92</v>
      </c>
      <c r="D1310" t="s">
        <v>17</v>
      </c>
      <c r="E1310" t="s">
        <v>18</v>
      </c>
      <c r="F1310" t="s">
        <v>33</v>
      </c>
      <c r="G1310">
        <v>5</v>
      </c>
      <c r="H1310">
        <v>8</v>
      </c>
      <c r="I1310" s="13">
        <v>45534</v>
      </c>
      <c r="J1310" s="13" t="str">
        <f>TEXT(Table1[[#This Row],[Date]],"[$-en-US]mmm yyyy")</f>
        <v>Aug 2024</v>
      </c>
      <c r="K1310" s="13" t="str">
        <f>TEXT(Table1[[#This Row],[Date]],"[$-en-US]ddd")</f>
        <v>Fri</v>
      </c>
    </row>
    <row r="1311" spans="1:11" x14ac:dyDescent="0.25">
      <c r="A1311">
        <v>17</v>
      </c>
      <c r="B1311" t="s">
        <v>9</v>
      </c>
      <c r="C1311">
        <v>27.92</v>
      </c>
      <c r="D1311" t="s">
        <v>17</v>
      </c>
      <c r="E1311" t="s">
        <v>18</v>
      </c>
      <c r="F1311" t="s">
        <v>33</v>
      </c>
      <c r="G1311">
        <v>5</v>
      </c>
      <c r="H1311">
        <v>8</v>
      </c>
      <c r="I1311" s="13">
        <v>45534</v>
      </c>
      <c r="J1311" s="13" t="str">
        <f>TEXT(Table1[[#This Row],[Date]],"[$-en-US]mmm yyyy")</f>
        <v>Aug 2024</v>
      </c>
      <c r="K1311" s="13" t="str">
        <f>TEXT(Table1[[#This Row],[Date]],"[$-en-US]ddd")</f>
        <v>Fri</v>
      </c>
    </row>
    <row r="1312" spans="1:11" x14ac:dyDescent="0.25">
      <c r="A1312">
        <v>9</v>
      </c>
      <c r="B1312" t="s">
        <v>9</v>
      </c>
      <c r="C1312">
        <v>23.02</v>
      </c>
      <c r="D1312" t="s">
        <v>22</v>
      </c>
      <c r="E1312" t="s">
        <v>11</v>
      </c>
      <c r="F1312" t="s">
        <v>33</v>
      </c>
      <c r="G1312">
        <v>6</v>
      </c>
      <c r="H1312">
        <v>8</v>
      </c>
      <c r="I1312" s="13">
        <v>45535</v>
      </c>
      <c r="J1312" s="13" t="str">
        <f>TEXT(Table1[[#This Row],[Date]],"[$-en-US]mmm yyyy")</f>
        <v>Aug 2024</v>
      </c>
      <c r="K1312" s="13" t="str">
        <f>TEXT(Table1[[#This Row],[Date]],"[$-en-US]ddd")</f>
        <v>Sat</v>
      </c>
    </row>
    <row r="1313" spans="1:11" x14ac:dyDescent="0.25">
      <c r="A1313">
        <v>10</v>
      </c>
      <c r="B1313" t="s">
        <v>9</v>
      </c>
      <c r="C1313">
        <v>27.92</v>
      </c>
      <c r="D1313" t="s">
        <v>17</v>
      </c>
      <c r="E1313" t="s">
        <v>11</v>
      </c>
      <c r="F1313" t="s">
        <v>33</v>
      </c>
      <c r="G1313">
        <v>6</v>
      </c>
      <c r="H1313">
        <v>8</v>
      </c>
      <c r="I1313" s="13">
        <v>45535</v>
      </c>
      <c r="J1313" s="13" t="str">
        <f>TEXT(Table1[[#This Row],[Date]],"[$-en-US]mmm yyyy")</f>
        <v>Aug 2024</v>
      </c>
      <c r="K1313" s="13" t="str">
        <f>TEXT(Table1[[#This Row],[Date]],"[$-en-US]ddd")</f>
        <v>Sat</v>
      </c>
    </row>
    <row r="1314" spans="1:11" x14ac:dyDescent="0.25">
      <c r="A1314">
        <v>10</v>
      </c>
      <c r="B1314" t="s">
        <v>9</v>
      </c>
      <c r="C1314">
        <v>18.12</v>
      </c>
      <c r="D1314" t="s">
        <v>24</v>
      </c>
      <c r="E1314" t="s">
        <v>11</v>
      </c>
      <c r="F1314" t="s">
        <v>33</v>
      </c>
      <c r="G1314">
        <v>6</v>
      </c>
      <c r="H1314">
        <v>8</v>
      </c>
      <c r="I1314" s="13">
        <v>45535</v>
      </c>
      <c r="J1314" s="13" t="str">
        <f>TEXT(Table1[[#This Row],[Date]],"[$-en-US]mmm yyyy")</f>
        <v>Aug 2024</v>
      </c>
      <c r="K1314" s="13" t="str">
        <f>TEXT(Table1[[#This Row],[Date]],"[$-en-US]ddd")</f>
        <v>Sat</v>
      </c>
    </row>
    <row r="1315" spans="1:11" x14ac:dyDescent="0.25">
      <c r="A1315">
        <v>11</v>
      </c>
      <c r="B1315" t="s">
        <v>9</v>
      </c>
      <c r="C1315">
        <v>27.92</v>
      </c>
      <c r="D1315" t="s">
        <v>17</v>
      </c>
      <c r="E1315" t="s">
        <v>11</v>
      </c>
      <c r="F1315" t="s">
        <v>33</v>
      </c>
      <c r="G1315">
        <v>6</v>
      </c>
      <c r="H1315">
        <v>8</v>
      </c>
      <c r="I1315" s="13">
        <v>45535</v>
      </c>
      <c r="J1315" s="13" t="str">
        <f>TEXT(Table1[[#This Row],[Date]],"[$-en-US]mmm yyyy")</f>
        <v>Aug 2024</v>
      </c>
      <c r="K1315" s="13" t="str">
        <f>TEXT(Table1[[#This Row],[Date]],"[$-en-US]ddd")</f>
        <v>Sat</v>
      </c>
    </row>
    <row r="1316" spans="1:11" x14ac:dyDescent="0.25">
      <c r="A1316">
        <v>11</v>
      </c>
      <c r="B1316" t="s">
        <v>9</v>
      </c>
      <c r="C1316">
        <v>23.02</v>
      </c>
      <c r="D1316" t="s">
        <v>22</v>
      </c>
      <c r="E1316" t="s">
        <v>11</v>
      </c>
      <c r="F1316" t="s">
        <v>33</v>
      </c>
      <c r="G1316">
        <v>6</v>
      </c>
      <c r="H1316">
        <v>8</v>
      </c>
      <c r="I1316" s="13">
        <v>45535</v>
      </c>
      <c r="J1316" s="13" t="str">
        <f>TEXT(Table1[[#This Row],[Date]],"[$-en-US]mmm yyyy")</f>
        <v>Aug 2024</v>
      </c>
      <c r="K1316" s="13" t="str">
        <f>TEXT(Table1[[#This Row],[Date]],"[$-en-US]ddd")</f>
        <v>Sat</v>
      </c>
    </row>
    <row r="1317" spans="1:11" x14ac:dyDescent="0.25">
      <c r="A1317">
        <v>11</v>
      </c>
      <c r="B1317" t="s">
        <v>9</v>
      </c>
      <c r="C1317">
        <v>23.02</v>
      </c>
      <c r="D1317" t="s">
        <v>22</v>
      </c>
      <c r="E1317" t="s">
        <v>11</v>
      </c>
      <c r="F1317" t="s">
        <v>33</v>
      </c>
      <c r="G1317">
        <v>6</v>
      </c>
      <c r="H1317">
        <v>8</v>
      </c>
      <c r="I1317" s="13">
        <v>45535</v>
      </c>
      <c r="J1317" s="13" t="str">
        <f>TEXT(Table1[[#This Row],[Date]],"[$-en-US]mmm yyyy")</f>
        <v>Aug 2024</v>
      </c>
      <c r="K1317" s="13" t="str">
        <f>TEXT(Table1[[#This Row],[Date]],"[$-en-US]ddd")</f>
        <v>Sat</v>
      </c>
    </row>
    <row r="1318" spans="1:11" x14ac:dyDescent="0.25">
      <c r="A1318">
        <v>9</v>
      </c>
      <c r="B1318" t="s">
        <v>9</v>
      </c>
      <c r="C1318">
        <v>23.02</v>
      </c>
      <c r="D1318" t="s">
        <v>22</v>
      </c>
      <c r="E1318" t="s">
        <v>11</v>
      </c>
      <c r="F1318" t="s">
        <v>34</v>
      </c>
      <c r="G1318">
        <v>7</v>
      </c>
      <c r="H1318">
        <v>9</v>
      </c>
      <c r="I1318" s="13">
        <v>45536</v>
      </c>
      <c r="J1318" s="13" t="str">
        <f>TEXT(Table1[[#This Row],[Date]],"[$-en-US]mmm yyyy")</f>
        <v>Sep 2024</v>
      </c>
      <c r="K1318" s="13" t="str">
        <f>TEXT(Table1[[#This Row],[Date]],"[$-en-US]ddd")</f>
        <v>Sun</v>
      </c>
    </row>
    <row r="1319" spans="1:11" x14ac:dyDescent="0.25">
      <c r="A1319">
        <v>12</v>
      </c>
      <c r="B1319" t="s">
        <v>9</v>
      </c>
      <c r="C1319">
        <v>32.82</v>
      </c>
      <c r="D1319" t="s">
        <v>27</v>
      </c>
      <c r="E1319" t="s">
        <v>15</v>
      </c>
      <c r="F1319" t="s">
        <v>34</v>
      </c>
      <c r="G1319">
        <v>7</v>
      </c>
      <c r="H1319">
        <v>9</v>
      </c>
      <c r="I1319" s="13">
        <v>45536</v>
      </c>
      <c r="J1319" s="13" t="str">
        <f>TEXT(Table1[[#This Row],[Date]],"[$-en-US]mmm yyyy")</f>
        <v>Sep 2024</v>
      </c>
      <c r="K1319" s="13" t="str">
        <f>TEXT(Table1[[#This Row],[Date]],"[$-en-US]ddd")</f>
        <v>Sun</v>
      </c>
    </row>
    <row r="1320" spans="1:11" x14ac:dyDescent="0.25">
      <c r="A1320">
        <v>12</v>
      </c>
      <c r="B1320" t="s">
        <v>9</v>
      </c>
      <c r="C1320">
        <v>27.92</v>
      </c>
      <c r="D1320" t="s">
        <v>17</v>
      </c>
      <c r="E1320" t="s">
        <v>15</v>
      </c>
      <c r="F1320" t="s">
        <v>34</v>
      </c>
      <c r="G1320">
        <v>7</v>
      </c>
      <c r="H1320">
        <v>9</v>
      </c>
      <c r="I1320" s="13">
        <v>45536</v>
      </c>
      <c r="J1320" s="13" t="str">
        <f>TEXT(Table1[[#This Row],[Date]],"[$-en-US]mmm yyyy")</f>
        <v>Sep 2024</v>
      </c>
      <c r="K1320" s="13" t="str">
        <f>TEXT(Table1[[#This Row],[Date]],"[$-en-US]ddd")</f>
        <v>Sun</v>
      </c>
    </row>
    <row r="1321" spans="1:11" x14ac:dyDescent="0.25">
      <c r="A1321">
        <v>12</v>
      </c>
      <c r="B1321" t="s">
        <v>9</v>
      </c>
      <c r="C1321">
        <v>23.02</v>
      </c>
      <c r="D1321" t="s">
        <v>16</v>
      </c>
      <c r="E1321" t="s">
        <v>15</v>
      </c>
      <c r="F1321" t="s">
        <v>34</v>
      </c>
      <c r="G1321">
        <v>7</v>
      </c>
      <c r="H1321">
        <v>9</v>
      </c>
      <c r="I1321" s="13">
        <v>45536</v>
      </c>
      <c r="J1321" s="13" t="str">
        <f>TEXT(Table1[[#This Row],[Date]],"[$-en-US]mmm yyyy")</f>
        <v>Sep 2024</v>
      </c>
      <c r="K1321" s="13" t="str">
        <f>TEXT(Table1[[#This Row],[Date]],"[$-en-US]ddd")</f>
        <v>Sun</v>
      </c>
    </row>
    <row r="1322" spans="1:11" x14ac:dyDescent="0.25">
      <c r="A1322">
        <v>12</v>
      </c>
      <c r="B1322" t="s">
        <v>9</v>
      </c>
      <c r="C1322">
        <v>27.92</v>
      </c>
      <c r="D1322" t="s">
        <v>17</v>
      </c>
      <c r="E1322" t="s">
        <v>15</v>
      </c>
      <c r="F1322" t="s">
        <v>34</v>
      </c>
      <c r="G1322">
        <v>7</v>
      </c>
      <c r="H1322">
        <v>9</v>
      </c>
      <c r="I1322" s="13">
        <v>45536</v>
      </c>
      <c r="J1322" s="13" t="str">
        <f>TEXT(Table1[[#This Row],[Date]],"[$-en-US]mmm yyyy")</f>
        <v>Sep 2024</v>
      </c>
      <c r="K1322" s="13" t="str">
        <f>TEXT(Table1[[#This Row],[Date]],"[$-en-US]ddd")</f>
        <v>Sun</v>
      </c>
    </row>
    <row r="1323" spans="1:11" x14ac:dyDescent="0.25">
      <c r="A1323">
        <v>13</v>
      </c>
      <c r="B1323" t="s">
        <v>9</v>
      </c>
      <c r="C1323">
        <v>32.82</v>
      </c>
      <c r="D1323" t="s">
        <v>10</v>
      </c>
      <c r="E1323" t="s">
        <v>15</v>
      </c>
      <c r="F1323" t="s">
        <v>34</v>
      </c>
      <c r="G1323">
        <v>7</v>
      </c>
      <c r="H1323">
        <v>9</v>
      </c>
      <c r="I1323" s="13">
        <v>45536</v>
      </c>
      <c r="J1323" s="13" t="str">
        <f>TEXT(Table1[[#This Row],[Date]],"[$-en-US]mmm yyyy")</f>
        <v>Sep 2024</v>
      </c>
      <c r="K1323" s="13" t="str">
        <f>TEXT(Table1[[#This Row],[Date]],"[$-en-US]ddd")</f>
        <v>Sun</v>
      </c>
    </row>
    <row r="1324" spans="1:11" x14ac:dyDescent="0.25">
      <c r="A1324">
        <v>14</v>
      </c>
      <c r="B1324" t="s">
        <v>9</v>
      </c>
      <c r="C1324">
        <v>27.92</v>
      </c>
      <c r="D1324" t="s">
        <v>17</v>
      </c>
      <c r="E1324" t="s">
        <v>15</v>
      </c>
      <c r="F1324" t="s">
        <v>34</v>
      </c>
      <c r="G1324">
        <v>7</v>
      </c>
      <c r="H1324">
        <v>9</v>
      </c>
      <c r="I1324" s="13">
        <v>45536</v>
      </c>
      <c r="J1324" s="13" t="str">
        <f>TEXT(Table1[[#This Row],[Date]],"[$-en-US]mmm yyyy")</f>
        <v>Sep 2024</v>
      </c>
      <c r="K1324" s="13" t="str">
        <f>TEXT(Table1[[#This Row],[Date]],"[$-en-US]ddd")</f>
        <v>Sun</v>
      </c>
    </row>
    <row r="1325" spans="1:11" x14ac:dyDescent="0.25">
      <c r="A1325">
        <v>17</v>
      </c>
      <c r="B1325" t="s">
        <v>9</v>
      </c>
      <c r="C1325">
        <v>32.82</v>
      </c>
      <c r="D1325" t="s">
        <v>10</v>
      </c>
      <c r="E1325" t="s">
        <v>18</v>
      </c>
      <c r="F1325" t="s">
        <v>34</v>
      </c>
      <c r="G1325">
        <v>7</v>
      </c>
      <c r="H1325">
        <v>9</v>
      </c>
      <c r="I1325" s="13">
        <v>45536</v>
      </c>
      <c r="J1325" s="13" t="str">
        <f>TEXT(Table1[[#This Row],[Date]],"[$-en-US]mmm yyyy")</f>
        <v>Sep 2024</v>
      </c>
      <c r="K1325" s="13" t="str">
        <f>TEXT(Table1[[#This Row],[Date]],"[$-en-US]ddd")</f>
        <v>Sun</v>
      </c>
    </row>
    <row r="1326" spans="1:11" x14ac:dyDescent="0.25">
      <c r="A1326">
        <v>17</v>
      </c>
      <c r="B1326" t="s">
        <v>9</v>
      </c>
      <c r="C1326">
        <v>32.82</v>
      </c>
      <c r="D1326" t="s">
        <v>10</v>
      </c>
      <c r="E1326" t="s">
        <v>18</v>
      </c>
      <c r="F1326" t="s">
        <v>34</v>
      </c>
      <c r="G1326">
        <v>7</v>
      </c>
      <c r="H1326">
        <v>9</v>
      </c>
      <c r="I1326" s="13">
        <v>45536</v>
      </c>
      <c r="J1326" s="13" t="str">
        <f>TEXT(Table1[[#This Row],[Date]],"[$-en-US]mmm yyyy")</f>
        <v>Sep 2024</v>
      </c>
      <c r="K1326" s="13" t="str">
        <f>TEXT(Table1[[#This Row],[Date]],"[$-en-US]ddd")</f>
        <v>Sun</v>
      </c>
    </row>
    <row r="1327" spans="1:11" x14ac:dyDescent="0.25">
      <c r="A1327">
        <v>17</v>
      </c>
      <c r="B1327" t="s">
        <v>9</v>
      </c>
      <c r="C1327">
        <v>32.82</v>
      </c>
      <c r="D1327" t="s">
        <v>10</v>
      </c>
      <c r="E1327" t="s">
        <v>18</v>
      </c>
      <c r="F1327" t="s">
        <v>34</v>
      </c>
      <c r="G1327">
        <v>7</v>
      </c>
      <c r="H1327">
        <v>9</v>
      </c>
      <c r="I1327" s="13">
        <v>45536</v>
      </c>
      <c r="J1327" s="13" t="str">
        <f>TEXT(Table1[[#This Row],[Date]],"[$-en-US]mmm yyyy")</f>
        <v>Sep 2024</v>
      </c>
      <c r="K1327" s="13" t="str">
        <f>TEXT(Table1[[#This Row],[Date]],"[$-en-US]ddd")</f>
        <v>Sun</v>
      </c>
    </row>
    <row r="1328" spans="1:11" x14ac:dyDescent="0.25">
      <c r="A1328">
        <v>8</v>
      </c>
      <c r="B1328" t="s">
        <v>9</v>
      </c>
      <c r="C1328">
        <v>32.82</v>
      </c>
      <c r="D1328" t="s">
        <v>10</v>
      </c>
      <c r="E1328" t="s">
        <v>11</v>
      </c>
      <c r="F1328" t="s">
        <v>34</v>
      </c>
      <c r="G1328">
        <v>1</v>
      </c>
      <c r="H1328">
        <v>9</v>
      </c>
      <c r="I1328" s="13">
        <v>45537</v>
      </c>
      <c r="J1328" s="13" t="str">
        <f>TEXT(Table1[[#This Row],[Date]],"[$-en-US]mmm yyyy")</f>
        <v>Sep 2024</v>
      </c>
      <c r="K1328" s="13" t="str">
        <f>TEXT(Table1[[#This Row],[Date]],"[$-en-US]ddd")</f>
        <v>Mon</v>
      </c>
    </row>
    <row r="1329" spans="1:11" x14ac:dyDescent="0.25">
      <c r="A1329">
        <v>8</v>
      </c>
      <c r="B1329" t="s">
        <v>9</v>
      </c>
      <c r="C1329">
        <v>27.92</v>
      </c>
      <c r="D1329" t="s">
        <v>17</v>
      </c>
      <c r="E1329" t="s">
        <v>11</v>
      </c>
      <c r="F1329" t="s">
        <v>34</v>
      </c>
      <c r="G1329">
        <v>1</v>
      </c>
      <c r="H1329">
        <v>9</v>
      </c>
      <c r="I1329" s="13">
        <v>45537</v>
      </c>
      <c r="J1329" s="13" t="str">
        <f>TEXT(Table1[[#This Row],[Date]],"[$-en-US]mmm yyyy")</f>
        <v>Sep 2024</v>
      </c>
      <c r="K1329" s="13" t="str">
        <f>TEXT(Table1[[#This Row],[Date]],"[$-en-US]ddd")</f>
        <v>Mon</v>
      </c>
    </row>
    <row r="1330" spans="1:11" x14ac:dyDescent="0.25">
      <c r="A1330">
        <v>8</v>
      </c>
      <c r="B1330" t="s">
        <v>9</v>
      </c>
      <c r="C1330">
        <v>32.82</v>
      </c>
      <c r="D1330" t="s">
        <v>10</v>
      </c>
      <c r="E1330" t="s">
        <v>11</v>
      </c>
      <c r="F1330" t="s">
        <v>34</v>
      </c>
      <c r="G1330">
        <v>1</v>
      </c>
      <c r="H1330">
        <v>9</v>
      </c>
      <c r="I1330" s="13">
        <v>45537</v>
      </c>
      <c r="J1330" s="13" t="str">
        <f>TEXT(Table1[[#This Row],[Date]],"[$-en-US]mmm yyyy")</f>
        <v>Sep 2024</v>
      </c>
      <c r="K1330" s="13" t="str">
        <f>TEXT(Table1[[#This Row],[Date]],"[$-en-US]ddd")</f>
        <v>Mon</v>
      </c>
    </row>
    <row r="1331" spans="1:11" x14ac:dyDescent="0.25">
      <c r="A1331">
        <v>14</v>
      </c>
      <c r="B1331" t="s">
        <v>9</v>
      </c>
      <c r="C1331">
        <v>27.92</v>
      </c>
      <c r="D1331" t="s">
        <v>17</v>
      </c>
      <c r="E1331" t="s">
        <v>15</v>
      </c>
      <c r="F1331" t="s">
        <v>34</v>
      </c>
      <c r="G1331">
        <v>1</v>
      </c>
      <c r="H1331">
        <v>9</v>
      </c>
      <c r="I1331" s="13">
        <v>45537</v>
      </c>
      <c r="J1331" s="13" t="str">
        <f>TEXT(Table1[[#This Row],[Date]],"[$-en-US]mmm yyyy")</f>
        <v>Sep 2024</v>
      </c>
      <c r="K1331" s="13" t="str">
        <f>TEXT(Table1[[#This Row],[Date]],"[$-en-US]ddd")</f>
        <v>Mon</v>
      </c>
    </row>
    <row r="1332" spans="1:11" x14ac:dyDescent="0.25">
      <c r="A1332">
        <v>20</v>
      </c>
      <c r="B1332" t="s">
        <v>9</v>
      </c>
      <c r="C1332">
        <v>32.82</v>
      </c>
      <c r="D1332" t="s">
        <v>27</v>
      </c>
      <c r="E1332" t="s">
        <v>18</v>
      </c>
      <c r="F1332" t="s">
        <v>34</v>
      </c>
      <c r="G1332">
        <v>1</v>
      </c>
      <c r="H1332">
        <v>9</v>
      </c>
      <c r="I1332" s="13">
        <v>45537</v>
      </c>
      <c r="J1332" s="13" t="str">
        <f>TEXT(Table1[[#This Row],[Date]],"[$-en-US]mmm yyyy")</f>
        <v>Sep 2024</v>
      </c>
      <c r="K1332" s="13" t="str">
        <f>TEXT(Table1[[#This Row],[Date]],"[$-en-US]ddd")</f>
        <v>Mon</v>
      </c>
    </row>
    <row r="1333" spans="1:11" x14ac:dyDescent="0.25">
      <c r="A1333">
        <v>20</v>
      </c>
      <c r="B1333" t="s">
        <v>9</v>
      </c>
      <c r="C1333">
        <v>32.82</v>
      </c>
      <c r="D1333" t="s">
        <v>19</v>
      </c>
      <c r="E1333" t="s">
        <v>18</v>
      </c>
      <c r="F1333" t="s">
        <v>34</v>
      </c>
      <c r="G1333">
        <v>1</v>
      </c>
      <c r="H1333">
        <v>9</v>
      </c>
      <c r="I1333" s="13">
        <v>45537</v>
      </c>
      <c r="J1333" s="13" t="str">
        <f>TEXT(Table1[[#This Row],[Date]],"[$-en-US]mmm yyyy")</f>
        <v>Sep 2024</v>
      </c>
      <c r="K1333" s="13" t="str">
        <f>TEXT(Table1[[#This Row],[Date]],"[$-en-US]ddd")</f>
        <v>Mon</v>
      </c>
    </row>
    <row r="1334" spans="1:11" x14ac:dyDescent="0.25">
      <c r="A1334">
        <v>20</v>
      </c>
      <c r="B1334" t="s">
        <v>9</v>
      </c>
      <c r="C1334">
        <v>23.02</v>
      </c>
      <c r="D1334" t="s">
        <v>16</v>
      </c>
      <c r="E1334" t="s">
        <v>18</v>
      </c>
      <c r="F1334" t="s">
        <v>34</v>
      </c>
      <c r="G1334">
        <v>1</v>
      </c>
      <c r="H1334">
        <v>9</v>
      </c>
      <c r="I1334" s="13">
        <v>45537</v>
      </c>
      <c r="J1334" s="13" t="str">
        <f>TEXT(Table1[[#This Row],[Date]],"[$-en-US]mmm yyyy")</f>
        <v>Sep 2024</v>
      </c>
      <c r="K1334" s="13" t="str">
        <f>TEXT(Table1[[#This Row],[Date]],"[$-en-US]ddd")</f>
        <v>Mon</v>
      </c>
    </row>
    <row r="1335" spans="1:11" x14ac:dyDescent="0.25">
      <c r="A1335">
        <v>20</v>
      </c>
      <c r="B1335" t="s">
        <v>9</v>
      </c>
      <c r="C1335">
        <v>23.02</v>
      </c>
      <c r="D1335" t="s">
        <v>16</v>
      </c>
      <c r="E1335" t="s">
        <v>18</v>
      </c>
      <c r="F1335" t="s">
        <v>34</v>
      </c>
      <c r="G1335">
        <v>1</v>
      </c>
      <c r="H1335">
        <v>9</v>
      </c>
      <c r="I1335" s="13">
        <v>45537</v>
      </c>
      <c r="J1335" s="13" t="str">
        <f>TEXT(Table1[[#This Row],[Date]],"[$-en-US]mmm yyyy")</f>
        <v>Sep 2024</v>
      </c>
      <c r="K1335" s="13" t="str">
        <f>TEXT(Table1[[#This Row],[Date]],"[$-en-US]ddd")</f>
        <v>Mon</v>
      </c>
    </row>
    <row r="1336" spans="1:11" x14ac:dyDescent="0.25">
      <c r="A1336">
        <v>8</v>
      </c>
      <c r="B1336" t="s">
        <v>9</v>
      </c>
      <c r="C1336">
        <v>32.82</v>
      </c>
      <c r="D1336" t="s">
        <v>19</v>
      </c>
      <c r="E1336" t="s">
        <v>11</v>
      </c>
      <c r="F1336" t="s">
        <v>34</v>
      </c>
      <c r="G1336">
        <v>2</v>
      </c>
      <c r="H1336">
        <v>9</v>
      </c>
      <c r="I1336" s="13">
        <v>45538</v>
      </c>
      <c r="J1336" s="13" t="str">
        <f>TEXT(Table1[[#This Row],[Date]],"[$-en-US]mmm yyyy")</f>
        <v>Sep 2024</v>
      </c>
      <c r="K1336" s="13" t="str">
        <f>TEXT(Table1[[#This Row],[Date]],"[$-en-US]ddd")</f>
        <v>Tue</v>
      </c>
    </row>
    <row r="1337" spans="1:11" x14ac:dyDescent="0.25">
      <c r="A1337">
        <v>8</v>
      </c>
      <c r="B1337" t="s">
        <v>9</v>
      </c>
      <c r="C1337">
        <v>32.82</v>
      </c>
      <c r="D1337" t="s">
        <v>27</v>
      </c>
      <c r="E1337" t="s">
        <v>11</v>
      </c>
      <c r="F1337" t="s">
        <v>34</v>
      </c>
      <c r="G1337">
        <v>2</v>
      </c>
      <c r="H1337">
        <v>9</v>
      </c>
      <c r="I1337" s="13">
        <v>45538</v>
      </c>
      <c r="J1337" s="13" t="str">
        <f>TEXT(Table1[[#This Row],[Date]],"[$-en-US]mmm yyyy")</f>
        <v>Sep 2024</v>
      </c>
      <c r="K1337" s="13" t="str">
        <f>TEXT(Table1[[#This Row],[Date]],"[$-en-US]ddd")</f>
        <v>Tue</v>
      </c>
    </row>
    <row r="1338" spans="1:11" x14ac:dyDescent="0.25">
      <c r="A1338">
        <v>8</v>
      </c>
      <c r="B1338" t="s">
        <v>9</v>
      </c>
      <c r="C1338">
        <v>32.82</v>
      </c>
      <c r="D1338" t="s">
        <v>10</v>
      </c>
      <c r="E1338" t="s">
        <v>11</v>
      </c>
      <c r="F1338" t="s">
        <v>34</v>
      </c>
      <c r="G1338">
        <v>2</v>
      </c>
      <c r="H1338">
        <v>9</v>
      </c>
      <c r="I1338" s="13">
        <v>45538</v>
      </c>
      <c r="J1338" s="13" t="str">
        <f>TEXT(Table1[[#This Row],[Date]],"[$-en-US]mmm yyyy")</f>
        <v>Sep 2024</v>
      </c>
      <c r="K1338" s="13" t="str">
        <f>TEXT(Table1[[#This Row],[Date]],"[$-en-US]ddd")</f>
        <v>Tue</v>
      </c>
    </row>
    <row r="1339" spans="1:11" x14ac:dyDescent="0.25">
      <c r="A1339">
        <v>9</v>
      </c>
      <c r="B1339" t="s">
        <v>9</v>
      </c>
      <c r="C1339">
        <v>27.92</v>
      </c>
      <c r="D1339" t="s">
        <v>17</v>
      </c>
      <c r="E1339" t="s">
        <v>11</v>
      </c>
      <c r="F1339" t="s">
        <v>34</v>
      </c>
      <c r="G1339">
        <v>2</v>
      </c>
      <c r="H1339">
        <v>9</v>
      </c>
      <c r="I1339" s="13">
        <v>45538</v>
      </c>
      <c r="J1339" s="13" t="str">
        <f>TEXT(Table1[[#This Row],[Date]],"[$-en-US]mmm yyyy")</f>
        <v>Sep 2024</v>
      </c>
      <c r="K1339" s="13" t="str">
        <f>TEXT(Table1[[#This Row],[Date]],"[$-en-US]ddd")</f>
        <v>Tue</v>
      </c>
    </row>
    <row r="1340" spans="1:11" x14ac:dyDescent="0.25">
      <c r="A1340">
        <v>9</v>
      </c>
      <c r="B1340" t="s">
        <v>9</v>
      </c>
      <c r="C1340">
        <v>32.82</v>
      </c>
      <c r="D1340" t="s">
        <v>27</v>
      </c>
      <c r="E1340" t="s">
        <v>11</v>
      </c>
      <c r="F1340" t="s">
        <v>34</v>
      </c>
      <c r="G1340">
        <v>2</v>
      </c>
      <c r="H1340">
        <v>9</v>
      </c>
      <c r="I1340" s="13">
        <v>45538</v>
      </c>
      <c r="J1340" s="13" t="str">
        <f>TEXT(Table1[[#This Row],[Date]],"[$-en-US]mmm yyyy")</f>
        <v>Sep 2024</v>
      </c>
      <c r="K1340" s="13" t="str">
        <f>TEXT(Table1[[#This Row],[Date]],"[$-en-US]ddd")</f>
        <v>Tue</v>
      </c>
    </row>
    <row r="1341" spans="1:11" x14ac:dyDescent="0.25">
      <c r="A1341">
        <v>9</v>
      </c>
      <c r="B1341" t="s">
        <v>9</v>
      </c>
      <c r="C1341">
        <v>32.82</v>
      </c>
      <c r="D1341" t="s">
        <v>19</v>
      </c>
      <c r="E1341" t="s">
        <v>11</v>
      </c>
      <c r="F1341" t="s">
        <v>34</v>
      </c>
      <c r="G1341">
        <v>2</v>
      </c>
      <c r="H1341">
        <v>9</v>
      </c>
      <c r="I1341" s="13">
        <v>45538</v>
      </c>
      <c r="J1341" s="13" t="str">
        <f>TEXT(Table1[[#This Row],[Date]],"[$-en-US]mmm yyyy")</f>
        <v>Sep 2024</v>
      </c>
      <c r="K1341" s="13" t="str">
        <f>TEXT(Table1[[#This Row],[Date]],"[$-en-US]ddd")</f>
        <v>Tue</v>
      </c>
    </row>
    <row r="1342" spans="1:11" x14ac:dyDescent="0.25">
      <c r="A1342">
        <v>9</v>
      </c>
      <c r="B1342" t="s">
        <v>9</v>
      </c>
      <c r="C1342">
        <v>32.82</v>
      </c>
      <c r="D1342" t="s">
        <v>19</v>
      </c>
      <c r="E1342" t="s">
        <v>11</v>
      </c>
      <c r="F1342" t="s">
        <v>34</v>
      </c>
      <c r="G1342">
        <v>2</v>
      </c>
      <c r="H1342">
        <v>9</v>
      </c>
      <c r="I1342" s="13">
        <v>45538</v>
      </c>
      <c r="J1342" s="13" t="str">
        <f>TEXT(Table1[[#This Row],[Date]],"[$-en-US]mmm yyyy")</f>
        <v>Sep 2024</v>
      </c>
      <c r="K1342" s="13" t="str">
        <f>TEXT(Table1[[#This Row],[Date]],"[$-en-US]ddd")</f>
        <v>Tue</v>
      </c>
    </row>
    <row r="1343" spans="1:11" x14ac:dyDescent="0.25">
      <c r="A1343">
        <v>9</v>
      </c>
      <c r="B1343" t="s">
        <v>9</v>
      </c>
      <c r="C1343">
        <v>27.92</v>
      </c>
      <c r="D1343" t="s">
        <v>17</v>
      </c>
      <c r="E1343" t="s">
        <v>11</v>
      </c>
      <c r="F1343" t="s">
        <v>34</v>
      </c>
      <c r="G1343">
        <v>2</v>
      </c>
      <c r="H1343">
        <v>9</v>
      </c>
      <c r="I1343" s="13">
        <v>45538</v>
      </c>
      <c r="J1343" s="13" t="str">
        <f>TEXT(Table1[[#This Row],[Date]],"[$-en-US]mmm yyyy")</f>
        <v>Sep 2024</v>
      </c>
      <c r="K1343" s="13" t="str">
        <f>TEXT(Table1[[#This Row],[Date]],"[$-en-US]ddd")</f>
        <v>Tue</v>
      </c>
    </row>
    <row r="1344" spans="1:11" x14ac:dyDescent="0.25">
      <c r="A1344">
        <v>9</v>
      </c>
      <c r="B1344" t="s">
        <v>9</v>
      </c>
      <c r="C1344">
        <v>27.92</v>
      </c>
      <c r="D1344" t="s">
        <v>17</v>
      </c>
      <c r="E1344" t="s">
        <v>11</v>
      </c>
      <c r="F1344" t="s">
        <v>34</v>
      </c>
      <c r="G1344">
        <v>2</v>
      </c>
      <c r="H1344">
        <v>9</v>
      </c>
      <c r="I1344" s="13">
        <v>45538</v>
      </c>
      <c r="J1344" s="13" t="str">
        <f>TEXT(Table1[[#This Row],[Date]],"[$-en-US]mmm yyyy")</f>
        <v>Sep 2024</v>
      </c>
      <c r="K1344" s="13" t="str">
        <f>TEXT(Table1[[#This Row],[Date]],"[$-en-US]ddd")</f>
        <v>Tue</v>
      </c>
    </row>
    <row r="1345" spans="1:11" x14ac:dyDescent="0.25">
      <c r="A1345">
        <v>9</v>
      </c>
      <c r="B1345" t="s">
        <v>9</v>
      </c>
      <c r="C1345">
        <v>32.82</v>
      </c>
      <c r="D1345" t="s">
        <v>10</v>
      </c>
      <c r="E1345" t="s">
        <v>11</v>
      </c>
      <c r="F1345" t="s">
        <v>34</v>
      </c>
      <c r="G1345">
        <v>2</v>
      </c>
      <c r="H1345">
        <v>9</v>
      </c>
      <c r="I1345" s="13">
        <v>45538</v>
      </c>
      <c r="J1345" s="13" t="str">
        <f>TEXT(Table1[[#This Row],[Date]],"[$-en-US]mmm yyyy")</f>
        <v>Sep 2024</v>
      </c>
      <c r="K1345" s="13" t="str">
        <f>TEXT(Table1[[#This Row],[Date]],"[$-en-US]ddd")</f>
        <v>Tue</v>
      </c>
    </row>
    <row r="1346" spans="1:11" x14ac:dyDescent="0.25">
      <c r="A1346">
        <v>9</v>
      </c>
      <c r="B1346" t="s">
        <v>9</v>
      </c>
      <c r="C1346">
        <v>32.82</v>
      </c>
      <c r="D1346" t="s">
        <v>19</v>
      </c>
      <c r="E1346" t="s">
        <v>11</v>
      </c>
      <c r="F1346" t="s">
        <v>34</v>
      </c>
      <c r="G1346">
        <v>2</v>
      </c>
      <c r="H1346">
        <v>9</v>
      </c>
      <c r="I1346" s="13">
        <v>45538</v>
      </c>
      <c r="J1346" s="13" t="str">
        <f>TEXT(Table1[[#This Row],[Date]],"[$-en-US]mmm yyyy")</f>
        <v>Sep 2024</v>
      </c>
      <c r="K1346" s="13" t="str">
        <f>TEXT(Table1[[#This Row],[Date]],"[$-en-US]ddd")</f>
        <v>Tue</v>
      </c>
    </row>
    <row r="1347" spans="1:11" x14ac:dyDescent="0.25">
      <c r="A1347">
        <v>12</v>
      </c>
      <c r="B1347" t="s">
        <v>9</v>
      </c>
      <c r="C1347">
        <v>23.02</v>
      </c>
      <c r="D1347" t="s">
        <v>22</v>
      </c>
      <c r="E1347" t="s">
        <v>15</v>
      </c>
      <c r="F1347" t="s">
        <v>34</v>
      </c>
      <c r="G1347">
        <v>2</v>
      </c>
      <c r="H1347">
        <v>9</v>
      </c>
      <c r="I1347" s="13">
        <v>45538</v>
      </c>
      <c r="J1347" s="13" t="str">
        <f>TEXT(Table1[[#This Row],[Date]],"[$-en-US]mmm yyyy")</f>
        <v>Sep 2024</v>
      </c>
      <c r="K1347" s="13" t="str">
        <f>TEXT(Table1[[#This Row],[Date]],"[$-en-US]ddd")</f>
        <v>Tue</v>
      </c>
    </row>
    <row r="1348" spans="1:11" x14ac:dyDescent="0.25">
      <c r="A1348">
        <v>14</v>
      </c>
      <c r="B1348" t="s">
        <v>9</v>
      </c>
      <c r="C1348">
        <v>27.92</v>
      </c>
      <c r="D1348" t="s">
        <v>17</v>
      </c>
      <c r="E1348" t="s">
        <v>15</v>
      </c>
      <c r="F1348" t="s">
        <v>34</v>
      </c>
      <c r="G1348">
        <v>2</v>
      </c>
      <c r="H1348">
        <v>9</v>
      </c>
      <c r="I1348" s="13">
        <v>45538</v>
      </c>
      <c r="J1348" s="13" t="str">
        <f>TEXT(Table1[[#This Row],[Date]],"[$-en-US]mmm yyyy")</f>
        <v>Sep 2024</v>
      </c>
      <c r="K1348" s="13" t="str">
        <f>TEXT(Table1[[#This Row],[Date]],"[$-en-US]ddd")</f>
        <v>Tue</v>
      </c>
    </row>
    <row r="1349" spans="1:11" x14ac:dyDescent="0.25">
      <c r="A1349">
        <v>14</v>
      </c>
      <c r="B1349" t="s">
        <v>9</v>
      </c>
      <c r="C1349">
        <v>27.92</v>
      </c>
      <c r="D1349" t="s">
        <v>17</v>
      </c>
      <c r="E1349" t="s">
        <v>15</v>
      </c>
      <c r="F1349" t="s">
        <v>34</v>
      </c>
      <c r="G1349">
        <v>2</v>
      </c>
      <c r="H1349">
        <v>9</v>
      </c>
      <c r="I1349" s="13">
        <v>45538</v>
      </c>
      <c r="J1349" s="13" t="str">
        <f>TEXT(Table1[[#This Row],[Date]],"[$-en-US]mmm yyyy")</f>
        <v>Sep 2024</v>
      </c>
      <c r="K1349" s="13" t="str">
        <f>TEXT(Table1[[#This Row],[Date]],"[$-en-US]ddd")</f>
        <v>Tue</v>
      </c>
    </row>
    <row r="1350" spans="1:11" x14ac:dyDescent="0.25">
      <c r="A1350">
        <v>18</v>
      </c>
      <c r="B1350" t="s">
        <v>9</v>
      </c>
      <c r="C1350">
        <v>27.92</v>
      </c>
      <c r="D1350" t="s">
        <v>17</v>
      </c>
      <c r="E1350" t="s">
        <v>18</v>
      </c>
      <c r="F1350" t="s">
        <v>34</v>
      </c>
      <c r="G1350">
        <v>2</v>
      </c>
      <c r="H1350">
        <v>9</v>
      </c>
      <c r="I1350" s="13">
        <v>45538</v>
      </c>
      <c r="J1350" s="13" t="str">
        <f>TEXT(Table1[[#This Row],[Date]],"[$-en-US]mmm yyyy")</f>
        <v>Sep 2024</v>
      </c>
      <c r="K1350" s="13" t="str">
        <f>TEXT(Table1[[#This Row],[Date]],"[$-en-US]ddd")</f>
        <v>Tue</v>
      </c>
    </row>
    <row r="1351" spans="1:11" x14ac:dyDescent="0.25">
      <c r="A1351">
        <v>19</v>
      </c>
      <c r="B1351" t="s">
        <v>9</v>
      </c>
      <c r="C1351">
        <v>32.82</v>
      </c>
      <c r="D1351" t="s">
        <v>10</v>
      </c>
      <c r="E1351" t="s">
        <v>18</v>
      </c>
      <c r="F1351" t="s">
        <v>34</v>
      </c>
      <c r="G1351">
        <v>2</v>
      </c>
      <c r="H1351">
        <v>9</v>
      </c>
      <c r="I1351" s="13">
        <v>45538</v>
      </c>
      <c r="J1351" s="13" t="str">
        <f>TEXT(Table1[[#This Row],[Date]],"[$-en-US]mmm yyyy")</f>
        <v>Sep 2024</v>
      </c>
      <c r="K1351" s="13" t="str">
        <f>TEXT(Table1[[#This Row],[Date]],"[$-en-US]ddd")</f>
        <v>Tue</v>
      </c>
    </row>
    <row r="1352" spans="1:11" x14ac:dyDescent="0.25">
      <c r="A1352">
        <v>19</v>
      </c>
      <c r="B1352" t="s">
        <v>9</v>
      </c>
      <c r="C1352">
        <v>27.92</v>
      </c>
      <c r="D1352" t="s">
        <v>17</v>
      </c>
      <c r="E1352" t="s">
        <v>18</v>
      </c>
      <c r="F1352" t="s">
        <v>34</v>
      </c>
      <c r="G1352">
        <v>2</v>
      </c>
      <c r="H1352">
        <v>9</v>
      </c>
      <c r="I1352" s="13">
        <v>45538</v>
      </c>
      <c r="J1352" s="13" t="str">
        <f>TEXT(Table1[[#This Row],[Date]],"[$-en-US]mmm yyyy")</f>
        <v>Sep 2024</v>
      </c>
      <c r="K1352" s="13" t="str">
        <f>TEXT(Table1[[#This Row],[Date]],"[$-en-US]ddd")</f>
        <v>Tue</v>
      </c>
    </row>
    <row r="1353" spans="1:11" x14ac:dyDescent="0.25">
      <c r="A1353">
        <v>11</v>
      </c>
      <c r="B1353" t="s">
        <v>9</v>
      </c>
      <c r="C1353">
        <v>27.92</v>
      </c>
      <c r="D1353" t="s">
        <v>17</v>
      </c>
      <c r="E1353" t="s">
        <v>11</v>
      </c>
      <c r="F1353" t="s">
        <v>34</v>
      </c>
      <c r="G1353">
        <v>3</v>
      </c>
      <c r="H1353">
        <v>9</v>
      </c>
      <c r="I1353" s="13">
        <v>45539</v>
      </c>
      <c r="J1353" s="13" t="str">
        <f>TEXT(Table1[[#This Row],[Date]],"[$-en-US]mmm yyyy")</f>
        <v>Sep 2024</v>
      </c>
      <c r="K1353" s="13" t="str">
        <f>TEXT(Table1[[#This Row],[Date]],"[$-en-US]ddd")</f>
        <v>Wed</v>
      </c>
    </row>
    <row r="1354" spans="1:11" x14ac:dyDescent="0.25">
      <c r="A1354">
        <v>11</v>
      </c>
      <c r="B1354" t="s">
        <v>9</v>
      </c>
      <c r="C1354">
        <v>32.82</v>
      </c>
      <c r="D1354" t="s">
        <v>10</v>
      </c>
      <c r="E1354" t="s">
        <v>11</v>
      </c>
      <c r="F1354" t="s">
        <v>34</v>
      </c>
      <c r="G1354">
        <v>3</v>
      </c>
      <c r="H1354">
        <v>9</v>
      </c>
      <c r="I1354" s="13">
        <v>45539</v>
      </c>
      <c r="J1354" s="13" t="str">
        <f>TEXT(Table1[[#This Row],[Date]],"[$-en-US]mmm yyyy")</f>
        <v>Sep 2024</v>
      </c>
      <c r="K1354" s="13" t="str">
        <f>TEXT(Table1[[#This Row],[Date]],"[$-en-US]ddd")</f>
        <v>Wed</v>
      </c>
    </row>
    <row r="1355" spans="1:11" x14ac:dyDescent="0.25">
      <c r="A1355">
        <v>11</v>
      </c>
      <c r="B1355" t="s">
        <v>9</v>
      </c>
      <c r="C1355">
        <v>23.02</v>
      </c>
      <c r="D1355" t="s">
        <v>16</v>
      </c>
      <c r="E1355" t="s">
        <v>11</v>
      </c>
      <c r="F1355" t="s">
        <v>34</v>
      </c>
      <c r="G1355">
        <v>3</v>
      </c>
      <c r="H1355">
        <v>9</v>
      </c>
      <c r="I1355" s="13">
        <v>45539</v>
      </c>
      <c r="J1355" s="13" t="str">
        <f>TEXT(Table1[[#This Row],[Date]],"[$-en-US]mmm yyyy")</f>
        <v>Sep 2024</v>
      </c>
      <c r="K1355" s="13" t="str">
        <f>TEXT(Table1[[#This Row],[Date]],"[$-en-US]ddd")</f>
        <v>Wed</v>
      </c>
    </row>
    <row r="1356" spans="1:11" x14ac:dyDescent="0.25">
      <c r="A1356">
        <v>11</v>
      </c>
      <c r="B1356" t="s">
        <v>9</v>
      </c>
      <c r="C1356">
        <v>27.92</v>
      </c>
      <c r="D1356" t="s">
        <v>17</v>
      </c>
      <c r="E1356" t="s">
        <v>11</v>
      </c>
      <c r="F1356" t="s">
        <v>34</v>
      </c>
      <c r="G1356">
        <v>3</v>
      </c>
      <c r="H1356">
        <v>9</v>
      </c>
      <c r="I1356" s="13">
        <v>45539</v>
      </c>
      <c r="J1356" s="13" t="str">
        <f>TEXT(Table1[[#This Row],[Date]],"[$-en-US]mmm yyyy")</f>
        <v>Sep 2024</v>
      </c>
      <c r="K1356" s="13" t="str">
        <f>TEXT(Table1[[#This Row],[Date]],"[$-en-US]ddd")</f>
        <v>Wed</v>
      </c>
    </row>
    <row r="1357" spans="1:11" x14ac:dyDescent="0.25">
      <c r="A1357">
        <v>12</v>
      </c>
      <c r="B1357" t="s">
        <v>9</v>
      </c>
      <c r="C1357">
        <v>32.82</v>
      </c>
      <c r="D1357" t="s">
        <v>10</v>
      </c>
      <c r="E1357" t="s">
        <v>15</v>
      </c>
      <c r="F1357" t="s">
        <v>34</v>
      </c>
      <c r="G1357">
        <v>3</v>
      </c>
      <c r="H1357">
        <v>9</v>
      </c>
      <c r="I1357" s="13">
        <v>45539</v>
      </c>
      <c r="J1357" s="13" t="str">
        <f>TEXT(Table1[[#This Row],[Date]],"[$-en-US]mmm yyyy")</f>
        <v>Sep 2024</v>
      </c>
      <c r="K1357" s="13" t="str">
        <f>TEXT(Table1[[#This Row],[Date]],"[$-en-US]ddd")</f>
        <v>Wed</v>
      </c>
    </row>
    <row r="1358" spans="1:11" x14ac:dyDescent="0.25">
      <c r="A1358">
        <v>13</v>
      </c>
      <c r="B1358" t="s">
        <v>9</v>
      </c>
      <c r="C1358">
        <v>32.82</v>
      </c>
      <c r="D1358" t="s">
        <v>10</v>
      </c>
      <c r="E1358" t="s">
        <v>15</v>
      </c>
      <c r="F1358" t="s">
        <v>34</v>
      </c>
      <c r="G1358">
        <v>3</v>
      </c>
      <c r="H1358">
        <v>9</v>
      </c>
      <c r="I1358" s="13">
        <v>45539</v>
      </c>
      <c r="J1358" s="13" t="str">
        <f>TEXT(Table1[[#This Row],[Date]],"[$-en-US]mmm yyyy")</f>
        <v>Sep 2024</v>
      </c>
      <c r="K1358" s="13" t="str">
        <f>TEXT(Table1[[#This Row],[Date]],"[$-en-US]ddd")</f>
        <v>Wed</v>
      </c>
    </row>
    <row r="1359" spans="1:11" x14ac:dyDescent="0.25">
      <c r="A1359">
        <v>13</v>
      </c>
      <c r="B1359" t="s">
        <v>9</v>
      </c>
      <c r="C1359">
        <v>27.92</v>
      </c>
      <c r="D1359" t="s">
        <v>17</v>
      </c>
      <c r="E1359" t="s">
        <v>15</v>
      </c>
      <c r="F1359" t="s">
        <v>34</v>
      </c>
      <c r="G1359">
        <v>3</v>
      </c>
      <c r="H1359">
        <v>9</v>
      </c>
      <c r="I1359" s="13">
        <v>45539</v>
      </c>
      <c r="J1359" s="13" t="str">
        <f>TEXT(Table1[[#This Row],[Date]],"[$-en-US]mmm yyyy")</f>
        <v>Sep 2024</v>
      </c>
      <c r="K1359" s="13" t="str">
        <f>TEXT(Table1[[#This Row],[Date]],"[$-en-US]ddd")</f>
        <v>Wed</v>
      </c>
    </row>
    <row r="1360" spans="1:11" x14ac:dyDescent="0.25">
      <c r="A1360">
        <v>18</v>
      </c>
      <c r="B1360" t="s">
        <v>9</v>
      </c>
      <c r="C1360">
        <v>32.82</v>
      </c>
      <c r="D1360" t="s">
        <v>27</v>
      </c>
      <c r="E1360" t="s">
        <v>18</v>
      </c>
      <c r="F1360" t="s">
        <v>34</v>
      </c>
      <c r="G1360">
        <v>3</v>
      </c>
      <c r="H1360">
        <v>9</v>
      </c>
      <c r="I1360" s="13">
        <v>45539</v>
      </c>
      <c r="J1360" s="13" t="str">
        <f>TEXT(Table1[[#This Row],[Date]],"[$-en-US]mmm yyyy")</f>
        <v>Sep 2024</v>
      </c>
      <c r="K1360" s="13" t="str">
        <f>TEXT(Table1[[#This Row],[Date]],"[$-en-US]ddd")</f>
        <v>Wed</v>
      </c>
    </row>
    <row r="1361" spans="1:11" x14ac:dyDescent="0.25">
      <c r="A1361">
        <v>19</v>
      </c>
      <c r="B1361" t="s">
        <v>9</v>
      </c>
      <c r="C1361">
        <v>27.92</v>
      </c>
      <c r="D1361" t="s">
        <v>17</v>
      </c>
      <c r="E1361" t="s">
        <v>18</v>
      </c>
      <c r="F1361" t="s">
        <v>34</v>
      </c>
      <c r="G1361">
        <v>3</v>
      </c>
      <c r="H1361">
        <v>9</v>
      </c>
      <c r="I1361" s="13">
        <v>45539</v>
      </c>
      <c r="J1361" s="13" t="str">
        <f>TEXT(Table1[[#This Row],[Date]],"[$-en-US]mmm yyyy")</f>
        <v>Sep 2024</v>
      </c>
      <c r="K1361" s="13" t="str">
        <f>TEXT(Table1[[#This Row],[Date]],"[$-en-US]ddd")</f>
        <v>Wed</v>
      </c>
    </row>
    <row r="1362" spans="1:11" x14ac:dyDescent="0.25">
      <c r="A1362">
        <v>21</v>
      </c>
      <c r="B1362" t="s">
        <v>9</v>
      </c>
      <c r="C1362">
        <v>32.82</v>
      </c>
      <c r="D1362" t="s">
        <v>10</v>
      </c>
      <c r="E1362" t="s">
        <v>18</v>
      </c>
      <c r="F1362" t="s">
        <v>34</v>
      </c>
      <c r="G1362">
        <v>3</v>
      </c>
      <c r="H1362">
        <v>9</v>
      </c>
      <c r="I1362" s="13">
        <v>45539</v>
      </c>
      <c r="J1362" s="13" t="str">
        <f>TEXT(Table1[[#This Row],[Date]],"[$-en-US]mmm yyyy")</f>
        <v>Sep 2024</v>
      </c>
      <c r="K1362" s="13" t="str">
        <f>TEXT(Table1[[#This Row],[Date]],"[$-en-US]ddd")</f>
        <v>Wed</v>
      </c>
    </row>
    <row r="1363" spans="1:11" x14ac:dyDescent="0.25">
      <c r="A1363">
        <v>9</v>
      </c>
      <c r="B1363" t="s">
        <v>9</v>
      </c>
      <c r="C1363">
        <v>27.92</v>
      </c>
      <c r="D1363" t="s">
        <v>17</v>
      </c>
      <c r="E1363" t="s">
        <v>11</v>
      </c>
      <c r="F1363" t="s">
        <v>34</v>
      </c>
      <c r="G1363">
        <v>4</v>
      </c>
      <c r="H1363">
        <v>9</v>
      </c>
      <c r="I1363" s="13">
        <v>45540</v>
      </c>
      <c r="J1363" s="13" t="str">
        <f>TEXT(Table1[[#This Row],[Date]],"[$-en-US]mmm yyyy")</f>
        <v>Sep 2024</v>
      </c>
      <c r="K1363" s="13" t="str">
        <f>TEXT(Table1[[#This Row],[Date]],"[$-en-US]ddd")</f>
        <v>Thu</v>
      </c>
    </row>
    <row r="1364" spans="1:11" x14ac:dyDescent="0.25">
      <c r="A1364">
        <v>10</v>
      </c>
      <c r="B1364" t="s">
        <v>9</v>
      </c>
      <c r="C1364">
        <v>27.92</v>
      </c>
      <c r="D1364" t="s">
        <v>17</v>
      </c>
      <c r="E1364" t="s">
        <v>11</v>
      </c>
      <c r="F1364" t="s">
        <v>34</v>
      </c>
      <c r="G1364">
        <v>4</v>
      </c>
      <c r="H1364">
        <v>9</v>
      </c>
      <c r="I1364" s="13">
        <v>45540</v>
      </c>
      <c r="J1364" s="13" t="str">
        <f>TEXT(Table1[[#This Row],[Date]],"[$-en-US]mmm yyyy")</f>
        <v>Sep 2024</v>
      </c>
      <c r="K1364" s="13" t="str">
        <f>TEXT(Table1[[#This Row],[Date]],"[$-en-US]ddd")</f>
        <v>Thu</v>
      </c>
    </row>
    <row r="1365" spans="1:11" x14ac:dyDescent="0.25">
      <c r="A1365">
        <v>11</v>
      </c>
      <c r="B1365" t="s">
        <v>9</v>
      </c>
      <c r="C1365">
        <v>23.02</v>
      </c>
      <c r="D1365" t="s">
        <v>16</v>
      </c>
      <c r="E1365" t="s">
        <v>11</v>
      </c>
      <c r="F1365" t="s">
        <v>34</v>
      </c>
      <c r="G1365">
        <v>4</v>
      </c>
      <c r="H1365">
        <v>9</v>
      </c>
      <c r="I1365" s="13">
        <v>45540</v>
      </c>
      <c r="J1365" s="13" t="str">
        <f>TEXT(Table1[[#This Row],[Date]],"[$-en-US]mmm yyyy")</f>
        <v>Sep 2024</v>
      </c>
      <c r="K1365" s="13" t="str">
        <f>TEXT(Table1[[#This Row],[Date]],"[$-en-US]ddd")</f>
        <v>Thu</v>
      </c>
    </row>
    <row r="1366" spans="1:11" x14ac:dyDescent="0.25">
      <c r="A1366">
        <v>14</v>
      </c>
      <c r="B1366" t="s">
        <v>9</v>
      </c>
      <c r="C1366">
        <v>32.82</v>
      </c>
      <c r="D1366" t="s">
        <v>10</v>
      </c>
      <c r="E1366" t="s">
        <v>15</v>
      </c>
      <c r="F1366" t="s">
        <v>34</v>
      </c>
      <c r="G1366">
        <v>4</v>
      </c>
      <c r="H1366">
        <v>9</v>
      </c>
      <c r="I1366" s="13">
        <v>45540</v>
      </c>
      <c r="J1366" s="13" t="str">
        <f>TEXT(Table1[[#This Row],[Date]],"[$-en-US]mmm yyyy")</f>
        <v>Sep 2024</v>
      </c>
      <c r="K1366" s="13" t="str">
        <f>TEXT(Table1[[#This Row],[Date]],"[$-en-US]ddd")</f>
        <v>Thu</v>
      </c>
    </row>
    <row r="1367" spans="1:11" x14ac:dyDescent="0.25">
      <c r="A1367">
        <v>15</v>
      </c>
      <c r="B1367" t="s">
        <v>9</v>
      </c>
      <c r="C1367">
        <v>32.82</v>
      </c>
      <c r="D1367" t="s">
        <v>10</v>
      </c>
      <c r="E1367" t="s">
        <v>15</v>
      </c>
      <c r="F1367" t="s">
        <v>34</v>
      </c>
      <c r="G1367">
        <v>4</v>
      </c>
      <c r="H1367">
        <v>9</v>
      </c>
      <c r="I1367" s="13">
        <v>45540</v>
      </c>
      <c r="J1367" s="13" t="str">
        <f>TEXT(Table1[[#This Row],[Date]],"[$-en-US]mmm yyyy")</f>
        <v>Sep 2024</v>
      </c>
      <c r="K1367" s="13" t="str">
        <f>TEXT(Table1[[#This Row],[Date]],"[$-en-US]ddd")</f>
        <v>Thu</v>
      </c>
    </row>
    <row r="1368" spans="1:11" x14ac:dyDescent="0.25">
      <c r="A1368">
        <v>16</v>
      </c>
      <c r="B1368" t="s">
        <v>9</v>
      </c>
      <c r="C1368">
        <v>23.02</v>
      </c>
      <c r="D1368" t="s">
        <v>16</v>
      </c>
      <c r="E1368" t="s">
        <v>15</v>
      </c>
      <c r="F1368" t="s">
        <v>34</v>
      </c>
      <c r="G1368">
        <v>4</v>
      </c>
      <c r="H1368">
        <v>9</v>
      </c>
      <c r="I1368" s="13">
        <v>45540</v>
      </c>
      <c r="J1368" s="13" t="str">
        <f>TEXT(Table1[[#This Row],[Date]],"[$-en-US]mmm yyyy")</f>
        <v>Sep 2024</v>
      </c>
      <c r="K1368" s="13" t="str">
        <f>TEXT(Table1[[#This Row],[Date]],"[$-en-US]ddd")</f>
        <v>Thu</v>
      </c>
    </row>
    <row r="1369" spans="1:11" x14ac:dyDescent="0.25">
      <c r="A1369">
        <v>16</v>
      </c>
      <c r="B1369" t="s">
        <v>9</v>
      </c>
      <c r="C1369">
        <v>27.92</v>
      </c>
      <c r="D1369" t="s">
        <v>17</v>
      </c>
      <c r="E1369" t="s">
        <v>15</v>
      </c>
      <c r="F1369" t="s">
        <v>34</v>
      </c>
      <c r="G1369">
        <v>4</v>
      </c>
      <c r="H1369">
        <v>9</v>
      </c>
      <c r="I1369" s="13">
        <v>45540</v>
      </c>
      <c r="J1369" s="13" t="str">
        <f>TEXT(Table1[[#This Row],[Date]],"[$-en-US]mmm yyyy")</f>
        <v>Sep 2024</v>
      </c>
      <c r="K1369" s="13" t="str">
        <f>TEXT(Table1[[#This Row],[Date]],"[$-en-US]ddd")</f>
        <v>Thu</v>
      </c>
    </row>
    <row r="1370" spans="1:11" x14ac:dyDescent="0.25">
      <c r="A1370">
        <v>17</v>
      </c>
      <c r="B1370" t="s">
        <v>9</v>
      </c>
      <c r="C1370">
        <v>32.82</v>
      </c>
      <c r="D1370" t="s">
        <v>27</v>
      </c>
      <c r="E1370" t="s">
        <v>18</v>
      </c>
      <c r="F1370" t="s">
        <v>34</v>
      </c>
      <c r="G1370">
        <v>4</v>
      </c>
      <c r="H1370">
        <v>9</v>
      </c>
      <c r="I1370" s="13">
        <v>45540</v>
      </c>
      <c r="J1370" s="13" t="str">
        <f>TEXT(Table1[[#This Row],[Date]],"[$-en-US]mmm yyyy")</f>
        <v>Sep 2024</v>
      </c>
      <c r="K1370" s="13" t="str">
        <f>TEXT(Table1[[#This Row],[Date]],"[$-en-US]ddd")</f>
        <v>Thu</v>
      </c>
    </row>
    <row r="1371" spans="1:11" x14ac:dyDescent="0.25">
      <c r="A1371">
        <v>17</v>
      </c>
      <c r="B1371" t="s">
        <v>9</v>
      </c>
      <c r="C1371">
        <v>32.82</v>
      </c>
      <c r="D1371" t="s">
        <v>27</v>
      </c>
      <c r="E1371" t="s">
        <v>18</v>
      </c>
      <c r="F1371" t="s">
        <v>34</v>
      </c>
      <c r="G1371">
        <v>4</v>
      </c>
      <c r="H1371">
        <v>9</v>
      </c>
      <c r="I1371" s="13">
        <v>45540</v>
      </c>
      <c r="J1371" s="13" t="str">
        <f>TEXT(Table1[[#This Row],[Date]],"[$-en-US]mmm yyyy")</f>
        <v>Sep 2024</v>
      </c>
      <c r="K1371" s="13" t="str">
        <f>TEXT(Table1[[#This Row],[Date]],"[$-en-US]ddd")</f>
        <v>Thu</v>
      </c>
    </row>
    <row r="1372" spans="1:11" x14ac:dyDescent="0.25">
      <c r="A1372">
        <v>20</v>
      </c>
      <c r="B1372" t="s">
        <v>9</v>
      </c>
      <c r="C1372">
        <v>32.82</v>
      </c>
      <c r="D1372" t="s">
        <v>27</v>
      </c>
      <c r="E1372" t="s">
        <v>18</v>
      </c>
      <c r="F1372" t="s">
        <v>34</v>
      </c>
      <c r="G1372">
        <v>4</v>
      </c>
      <c r="H1372">
        <v>9</v>
      </c>
      <c r="I1372" s="13">
        <v>45540</v>
      </c>
      <c r="J1372" s="13" t="str">
        <f>TEXT(Table1[[#This Row],[Date]],"[$-en-US]mmm yyyy")</f>
        <v>Sep 2024</v>
      </c>
      <c r="K1372" s="13" t="str">
        <f>TEXT(Table1[[#This Row],[Date]],"[$-en-US]ddd")</f>
        <v>Thu</v>
      </c>
    </row>
    <row r="1373" spans="1:11" x14ac:dyDescent="0.25">
      <c r="A1373">
        <v>20</v>
      </c>
      <c r="B1373" t="s">
        <v>9</v>
      </c>
      <c r="C1373">
        <v>23.02</v>
      </c>
      <c r="D1373" t="s">
        <v>16</v>
      </c>
      <c r="E1373" t="s">
        <v>18</v>
      </c>
      <c r="F1373" t="s">
        <v>34</v>
      </c>
      <c r="G1373">
        <v>4</v>
      </c>
      <c r="H1373">
        <v>9</v>
      </c>
      <c r="I1373" s="13">
        <v>45540</v>
      </c>
      <c r="J1373" s="13" t="str">
        <f>TEXT(Table1[[#This Row],[Date]],"[$-en-US]mmm yyyy")</f>
        <v>Sep 2024</v>
      </c>
      <c r="K1373" s="13" t="str">
        <f>TEXT(Table1[[#This Row],[Date]],"[$-en-US]ddd")</f>
        <v>Thu</v>
      </c>
    </row>
    <row r="1374" spans="1:11" x14ac:dyDescent="0.25">
      <c r="A1374">
        <v>20</v>
      </c>
      <c r="B1374" t="s">
        <v>9</v>
      </c>
      <c r="C1374">
        <v>32.82</v>
      </c>
      <c r="D1374" t="s">
        <v>27</v>
      </c>
      <c r="E1374" t="s">
        <v>18</v>
      </c>
      <c r="F1374" t="s">
        <v>34</v>
      </c>
      <c r="G1374">
        <v>4</v>
      </c>
      <c r="H1374">
        <v>9</v>
      </c>
      <c r="I1374" s="13">
        <v>45540</v>
      </c>
      <c r="J1374" s="13" t="str">
        <f>TEXT(Table1[[#This Row],[Date]],"[$-en-US]mmm yyyy")</f>
        <v>Sep 2024</v>
      </c>
      <c r="K1374" s="13" t="str">
        <f>TEXT(Table1[[#This Row],[Date]],"[$-en-US]ddd")</f>
        <v>Thu</v>
      </c>
    </row>
    <row r="1375" spans="1:11" x14ac:dyDescent="0.25">
      <c r="A1375">
        <v>21</v>
      </c>
      <c r="B1375" t="s">
        <v>9</v>
      </c>
      <c r="C1375">
        <v>27.92</v>
      </c>
      <c r="D1375" t="s">
        <v>17</v>
      </c>
      <c r="E1375" t="s">
        <v>18</v>
      </c>
      <c r="F1375" t="s">
        <v>34</v>
      </c>
      <c r="G1375">
        <v>4</v>
      </c>
      <c r="H1375">
        <v>9</v>
      </c>
      <c r="I1375" s="13">
        <v>45540</v>
      </c>
      <c r="J1375" s="13" t="str">
        <f>TEXT(Table1[[#This Row],[Date]],"[$-en-US]mmm yyyy")</f>
        <v>Sep 2024</v>
      </c>
      <c r="K1375" s="13" t="str">
        <f>TEXT(Table1[[#This Row],[Date]],"[$-en-US]ddd")</f>
        <v>Thu</v>
      </c>
    </row>
    <row r="1376" spans="1:11" x14ac:dyDescent="0.25">
      <c r="A1376">
        <v>21</v>
      </c>
      <c r="B1376" t="s">
        <v>9</v>
      </c>
      <c r="C1376">
        <v>27.92</v>
      </c>
      <c r="D1376" t="s">
        <v>17</v>
      </c>
      <c r="E1376" t="s">
        <v>18</v>
      </c>
      <c r="F1376" t="s">
        <v>34</v>
      </c>
      <c r="G1376">
        <v>4</v>
      </c>
      <c r="H1376">
        <v>9</v>
      </c>
      <c r="I1376" s="13">
        <v>45540</v>
      </c>
      <c r="J1376" s="13" t="str">
        <f>TEXT(Table1[[#This Row],[Date]],"[$-en-US]mmm yyyy")</f>
        <v>Sep 2024</v>
      </c>
      <c r="K1376" s="13" t="str">
        <f>TEXT(Table1[[#This Row],[Date]],"[$-en-US]ddd")</f>
        <v>Thu</v>
      </c>
    </row>
    <row r="1377" spans="1:11" x14ac:dyDescent="0.25">
      <c r="A1377">
        <v>8</v>
      </c>
      <c r="B1377" t="s">
        <v>9</v>
      </c>
      <c r="C1377">
        <v>32.82</v>
      </c>
      <c r="D1377" t="s">
        <v>27</v>
      </c>
      <c r="E1377" t="s">
        <v>11</v>
      </c>
      <c r="F1377" t="s">
        <v>34</v>
      </c>
      <c r="G1377">
        <v>5</v>
      </c>
      <c r="H1377">
        <v>9</v>
      </c>
      <c r="I1377" s="13">
        <v>45541</v>
      </c>
      <c r="J1377" s="13" t="str">
        <f>TEXT(Table1[[#This Row],[Date]],"[$-en-US]mmm yyyy")</f>
        <v>Sep 2024</v>
      </c>
      <c r="K1377" s="13" t="str">
        <f>TEXT(Table1[[#This Row],[Date]],"[$-en-US]ddd")</f>
        <v>Fri</v>
      </c>
    </row>
    <row r="1378" spans="1:11" x14ac:dyDescent="0.25">
      <c r="A1378">
        <v>8</v>
      </c>
      <c r="B1378" t="s">
        <v>9</v>
      </c>
      <c r="C1378">
        <v>32.82</v>
      </c>
      <c r="D1378" t="s">
        <v>10</v>
      </c>
      <c r="E1378" t="s">
        <v>11</v>
      </c>
      <c r="F1378" t="s">
        <v>34</v>
      </c>
      <c r="G1378">
        <v>5</v>
      </c>
      <c r="H1378">
        <v>9</v>
      </c>
      <c r="I1378" s="13">
        <v>45541</v>
      </c>
      <c r="J1378" s="13" t="str">
        <f>TEXT(Table1[[#This Row],[Date]],"[$-en-US]mmm yyyy")</f>
        <v>Sep 2024</v>
      </c>
      <c r="K1378" s="13" t="str">
        <f>TEXT(Table1[[#This Row],[Date]],"[$-en-US]ddd")</f>
        <v>Fri</v>
      </c>
    </row>
    <row r="1379" spans="1:11" x14ac:dyDescent="0.25">
      <c r="A1379">
        <v>8</v>
      </c>
      <c r="B1379" t="s">
        <v>9</v>
      </c>
      <c r="C1379">
        <v>23.02</v>
      </c>
      <c r="D1379" t="s">
        <v>16</v>
      </c>
      <c r="E1379" t="s">
        <v>11</v>
      </c>
      <c r="F1379" t="s">
        <v>34</v>
      </c>
      <c r="G1379">
        <v>5</v>
      </c>
      <c r="H1379">
        <v>9</v>
      </c>
      <c r="I1379" s="13">
        <v>45541</v>
      </c>
      <c r="J1379" s="13" t="str">
        <f>TEXT(Table1[[#This Row],[Date]],"[$-en-US]mmm yyyy")</f>
        <v>Sep 2024</v>
      </c>
      <c r="K1379" s="13" t="str">
        <f>TEXT(Table1[[#This Row],[Date]],"[$-en-US]ddd")</f>
        <v>Fri</v>
      </c>
    </row>
    <row r="1380" spans="1:11" x14ac:dyDescent="0.25">
      <c r="A1380">
        <v>9</v>
      </c>
      <c r="B1380" t="s">
        <v>9</v>
      </c>
      <c r="C1380">
        <v>18.12</v>
      </c>
      <c r="D1380" t="s">
        <v>24</v>
      </c>
      <c r="E1380" t="s">
        <v>11</v>
      </c>
      <c r="F1380" t="s">
        <v>34</v>
      </c>
      <c r="G1380">
        <v>5</v>
      </c>
      <c r="H1380">
        <v>9</v>
      </c>
      <c r="I1380" s="13">
        <v>45541</v>
      </c>
      <c r="J1380" s="13" t="str">
        <f>TEXT(Table1[[#This Row],[Date]],"[$-en-US]mmm yyyy")</f>
        <v>Sep 2024</v>
      </c>
      <c r="K1380" s="13" t="str">
        <f>TEXT(Table1[[#This Row],[Date]],"[$-en-US]ddd")</f>
        <v>Fri</v>
      </c>
    </row>
    <row r="1381" spans="1:11" x14ac:dyDescent="0.25">
      <c r="A1381">
        <v>9</v>
      </c>
      <c r="B1381" t="s">
        <v>9</v>
      </c>
      <c r="C1381">
        <v>32.82</v>
      </c>
      <c r="D1381" t="s">
        <v>10</v>
      </c>
      <c r="E1381" t="s">
        <v>11</v>
      </c>
      <c r="F1381" t="s">
        <v>34</v>
      </c>
      <c r="G1381">
        <v>5</v>
      </c>
      <c r="H1381">
        <v>9</v>
      </c>
      <c r="I1381" s="13">
        <v>45541</v>
      </c>
      <c r="J1381" s="13" t="str">
        <f>TEXT(Table1[[#This Row],[Date]],"[$-en-US]mmm yyyy")</f>
        <v>Sep 2024</v>
      </c>
      <c r="K1381" s="13" t="str">
        <f>TEXT(Table1[[#This Row],[Date]],"[$-en-US]ddd")</f>
        <v>Fri</v>
      </c>
    </row>
    <row r="1382" spans="1:11" x14ac:dyDescent="0.25">
      <c r="A1382">
        <v>10</v>
      </c>
      <c r="B1382" t="s">
        <v>9</v>
      </c>
      <c r="C1382">
        <v>32.82</v>
      </c>
      <c r="D1382" t="s">
        <v>14</v>
      </c>
      <c r="E1382" t="s">
        <v>11</v>
      </c>
      <c r="F1382" t="s">
        <v>34</v>
      </c>
      <c r="G1382">
        <v>5</v>
      </c>
      <c r="H1382">
        <v>9</v>
      </c>
      <c r="I1382" s="13">
        <v>45541</v>
      </c>
      <c r="J1382" s="13" t="str">
        <f>TEXT(Table1[[#This Row],[Date]],"[$-en-US]mmm yyyy")</f>
        <v>Sep 2024</v>
      </c>
      <c r="K1382" s="13" t="str">
        <f>TEXT(Table1[[#This Row],[Date]],"[$-en-US]ddd")</f>
        <v>Fri</v>
      </c>
    </row>
    <row r="1383" spans="1:11" x14ac:dyDescent="0.25">
      <c r="A1383">
        <v>11</v>
      </c>
      <c r="B1383" t="s">
        <v>9</v>
      </c>
      <c r="C1383">
        <v>18.12</v>
      </c>
      <c r="D1383" t="s">
        <v>24</v>
      </c>
      <c r="E1383" t="s">
        <v>11</v>
      </c>
      <c r="F1383" t="s">
        <v>34</v>
      </c>
      <c r="G1383">
        <v>5</v>
      </c>
      <c r="H1383">
        <v>9</v>
      </c>
      <c r="I1383" s="13">
        <v>45541</v>
      </c>
      <c r="J1383" s="13" t="str">
        <f>TEXT(Table1[[#This Row],[Date]],"[$-en-US]mmm yyyy")</f>
        <v>Sep 2024</v>
      </c>
      <c r="K1383" s="13" t="str">
        <f>TEXT(Table1[[#This Row],[Date]],"[$-en-US]ddd")</f>
        <v>Fri</v>
      </c>
    </row>
    <row r="1384" spans="1:11" x14ac:dyDescent="0.25">
      <c r="A1384">
        <v>11</v>
      </c>
      <c r="B1384" t="s">
        <v>9</v>
      </c>
      <c r="C1384">
        <v>18.12</v>
      </c>
      <c r="D1384" t="s">
        <v>24</v>
      </c>
      <c r="E1384" t="s">
        <v>11</v>
      </c>
      <c r="F1384" t="s">
        <v>34</v>
      </c>
      <c r="G1384">
        <v>5</v>
      </c>
      <c r="H1384">
        <v>9</v>
      </c>
      <c r="I1384" s="13">
        <v>45541</v>
      </c>
      <c r="J1384" s="13" t="str">
        <f>TEXT(Table1[[#This Row],[Date]],"[$-en-US]mmm yyyy")</f>
        <v>Sep 2024</v>
      </c>
      <c r="K1384" s="13" t="str">
        <f>TEXT(Table1[[#This Row],[Date]],"[$-en-US]ddd")</f>
        <v>Fri</v>
      </c>
    </row>
    <row r="1385" spans="1:11" x14ac:dyDescent="0.25">
      <c r="A1385">
        <v>20</v>
      </c>
      <c r="B1385" t="s">
        <v>9</v>
      </c>
      <c r="C1385">
        <v>32.82</v>
      </c>
      <c r="D1385" t="s">
        <v>10</v>
      </c>
      <c r="E1385" t="s">
        <v>18</v>
      </c>
      <c r="F1385" t="s">
        <v>34</v>
      </c>
      <c r="G1385">
        <v>5</v>
      </c>
      <c r="H1385">
        <v>9</v>
      </c>
      <c r="I1385" s="13">
        <v>45541</v>
      </c>
      <c r="J1385" s="13" t="str">
        <f>TEXT(Table1[[#This Row],[Date]],"[$-en-US]mmm yyyy")</f>
        <v>Sep 2024</v>
      </c>
      <c r="K1385" s="13" t="str">
        <f>TEXT(Table1[[#This Row],[Date]],"[$-en-US]ddd")</f>
        <v>Fri</v>
      </c>
    </row>
    <row r="1386" spans="1:11" x14ac:dyDescent="0.25">
      <c r="A1386">
        <v>21</v>
      </c>
      <c r="B1386" t="s">
        <v>9</v>
      </c>
      <c r="C1386">
        <v>32.82</v>
      </c>
      <c r="D1386" t="s">
        <v>10</v>
      </c>
      <c r="E1386" t="s">
        <v>18</v>
      </c>
      <c r="F1386" t="s">
        <v>34</v>
      </c>
      <c r="G1386">
        <v>5</v>
      </c>
      <c r="H1386">
        <v>9</v>
      </c>
      <c r="I1386" s="13">
        <v>45541</v>
      </c>
      <c r="J1386" s="13" t="str">
        <f>TEXT(Table1[[#This Row],[Date]],"[$-en-US]mmm yyyy")</f>
        <v>Sep 2024</v>
      </c>
      <c r="K1386" s="13" t="str">
        <f>TEXT(Table1[[#This Row],[Date]],"[$-en-US]ddd")</f>
        <v>Fri</v>
      </c>
    </row>
    <row r="1387" spans="1:11" x14ac:dyDescent="0.25">
      <c r="A1387">
        <v>8</v>
      </c>
      <c r="B1387" t="s">
        <v>9</v>
      </c>
      <c r="C1387">
        <v>32.82</v>
      </c>
      <c r="D1387" t="s">
        <v>10</v>
      </c>
      <c r="E1387" t="s">
        <v>11</v>
      </c>
      <c r="F1387" t="s">
        <v>34</v>
      </c>
      <c r="G1387">
        <v>6</v>
      </c>
      <c r="H1387">
        <v>9</v>
      </c>
      <c r="I1387" s="13">
        <v>45542</v>
      </c>
      <c r="J1387" s="13" t="str">
        <f>TEXT(Table1[[#This Row],[Date]],"[$-en-US]mmm yyyy")</f>
        <v>Sep 2024</v>
      </c>
      <c r="K1387" s="13" t="str">
        <f>TEXT(Table1[[#This Row],[Date]],"[$-en-US]ddd")</f>
        <v>Sat</v>
      </c>
    </row>
    <row r="1388" spans="1:11" x14ac:dyDescent="0.25">
      <c r="A1388">
        <v>9</v>
      </c>
      <c r="B1388" t="s">
        <v>9</v>
      </c>
      <c r="C1388">
        <v>23.02</v>
      </c>
      <c r="D1388" t="s">
        <v>22</v>
      </c>
      <c r="E1388" t="s">
        <v>11</v>
      </c>
      <c r="F1388" t="s">
        <v>34</v>
      </c>
      <c r="G1388">
        <v>6</v>
      </c>
      <c r="H1388">
        <v>9</v>
      </c>
      <c r="I1388" s="13">
        <v>45542</v>
      </c>
      <c r="J1388" s="13" t="str">
        <f>TEXT(Table1[[#This Row],[Date]],"[$-en-US]mmm yyyy")</f>
        <v>Sep 2024</v>
      </c>
      <c r="K1388" s="13" t="str">
        <f>TEXT(Table1[[#This Row],[Date]],"[$-en-US]ddd")</f>
        <v>Sat</v>
      </c>
    </row>
    <row r="1389" spans="1:11" x14ac:dyDescent="0.25">
      <c r="A1389">
        <v>9</v>
      </c>
      <c r="B1389" t="s">
        <v>9</v>
      </c>
      <c r="C1389">
        <v>23.02</v>
      </c>
      <c r="D1389" t="s">
        <v>22</v>
      </c>
      <c r="E1389" t="s">
        <v>11</v>
      </c>
      <c r="F1389" t="s">
        <v>34</v>
      </c>
      <c r="G1389">
        <v>6</v>
      </c>
      <c r="H1389">
        <v>9</v>
      </c>
      <c r="I1389" s="13">
        <v>45542</v>
      </c>
      <c r="J1389" s="13" t="str">
        <f>TEXT(Table1[[#This Row],[Date]],"[$-en-US]mmm yyyy")</f>
        <v>Sep 2024</v>
      </c>
      <c r="K1389" s="13" t="str">
        <f>TEXT(Table1[[#This Row],[Date]],"[$-en-US]ddd")</f>
        <v>Sat</v>
      </c>
    </row>
    <row r="1390" spans="1:11" x14ac:dyDescent="0.25">
      <c r="A1390">
        <v>9</v>
      </c>
      <c r="B1390" t="s">
        <v>9</v>
      </c>
      <c r="C1390">
        <v>23.02</v>
      </c>
      <c r="D1390" t="s">
        <v>22</v>
      </c>
      <c r="E1390" t="s">
        <v>11</v>
      </c>
      <c r="F1390" t="s">
        <v>34</v>
      </c>
      <c r="G1390">
        <v>6</v>
      </c>
      <c r="H1390">
        <v>9</v>
      </c>
      <c r="I1390" s="13">
        <v>45542</v>
      </c>
      <c r="J1390" s="13" t="str">
        <f>TEXT(Table1[[#This Row],[Date]],"[$-en-US]mmm yyyy")</f>
        <v>Sep 2024</v>
      </c>
      <c r="K1390" s="13" t="str">
        <f>TEXT(Table1[[#This Row],[Date]],"[$-en-US]ddd")</f>
        <v>Sat</v>
      </c>
    </row>
    <row r="1391" spans="1:11" x14ac:dyDescent="0.25">
      <c r="A1391">
        <v>9</v>
      </c>
      <c r="B1391" t="s">
        <v>9</v>
      </c>
      <c r="C1391">
        <v>27.92</v>
      </c>
      <c r="D1391" t="s">
        <v>17</v>
      </c>
      <c r="E1391" t="s">
        <v>11</v>
      </c>
      <c r="F1391" t="s">
        <v>34</v>
      </c>
      <c r="G1391">
        <v>6</v>
      </c>
      <c r="H1391">
        <v>9</v>
      </c>
      <c r="I1391" s="13">
        <v>45542</v>
      </c>
      <c r="J1391" s="13" t="str">
        <f>TEXT(Table1[[#This Row],[Date]],"[$-en-US]mmm yyyy")</f>
        <v>Sep 2024</v>
      </c>
      <c r="K1391" s="13" t="str">
        <f>TEXT(Table1[[#This Row],[Date]],"[$-en-US]ddd")</f>
        <v>Sat</v>
      </c>
    </row>
    <row r="1392" spans="1:11" x14ac:dyDescent="0.25">
      <c r="A1392">
        <v>9</v>
      </c>
      <c r="B1392" t="s">
        <v>9</v>
      </c>
      <c r="C1392">
        <v>27.92</v>
      </c>
      <c r="D1392" t="s">
        <v>17</v>
      </c>
      <c r="E1392" t="s">
        <v>11</v>
      </c>
      <c r="F1392" t="s">
        <v>34</v>
      </c>
      <c r="G1392">
        <v>6</v>
      </c>
      <c r="H1392">
        <v>9</v>
      </c>
      <c r="I1392" s="13">
        <v>45542</v>
      </c>
      <c r="J1392" s="13" t="str">
        <f>TEXT(Table1[[#This Row],[Date]],"[$-en-US]mmm yyyy")</f>
        <v>Sep 2024</v>
      </c>
      <c r="K1392" s="13" t="str">
        <f>TEXT(Table1[[#This Row],[Date]],"[$-en-US]ddd")</f>
        <v>Sat</v>
      </c>
    </row>
    <row r="1393" spans="1:11" x14ac:dyDescent="0.25">
      <c r="A1393">
        <v>10</v>
      </c>
      <c r="B1393" t="s">
        <v>9</v>
      </c>
      <c r="C1393">
        <v>23.02</v>
      </c>
      <c r="D1393" t="s">
        <v>22</v>
      </c>
      <c r="E1393" t="s">
        <v>11</v>
      </c>
      <c r="F1393" t="s">
        <v>34</v>
      </c>
      <c r="G1393">
        <v>6</v>
      </c>
      <c r="H1393">
        <v>9</v>
      </c>
      <c r="I1393" s="13">
        <v>45542</v>
      </c>
      <c r="J1393" s="13" t="str">
        <f>TEXT(Table1[[#This Row],[Date]],"[$-en-US]mmm yyyy")</f>
        <v>Sep 2024</v>
      </c>
      <c r="K1393" s="13" t="str">
        <f>TEXT(Table1[[#This Row],[Date]],"[$-en-US]ddd")</f>
        <v>Sat</v>
      </c>
    </row>
    <row r="1394" spans="1:11" x14ac:dyDescent="0.25">
      <c r="A1394">
        <v>10</v>
      </c>
      <c r="B1394" t="s">
        <v>9</v>
      </c>
      <c r="C1394">
        <v>23.02</v>
      </c>
      <c r="D1394" t="s">
        <v>16</v>
      </c>
      <c r="E1394" t="s">
        <v>11</v>
      </c>
      <c r="F1394" t="s">
        <v>34</v>
      </c>
      <c r="G1394">
        <v>6</v>
      </c>
      <c r="H1394">
        <v>9</v>
      </c>
      <c r="I1394" s="13">
        <v>45542</v>
      </c>
      <c r="J1394" s="13" t="str">
        <f>TEXT(Table1[[#This Row],[Date]],"[$-en-US]mmm yyyy")</f>
        <v>Sep 2024</v>
      </c>
      <c r="K1394" s="13" t="str">
        <f>TEXT(Table1[[#This Row],[Date]],"[$-en-US]ddd")</f>
        <v>Sat</v>
      </c>
    </row>
    <row r="1395" spans="1:11" x14ac:dyDescent="0.25">
      <c r="A1395">
        <v>10</v>
      </c>
      <c r="B1395" t="s">
        <v>9</v>
      </c>
      <c r="C1395">
        <v>18.12</v>
      </c>
      <c r="D1395" t="s">
        <v>24</v>
      </c>
      <c r="E1395" t="s">
        <v>11</v>
      </c>
      <c r="F1395" t="s">
        <v>34</v>
      </c>
      <c r="G1395">
        <v>6</v>
      </c>
      <c r="H1395">
        <v>9</v>
      </c>
      <c r="I1395" s="13">
        <v>45542</v>
      </c>
      <c r="J1395" s="13" t="str">
        <f>TEXT(Table1[[#This Row],[Date]],"[$-en-US]mmm yyyy")</f>
        <v>Sep 2024</v>
      </c>
      <c r="K1395" s="13" t="str">
        <f>TEXT(Table1[[#This Row],[Date]],"[$-en-US]ddd")</f>
        <v>Sat</v>
      </c>
    </row>
    <row r="1396" spans="1:11" x14ac:dyDescent="0.25">
      <c r="A1396">
        <v>10</v>
      </c>
      <c r="B1396" t="s">
        <v>9</v>
      </c>
      <c r="C1396">
        <v>18.12</v>
      </c>
      <c r="D1396" t="s">
        <v>24</v>
      </c>
      <c r="E1396" t="s">
        <v>11</v>
      </c>
      <c r="F1396" t="s">
        <v>34</v>
      </c>
      <c r="G1396">
        <v>6</v>
      </c>
      <c r="H1396">
        <v>9</v>
      </c>
      <c r="I1396" s="13">
        <v>45542</v>
      </c>
      <c r="J1396" s="13" t="str">
        <f>TEXT(Table1[[#This Row],[Date]],"[$-en-US]mmm yyyy")</f>
        <v>Sep 2024</v>
      </c>
      <c r="K1396" s="13" t="str">
        <f>TEXT(Table1[[#This Row],[Date]],"[$-en-US]ddd")</f>
        <v>Sat</v>
      </c>
    </row>
    <row r="1397" spans="1:11" x14ac:dyDescent="0.25">
      <c r="A1397">
        <v>10</v>
      </c>
      <c r="B1397" t="s">
        <v>9</v>
      </c>
      <c r="C1397">
        <v>32.82</v>
      </c>
      <c r="D1397" t="s">
        <v>10</v>
      </c>
      <c r="E1397" t="s">
        <v>11</v>
      </c>
      <c r="F1397" t="s">
        <v>34</v>
      </c>
      <c r="G1397">
        <v>6</v>
      </c>
      <c r="H1397">
        <v>9</v>
      </c>
      <c r="I1397" s="13">
        <v>45542</v>
      </c>
      <c r="J1397" s="13" t="str">
        <f>TEXT(Table1[[#This Row],[Date]],"[$-en-US]mmm yyyy")</f>
        <v>Sep 2024</v>
      </c>
      <c r="K1397" s="13" t="str">
        <f>TEXT(Table1[[#This Row],[Date]],"[$-en-US]ddd")</f>
        <v>Sat</v>
      </c>
    </row>
    <row r="1398" spans="1:11" x14ac:dyDescent="0.25">
      <c r="A1398">
        <v>11</v>
      </c>
      <c r="B1398" t="s">
        <v>9</v>
      </c>
      <c r="C1398">
        <v>27.92</v>
      </c>
      <c r="D1398" t="s">
        <v>17</v>
      </c>
      <c r="E1398" t="s">
        <v>11</v>
      </c>
      <c r="F1398" t="s">
        <v>34</v>
      </c>
      <c r="G1398">
        <v>6</v>
      </c>
      <c r="H1398">
        <v>9</v>
      </c>
      <c r="I1398" s="13">
        <v>45542</v>
      </c>
      <c r="J1398" s="13" t="str">
        <f>TEXT(Table1[[#This Row],[Date]],"[$-en-US]mmm yyyy")</f>
        <v>Sep 2024</v>
      </c>
      <c r="K1398" s="13" t="str">
        <f>TEXT(Table1[[#This Row],[Date]],"[$-en-US]ddd")</f>
        <v>Sat</v>
      </c>
    </row>
    <row r="1399" spans="1:11" x14ac:dyDescent="0.25">
      <c r="A1399">
        <v>11</v>
      </c>
      <c r="B1399" t="s">
        <v>9</v>
      </c>
      <c r="C1399">
        <v>23.02</v>
      </c>
      <c r="D1399" t="s">
        <v>16</v>
      </c>
      <c r="E1399" t="s">
        <v>11</v>
      </c>
      <c r="F1399" t="s">
        <v>34</v>
      </c>
      <c r="G1399">
        <v>6</v>
      </c>
      <c r="H1399">
        <v>9</v>
      </c>
      <c r="I1399" s="13">
        <v>45542</v>
      </c>
      <c r="J1399" s="13" t="str">
        <f>TEXT(Table1[[#This Row],[Date]],"[$-en-US]mmm yyyy")</f>
        <v>Sep 2024</v>
      </c>
      <c r="K1399" s="13" t="str">
        <f>TEXT(Table1[[#This Row],[Date]],"[$-en-US]ddd")</f>
        <v>Sat</v>
      </c>
    </row>
    <row r="1400" spans="1:11" x14ac:dyDescent="0.25">
      <c r="A1400">
        <v>11</v>
      </c>
      <c r="B1400" t="s">
        <v>9</v>
      </c>
      <c r="C1400">
        <v>18.12</v>
      </c>
      <c r="D1400" t="s">
        <v>24</v>
      </c>
      <c r="E1400" t="s">
        <v>11</v>
      </c>
      <c r="F1400" t="s">
        <v>34</v>
      </c>
      <c r="G1400">
        <v>6</v>
      </c>
      <c r="H1400">
        <v>9</v>
      </c>
      <c r="I1400" s="13">
        <v>45542</v>
      </c>
      <c r="J1400" s="13" t="str">
        <f>TEXT(Table1[[#This Row],[Date]],"[$-en-US]mmm yyyy")</f>
        <v>Sep 2024</v>
      </c>
      <c r="K1400" s="13" t="str">
        <f>TEXT(Table1[[#This Row],[Date]],"[$-en-US]ddd")</f>
        <v>Sat</v>
      </c>
    </row>
    <row r="1401" spans="1:11" x14ac:dyDescent="0.25">
      <c r="A1401">
        <v>15</v>
      </c>
      <c r="B1401" t="s">
        <v>9</v>
      </c>
      <c r="C1401">
        <v>32.82</v>
      </c>
      <c r="D1401" t="s">
        <v>10</v>
      </c>
      <c r="E1401" t="s">
        <v>15</v>
      </c>
      <c r="F1401" t="s">
        <v>34</v>
      </c>
      <c r="G1401">
        <v>6</v>
      </c>
      <c r="H1401">
        <v>9</v>
      </c>
      <c r="I1401" s="13">
        <v>45542</v>
      </c>
      <c r="J1401" s="13" t="str">
        <f>TEXT(Table1[[#This Row],[Date]],"[$-en-US]mmm yyyy")</f>
        <v>Sep 2024</v>
      </c>
      <c r="K1401" s="13" t="str">
        <f>TEXT(Table1[[#This Row],[Date]],"[$-en-US]ddd")</f>
        <v>Sat</v>
      </c>
    </row>
    <row r="1402" spans="1:11" x14ac:dyDescent="0.25">
      <c r="A1402">
        <v>16</v>
      </c>
      <c r="B1402" t="s">
        <v>9</v>
      </c>
      <c r="C1402">
        <v>23.02</v>
      </c>
      <c r="D1402" t="s">
        <v>16</v>
      </c>
      <c r="E1402" t="s">
        <v>15</v>
      </c>
      <c r="F1402" t="s">
        <v>34</v>
      </c>
      <c r="G1402">
        <v>6</v>
      </c>
      <c r="H1402">
        <v>9</v>
      </c>
      <c r="I1402" s="13">
        <v>45542</v>
      </c>
      <c r="J1402" s="13" t="str">
        <f>TEXT(Table1[[#This Row],[Date]],"[$-en-US]mmm yyyy")</f>
        <v>Sep 2024</v>
      </c>
      <c r="K1402" s="13" t="str">
        <f>TEXT(Table1[[#This Row],[Date]],"[$-en-US]ddd")</f>
        <v>Sat</v>
      </c>
    </row>
    <row r="1403" spans="1:11" x14ac:dyDescent="0.25">
      <c r="A1403">
        <v>16</v>
      </c>
      <c r="B1403" t="s">
        <v>9</v>
      </c>
      <c r="C1403">
        <v>18.12</v>
      </c>
      <c r="D1403" t="s">
        <v>24</v>
      </c>
      <c r="E1403" t="s">
        <v>15</v>
      </c>
      <c r="F1403" t="s">
        <v>34</v>
      </c>
      <c r="G1403">
        <v>6</v>
      </c>
      <c r="H1403">
        <v>9</v>
      </c>
      <c r="I1403" s="13">
        <v>45542</v>
      </c>
      <c r="J1403" s="13" t="str">
        <f>TEXT(Table1[[#This Row],[Date]],"[$-en-US]mmm yyyy")</f>
        <v>Sep 2024</v>
      </c>
      <c r="K1403" s="13" t="str">
        <f>TEXT(Table1[[#This Row],[Date]],"[$-en-US]ddd")</f>
        <v>Sat</v>
      </c>
    </row>
    <row r="1404" spans="1:11" x14ac:dyDescent="0.25">
      <c r="A1404">
        <v>19</v>
      </c>
      <c r="B1404" t="s">
        <v>9</v>
      </c>
      <c r="C1404">
        <v>32.82</v>
      </c>
      <c r="D1404" t="s">
        <v>19</v>
      </c>
      <c r="E1404" t="s">
        <v>18</v>
      </c>
      <c r="F1404" t="s">
        <v>34</v>
      </c>
      <c r="G1404">
        <v>6</v>
      </c>
      <c r="H1404">
        <v>9</v>
      </c>
      <c r="I1404" s="13">
        <v>45542</v>
      </c>
      <c r="J1404" s="13" t="str">
        <f>TEXT(Table1[[#This Row],[Date]],"[$-en-US]mmm yyyy")</f>
        <v>Sep 2024</v>
      </c>
      <c r="K1404" s="13" t="str">
        <f>TEXT(Table1[[#This Row],[Date]],"[$-en-US]ddd")</f>
        <v>Sat</v>
      </c>
    </row>
    <row r="1405" spans="1:11" x14ac:dyDescent="0.25">
      <c r="A1405">
        <v>19</v>
      </c>
      <c r="B1405" t="s">
        <v>9</v>
      </c>
      <c r="C1405">
        <v>32.82</v>
      </c>
      <c r="D1405" t="s">
        <v>10</v>
      </c>
      <c r="E1405" t="s">
        <v>18</v>
      </c>
      <c r="F1405" t="s">
        <v>34</v>
      </c>
      <c r="G1405">
        <v>6</v>
      </c>
      <c r="H1405">
        <v>9</v>
      </c>
      <c r="I1405" s="13">
        <v>45542</v>
      </c>
      <c r="J1405" s="13" t="str">
        <f>TEXT(Table1[[#This Row],[Date]],"[$-en-US]mmm yyyy")</f>
        <v>Sep 2024</v>
      </c>
      <c r="K1405" s="13" t="str">
        <f>TEXT(Table1[[#This Row],[Date]],"[$-en-US]ddd")</f>
        <v>Sat</v>
      </c>
    </row>
    <row r="1406" spans="1:11" x14ac:dyDescent="0.25">
      <c r="A1406">
        <v>19</v>
      </c>
      <c r="B1406" t="s">
        <v>9</v>
      </c>
      <c r="C1406">
        <v>32.82</v>
      </c>
      <c r="D1406" t="s">
        <v>10</v>
      </c>
      <c r="E1406" t="s">
        <v>18</v>
      </c>
      <c r="F1406" t="s">
        <v>34</v>
      </c>
      <c r="G1406">
        <v>6</v>
      </c>
      <c r="H1406">
        <v>9</v>
      </c>
      <c r="I1406" s="13">
        <v>45542</v>
      </c>
      <c r="J1406" s="13" t="str">
        <f>TEXT(Table1[[#This Row],[Date]],"[$-en-US]mmm yyyy")</f>
        <v>Sep 2024</v>
      </c>
      <c r="K1406" s="13" t="str">
        <f>TEXT(Table1[[#This Row],[Date]],"[$-en-US]ddd")</f>
        <v>Sat</v>
      </c>
    </row>
    <row r="1407" spans="1:11" x14ac:dyDescent="0.25">
      <c r="A1407">
        <v>20</v>
      </c>
      <c r="B1407" t="s">
        <v>9</v>
      </c>
      <c r="C1407">
        <v>32.82</v>
      </c>
      <c r="D1407" t="s">
        <v>10</v>
      </c>
      <c r="E1407" t="s">
        <v>18</v>
      </c>
      <c r="F1407" t="s">
        <v>34</v>
      </c>
      <c r="G1407">
        <v>6</v>
      </c>
      <c r="H1407">
        <v>9</v>
      </c>
      <c r="I1407" s="13">
        <v>45542</v>
      </c>
      <c r="J1407" s="13" t="str">
        <f>TEXT(Table1[[#This Row],[Date]],"[$-en-US]mmm yyyy")</f>
        <v>Sep 2024</v>
      </c>
      <c r="K1407" s="13" t="str">
        <f>TEXT(Table1[[#This Row],[Date]],"[$-en-US]ddd")</f>
        <v>Sat</v>
      </c>
    </row>
    <row r="1408" spans="1:11" x14ac:dyDescent="0.25">
      <c r="A1408">
        <v>20</v>
      </c>
      <c r="B1408" t="s">
        <v>9</v>
      </c>
      <c r="C1408">
        <v>32.82</v>
      </c>
      <c r="D1408" t="s">
        <v>10</v>
      </c>
      <c r="E1408" t="s">
        <v>18</v>
      </c>
      <c r="F1408" t="s">
        <v>34</v>
      </c>
      <c r="G1408">
        <v>6</v>
      </c>
      <c r="H1408">
        <v>9</v>
      </c>
      <c r="I1408" s="13">
        <v>45542</v>
      </c>
      <c r="J1408" s="13" t="str">
        <f>TEXT(Table1[[#This Row],[Date]],"[$-en-US]mmm yyyy")</f>
        <v>Sep 2024</v>
      </c>
      <c r="K1408" s="13" t="str">
        <f>TEXT(Table1[[#This Row],[Date]],"[$-en-US]ddd")</f>
        <v>Sat</v>
      </c>
    </row>
    <row r="1409" spans="1:11" x14ac:dyDescent="0.25">
      <c r="A1409">
        <v>8</v>
      </c>
      <c r="B1409" t="s">
        <v>9</v>
      </c>
      <c r="C1409">
        <v>23.02</v>
      </c>
      <c r="D1409" t="s">
        <v>22</v>
      </c>
      <c r="E1409" t="s">
        <v>11</v>
      </c>
      <c r="F1409" t="s">
        <v>34</v>
      </c>
      <c r="G1409">
        <v>7</v>
      </c>
      <c r="H1409">
        <v>9</v>
      </c>
      <c r="I1409" s="13">
        <v>45543</v>
      </c>
      <c r="J1409" s="13" t="str">
        <f>TEXT(Table1[[#This Row],[Date]],"[$-en-US]mmm yyyy")</f>
        <v>Sep 2024</v>
      </c>
      <c r="K1409" s="13" t="str">
        <f>TEXT(Table1[[#This Row],[Date]],"[$-en-US]ddd")</f>
        <v>Sun</v>
      </c>
    </row>
    <row r="1410" spans="1:11" x14ac:dyDescent="0.25">
      <c r="A1410">
        <v>9</v>
      </c>
      <c r="B1410" t="s">
        <v>9</v>
      </c>
      <c r="C1410">
        <v>23.02</v>
      </c>
      <c r="D1410" t="s">
        <v>22</v>
      </c>
      <c r="E1410" t="s">
        <v>11</v>
      </c>
      <c r="F1410" t="s">
        <v>34</v>
      </c>
      <c r="G1410">
        <v>7</v>
      </c>
      <c r="H1410">
        <v>9</v>
      </c>
      <c r="I1410" s="13">
        <v>45543</v>
      </c>
      <c r="J1410" s="13" t="str">
        <f>TEXT(Table1[[#This Row],[Date]],"[$-en-US]mmm yyyy")</f>
        <v>Sep 2024</v>
      </c>
      <c r="K1410" s="13" t="str">
        <f>TEXT(Table1[[#This Row],[Date]],"[$-en-US]ddd")</f>
        <v>Sun</v>
      </c>
    </row>
    <row r="1411" spans="1:11" x14ac:dyDescent="0.25">
      <c r="A1411">
        <v>9</v>
      </c>
      <c r="B1411" t="s">
        <v>9</v>
      </c>
      <c r="C1411">
        <v>23.02</v>
      </c>
      <c r="D1411" t="s">
        <v>22</v>
      </c>
      <c r="E1411" t="s">
        <v>11</v>
      </c>
      <c r="F1411" t="s">
        <v>34</v>
      </c>
      <c r="G1411">
        <v>7</v>
      </c>
      <c r="H1411">
        <v>9</v>
      </c>
      <c r="I1411" s="13">
        <v>45543</v>
      </c>
      <c r="J1411" s="13" t="str">
        <f>TEXT(Table1[[#This Row],[Date]],"[$-en-US]mmm yyyy")</f>
        <v>Sep 2024</v>
      </c>
      <c r="K1411" s="13" t="str">
        <f>TEXT(Table1[[#This Row],[Date]],"[$-en-US]ddd")</f>
        <v>Sun</v>
      </c>
    </row>
    <row r="1412" spans="1:11" x14ac:dyDescent="0.25">
      <c r="A1412">
        <v>10</v>
      </c>
      <c r="B1412" t="s">
        <v>9</v>
      </c>
      <c r="C1412">
        <v>23.02</v>
      </c>
      <c r="D1412" t="s">
        <v>22</v>
      </c>
      <c r="E1412" t="s">
        <v>11</v>
      </c>
      <c r="F1412" t="s">
        <v>34</v>
      </c>
      <c r="G1412">
        <v>7</v>
      </c>
      <c r="H1412">
        <v>9</v>
      </c>
      <c r="I1412" s="13">
        <v>45543</v>
      </c>
      <c r="J1412" s="13" t="str">
        <f>TEXT(Table1[[#This Row],[Date]],"[$-en-US]mmm yyyy")</f>
        <v>Sep 2024</v>
      </c>
      <c r="K1412" s="13" t="str">
        <f>TEXT(Table1[[#This Row],[Date]],"[$-en-US]ddd")</f>
        <v>Sun</v>
      </c>
    </row>
    <row r="1413" spans="1:11" x14ac:dyDescent="0.25">
      <c r="A1413">
        <v>12</v>
      </c>
      <c r="B1413" t="s">
        <v>9</v>
      </c>
      <c r="C1413">
        <v>23.02</v>
      </c>
      <c r="D1413" t="s">
        <v>22</v>
      </c>
      <c r="E1413" t="s">
        <v>15</v>
      </c>
      <c r="F1413" t="s">
        <v>34</v>
      </c>
      <c r="G1413">
        <v>7</v>
      </c>
      <c r="H1413">
        <v>9</v>
      </c>
      <c r="I1413" s="13">
        <v>45543</v>
      </c>
      <c r="J1413" s="13" t="str">
        <f>TEXT(Table1[[#This Row],[Date]],"[$-en-US]mmm yyyy")</f>
        <v>Sep 2024</v>
      </c>
      <c r="K1413" s="13" t="str">
        <f>TEXT(Table1[[#This Row],[Date]],"[$-en-US]ddd")</f>
        <v>Sun</v>
      </c>
    </row>
    <row r="1414" spans="1:11" x14ac:dyDescent="0.25">
      <c r="A1414">
        <v>20</v>
      </c>
      <c r="B1414" t="s">
        <v>9</v>
      </c>
      <c r="C1414">
        <v>23.02</v>
      </c>
      <c r="D1414" t="s">
        <v>16</v>
      </c>
      <c r="E1414" t="s">
        <v>18</v>
      </c>
      <c r="F1414" t="s">
        <v>34</v>
      </c>
      <c r="G1414">
        <v>7</v>
      </c>
      <c r="H1414">
        <v>9</v>
      </c>
      <c r="I1414" s="13">
        <v>45543</v>
      </c>
      <c r="J1414" s="13" t="str">
        <f>TEXT(Table1[[#This Row],[Date]],"[$-en-US]mmm yyyy")</f>
        <v>Sep 2024</v>
      </c>
      <c r="K1414" s="13" t="str">
        <f>TEXT(Table1[[#This Row],[Date]],"[$-en-US]ddd")</f>
        <v>Sun</v>
      </c>
    </row>
    <row r="1415" spans="1:11" x14ac:dyDescent="0.25">
      <c r="A1415">
        <v>7</v>
      </c>
      <c r="B1415" t="s">
        <v>9</v>
      </c>
      <c r="C1415">
        <v>32.82</v>
      </c>
      <c r="D1415" t="s">
        <v>10</v>
      </c>
      <c r="E1415" t="s">
        <v>11</v>
      </c>
      <c r="F1415" t="s">
        <v>34</v>
      </c>
      <c r="G1415">
        <v>1</v>
      </c>
      <c r="H1415">
        <v>9</v>
      </c>
      <c r="I1415" s="13">
        <v>45544</v>
      </c>
      <c r="J1415" s="13" t="str">
        <f>TEXT(Table1[[#This Row],[Date]],"[$-en-US]mmm yyyy")</f>
        <v>Sep 2024</v>
      </c>
      <c r="K1415" s="13" t="str">
        <f>TEXT(Table1[[#This Row],[Date]],"[$-en-US]ddd")</f>
        <v>Mon</v>
      </c>
    </row>
    <row r="1416" spans="1:11" x14ac:dyDescent="0.25">
      <c r="A1416">
        <v>7</v>
      </c>
      <c r="B1416" t="s">
        <v>9</v>
      </c>
      <c r="C1416">
        <v>32.82</v>
      </c>
      <c r="D1416" t="s">
        <v>27</v>
      </c>
      <c r="E1416" t="s">
        <v>11</v>
      </c>
      <c r="F1416" t="s">
        <v>34</v>
      </c>
      <c r="G1416">
        <v>1</v>
      </c>
      <c r="H1416">
        <v>9</v>
      </c>
      <c r="I1416" s="13">
        <v>45544</v>
      </c>
      <c r="J1416" s="13" t="str">
        <f>TEXT(Table1[[#This Row],[Date]],"[$-en-US]mmm yyyy")</f>
        <v>Sep 2024</v>
      </c>
      <c r="K1416" s="13" t="str">
        <f>TEXT(Table1[[#This Row],[Date]],"[$-en-US]ddd")</f>
        <v>Mon</v>
      </c>
    </row>
    <row r="1417" spans="1:11" x14ac:dyDescent="0.25">
      <c r="A1417">
        <v>7</v>
      </c>
      <c r="B1417" t="s">
        <v>9</v>
      </c>
      <c r="C1417">
        <v>27.92</v>
      </c>
      <c r="D1417" t="s">
        <v>17</v>
      </c>
      <c r="E1417" t="s">
        <v>11</v>
      </c>
      <c r="F1417" t="s">
        <v>34</v>
      </c>
      <c r="G1417">
        <v>1</v>
      </c>
      <c r="H1417">
        <v>9</v>
      </c>
      <c r="I1417" s="13">
        <v>45544</v>
      </c>
      <c r="J1417" s="13" t="str">
        <f>TEXT(Table1[[#This Row],[Date]],"[$-en-US]mmm yyyy")</f>
        <v>Sep 2024</v>
      </c>
      <c r="K1417" s="13" t="str">
        <f>TEXT(Table1[[#This Row],[Date]],"[$-en-US]ddd")</f>
        <v>Mon</v>
      </c>
    </row>
    <row r="1418" spans="1:11" x14ac:dyDescent="0.25">
      <c r="A1418">
        <v>7</v>
      </c>
      <c r="B1418" t="s">
        <v>9</v>
      </c>
      <c r="C1418">
        <v>32.82</v>
      </c>
      <c r="D1418" t="s">
        <v>10</v>
      </c>
      <c r="E1418" t="s">
        <v>11</v>
      </c>
      <c r="F1418" t="s">
        <v>34</v>
      </c>
      <c r="G1418">
        <v>1</v>
      </c>
      <c r="H1418">
        <v>9</v>
      </c>
      <c r="I1418" s="13">
        <v>45544</v>
      </c>
      <c r="J1418" s="13" t="str">
        <f>TEXT(Table1[[#This Row],[Date]],"[$-en-US]mmm yyyy")</f>
        <v>Sep 2024</v>
      </c>
      <c r="K1418" s="13" t="str">
        <f>TEXT(Table1[[#This Row],[Date]],"[$-en-US]ddd")</f>
        <v>Mon</v>
      </c>
    </row>
    <row r="1419" spans="1:11" x14ac:dyDescent="0.25">
      <c r="A1419">
        <v>9</v>
      </c>
      <c r="B1419" t="s">
        <v>9</v>
      </c>
      <c r="C1419">
        <v>32.82</v>
      </c>
      <c r="D1419" t="s">
        <v>10</v>
      </c>
      <c r="E1419" t="s">
        <v>11</v>
      </c>
      <c r="F1419" t="s">
        <v>34</v>
      </c>
      <c r="G1419">
        <v>1</v>
      </c>
      <c r="H1419">
        <v>9</v>
      </c>
      <c r="I1419" s="13">
        <v>45544</v>
      </c>
      <c r="J1419" s="13" t="str">
        <f>TEXT(Table1[[#This Row],[Date]],"[$-en-US]mmm yyyy")</f>
        <v>Sep 2024</v>
      </c>
      <c r="K1419" s="13" t="str">
        <f>TEXT(Table1[[#This Row],[Date]],"[$-en-US]ddd")</f>
        <v>Mon</v>
      </c>
    </row>
    <row r="1420" spans="1:11" x14ac:dyDescent="0.25">
      <c r="A1420">
        <v>9</v>
      </c>
      <c r="B1420" t="s">
        <v>9</v>
      </c>
      <c r="C1420">
        <v>32.82</v>
      </c>
      <c r="D1420" t="s">
        <v>14</v>
      </c>
      <c r="E1420" t="s">
        <v>11</v>
      </c>
      <c r="F1420" t="s">
        <v>34</v>
      </c>
      <c r="G1420">
        <v>1</v>
      </c>
      <c r="H1420">
        <v>9</v>
      </c>
      <c r="I1420" s="13">
        <v>45544</v>
      </c>
      <c r="J1420" s="13" t="str">
        <f>TEXT(Table1[[#This Row],[Date]],"[$-en-US]mmm yyyy")</f>
        <v>Sep 2024</v>
      </c>
      <c r="K1420" s="13" t="str">
        <f>TEXT(Table1[[#This Row],[Date]],"[$-en-US]ddd")</f>
        <v>Mon</v>
      </c>
    </row>
    <row r="1421" spans="1:11" x14ac:dyDescent="0.25">
      <c r="A1421">
        <v>9</v>
      </c>
      <c r="B1421" t="s">
        <v>9</v>
      </c>
      <c r="C1421">
        <v>32.82</v>
      </c>
      <c r="D1421" t="s">
        <v>10</v>
      </c>
      <c r="E1421" t="s">
        <v>11</v>
      </c>
      <c r="F1421" t="s">
        <v>34</v>
      </c>
      <c r="G1421">
        <v>1</v>
      </c>
      <c r="H1421">
        <v>9</v>
      </c>
      <c r="I1421" s="13">
        <v>45544</v>
      </c>
      <c r="J1421" s="13" t="str">
        <f>TEXT(Table1[[#This Row],[Date]],"[$-en-US]mmm yyyy")</f>
        <v>Sep 2024</v>
      </c>
      <c r="K1421" s="13" t="str">
        <f>TEXT(Table1[[#This Row],[Date]],"[$-en-US]ddd")</f>
        <v>Mon</v>
      </c>
    </row>
    <row r="1422" spans="1:11" x14ac:dyDescent="0.25">
      <c r="A1422">
        <v>11</v>
      </c>
      <c r="B1422" t="s">
        <v>9</v>
      </c>
      <c r="C1422">
        <v>27.92</v>
      </c>
      <c r="D1422" t="s">
        <v>17</v>
      </c>
      <c r="E1422" t="s">
        <v>11</v>
      </c>
      <c r="F1422" t="s">
        <v>34</v>
      </c>
      <c r="G1422">
        <v>1</v>
      </c>
      <c r="H1422">
        <v>9</v>
      </c>
      <c r="I1422" s="13">
        <v>45544</v>
      </c>
      <c r="J1422" s="13" t="str">
        <f>TEXT(Table1[[#This Row],[Date]],"[$-en-US]mmm yyyy")</f>
        <v>Sep 2024</v>
      </c>
      <c r="K1422" s="13" t="str">
        <f>TEXT(Table1[[#This Row],[Date]],"[$-en-US]ddd")</f>
        <v>Mon</v>
      </c>
    </row>
    <row r="1423" spans="1:11" x14ac:dyDescent="0.25">
      <c r="A1423">
        <v>11</v>
      </c>
      <c r="B1423" t="s">
        <v>9</v>
      </c>
      <c r="C1423">
        <v>27.92</v>
      </c>
      <c r="D1423" t="s">
        <v>17</v>
      </c>
      <c r="E1423" t="s">
        <v>11</v>
      </c>
      <c r="F1423" t="s">
        <v>34</v>
      </c>
      <c r="G1423">
        <v>1</v>
      </c>
      <c r="H1423">
        <v>9</v>
      </c>
      <c r="I1423" s="13">
        <v>45544</v>
      </c>
      <c r="J1423" s="13" t="str">
        <f>TEXT(Table1[[#This Row],[Date]],"[$-en-US]mmm yyyy")</f>
        <v>Sep 2024</v>
      </c>
      <c r="K1423" s="13" t="str">
        <f>TEXT(Table1[[#This Row],[Date]],"[$-en-US]ddd")</f>
        <v>Mon</v>
      </c>
    </row>
    <row r="1424" spans="1:11" x14ac:dyDescent="0.25">
      <c r="A1424">
        <v>11</v>
      </c>
      <c r="B1424" t="s">
        <v>9</v>
      </c>
      <c r="C1424">
        <v>32.82</v>
      </c>
      <c r="D1424" t="s">
        <v>10</v>
      </c>
      <c r="E1424" t="s">
        <v>11</v>
      </c>
      <c r="F1424" t="s">
        <v>34</v>
      </c>
      <c r="G1424">
        <v>1</v>
      </c>
      <c r="H1424">
        <v>9</v>
      </c>
      <c r="I1424" s="13">
        <v>45544</v>
      </c>
      <c r="J1424" s="13" t="str">
        <f>TEXT(Table1[[#This Row],[Date]],"[$-en-US]mmm yyyy")</f>
        <v>Sep 2024</v>
      </c>
      <c r="K1424" s="13" t="str">
        <f>TEXT(Table1[[#This Row],[Date]],"[$-en-US]ddd")</f>
        <v>Mon</v>
      </c>
    </row>
    <row r="1425" spans="1:11" x14ac:dyDescent="0.25">
      <c r="A1425">
        <v>12</v>
      </c>
      <c r="B1425" t="s">
        <v>9</v>
      </c>
      <c r="C1425">
        <v>18.12</v>
      </c>
      <c r="D1425" t="s">
        <v>24</v>
      </c>
      <c r="E1425" t="s">
        <v>15</v>
      </c>
      <c r="F1425" t="s">
        <v>34</v>
      </c>
      <c r="G1425">
        <v>1</v>
      </c>
      <c r="H1425">
        <v>9</v>
      </c>
      <c r="I1425" s="13">
        <v>45544</v>
      </c>
      <c r="J1425" s="13" t="str">
        <f>TEXT(Table1[[#This Row],[Date]],"[$-en-US]mmm yyyy")</f>
        <v>Sep 2024</v>
      </c>
      <c r="K1425" s="13" t="str">
        <f>TEXT(Table1[[#This Row],[Date]],"[$-en-US]ddd")</f>
        <v>Mon</v>
      </c>
    </row>
    <row r="1426" spans="1:11" x14ac:dyDescent="0.25">
      <c r="A1426">
        <v>15</v>
      </c>
      <c r="B1426" t="s">
        <v>9</v>
      </c>
      <c r="C1426">
        <v>32.82</v>
      </c>
      <c r="D1426" t="s">
        <v>10</v>
      </c>
      <c r="E1426" t="s">
        <v>15</v>
      </c>
      <c r="F1426" t="s">
        <v>34</v>
      </c>
      <c r="G1426">
        <v>1</v>
      </c>
      <c r="H1426">
        <v>9</v>
      </c>
      <c r="I1426" s="13">
        <v>45544</v>
      </c>
      <c r="J1426" s="13" t="str">
        <f>TEXT(Table1[[#This Row],[Date]],"[$-en-US]mmm yyyy")</f>
        <v>Sep 2024</v>
      </c>
      <c r="K1426" s="13" t="str">
        <f>TEXT(Table1[[#This Row],[Date]],"[$-en-US]ddd")</f>
        <v>Mon</v>
      </c>
    </row>
    <row r="1427" spans="1:11" x14ac:dyDescent="0.25">
      <c r="A1427">
        <v>15</v>
      </c>
      <c r="B1427" t="s">
        <v>9</v>
      </c>
      <c r="C1427">
        <v>23.02</v>
      </c>
      <c r="D1427" t="s">
        <v>16</v>
      </c>
      <c r="E1427" t="s">
        <v>15</v>
      </c>
      <c r="F1427" t="s">
        <v>34</v>
      </c>
      <c r="G1427">
        <v>1</v>
      </c>
      <c r="H1427">
        <v>9</v>
      </c>
      <c r="I1427" s="13">
        <v>45544</v>
      </c>
      <c r="J1427" s="13" t="str">
        <f>TEXT(Table1[[#This Row],[Date]],"[$-en-US]mmm yyyy")</f>
        <v>Sep 2024</v>
      </c>
      <c r="K1427" s="13" t="str">
        <f>TEXT(Table1[[#This Row],[Date]],"[$-en-US]ddd")</f>
        <v>Mon</v>
      </c>
    </row>
    <row r="1428" spans="1:11" x14ac:dyDescent="0.25">
      <c r="A1428">
        <v>17</v>
      </c>
      <c r="B1428" t="s">
        <v>9</v>
      </c>
      <c r="C1428">
        <v>32.82</v>
      </c>
      <c r="D1428" t="s">
        <v>10</v>
      </c>
      <c r="E1428" t="s">
        <v>18</v>
      </c>
      <c r="F1428" t="s">
        <v>34</v>
      </c>
      <c r="G1428">
        <v>1</v>
      </c>
      <c r="H1428">
        <v>9</v>
      </c>
      <c r="I1428" s="13">
        <v>45544</v>
      </c>
      <c r="J1428" s="13" t="str">
        <f>TEXT(Table1[[#This Row],[Date]],"[$-en-US]mmm yyyy")</f>
        <v>Sep 2024</v>
      </c>
      <c r="K1428" s="13" t="str">
        <f>TEXT(Table1[[#This Row],[Date]],"[$-en-US]ddd")</f>
        <v>Mon</v>
      </c>
    </row>
    <row r="1429" spans="1:11" x14ac:dyDescent="0.25">
      <c r="A1429">
        <v>18</v>
      </c>
      <c r="B1429" t="s">
        <v>9</v>
      </c>
      <c r="C1429">
        <v>32.82</v>
      </c>
      <c r="D1429" t="s">
        <v>10</v>
      </c>
      <c r="E1429" t="s">
        <v>18</v>
      </c>
      <c r="F1429" t="s">
        <v>34</v>
      </c>
      <c r="G1429">
        <v>1</v>
      </c>
      <c r="H1429">
        <v>9</v>
      </c>
      <c r="I1429" s="13">
        <v>45544</v>
      </c>
      <c r="J1429" s="13" t="str">
        <f>TEXT(Table1[[#This Row],[Date]],"[$-en-US]mmm yyyy")</f>
        <v>Sep 2024</v>
      </c>
      <c r="K1429" s="13" t="str">
        <f>TEXT(Table1[[#This Row],[Date]],"[$-en-US]ddd")</f>
        <v>Mon</v>
      </c>
    </row>
    <row r="1430" spans="1:11" x14ac:dyDescent="0.25">
      <c r="A1430">
        <v>20</v>
      </c>
      <c r="B1430" t="s">
        <v>9</v>
      </c>
      <c r="C1430">
        <v>32.82</v>
      </c>
      <c r="D1430" t="s">
        <v>27</v>
      </c>
      <c r="E1430" t="s">
        <v>18</v>
      </c>
      <c r="F1430" t="s">
        <v>34</v>
      </c>
      <c r="G1430">
        <v>1</v>
      </c>
      <c r="H1430">
        <v>9</v>
      </c>
      <c r="I1430" s="13">
        <v>45544</v>
      </c>
      <c r="J1430" s="13" t="str">
        <f>TEXT(Table1[[#This Row],[Date]],"[$-en-US]mmm yyyy")</f>
        <v>Sep 2024</v>
      </c>
      <c r="K1430" s="13" t="str">
        <f>TEXT(Table1[[#This Row],[Date]],"[$-en-US]ddd")</f>
        <v>Mon</v>
      </c>
    </row>
    <row r="1431" spans="1:11" x14ac:dyDescent="0.25">
      <c r="A1431">
        <v>20</v>
      </c>
      <c r="B1431" t="s">
        <v>9</v>
      </c>
      <c r="C1431">
        <v>32.82</v>
      </c>
      <c r="D1431" t="s">
        <v>10</v>
      </c>
      <c r="E1431" t="s">
        <v>18</v>
      </c>
      <c r="F1431" t="s">
        <v>34</v>
      </c>
      <c r="G1431">
        <v>1</v>
      </c>
      <c r="H1431">
        <v>9</v>
      </c>
      <c r="I1431" s="13">
        <v>45544</v>
      </c>
      <c r="J1431" s="13" t="str">
        <f>TEXT(Table1[[#This Row],[Date]],"[$-en-US]mmm yyyy")</f>
        <v>Sep 2024</v>
      </c>
      <c r="K1431" s="13" t="str">
        <f>TEXT(Table1[[#This Row],[Date]],"[$-en-US]ddd")</f>
        <v>Mon</v>
      </c>
    </row>
    <row r="1432" spans="1:11" x14ac:dyDescent="0.25">
      <c r="A1432">
        <v>8</v>
      </c>
      <c r="B1432" t="s">
        <v>9</v>
      </c>
      <c r="C1432">
        <v>32.82</v>
      </c>
      <c r="D1432" t="s">
        <v>14</v>
      </c>
      <c r="E1432" t="s">
        <v>11</v>
      </c>
      <c r="F1432" t="s">
        <v>34</v>
      </c>
      <c r="G1432">
        <v>2</v>
      </c>
      <c r="H1432">
        <v>9</v>
      </c>
      <c r="I1432" s="13">
        <v>45545</v>
      </c>
      <c r="J1432" s="13" t="str">
        <f>TEXT(Table1[[#This Row],[Date]],"[$-en-US]mmm yyyy")</f>
        <v>Sep 2024</v>
      </c>
      <c r="K1432" s="13" t="str">
        <f>TEXT(Table1[[#This Row],[Date]],"[$-en-US]ddd")</f>
        <v>Tue</v>
      </c>
    </row>
    <row r="1433" spans="1:11" x14ac:dyDescent="0.25">
      <c r="A1433">
        <v>9</v>
      </c>
      <c r="B1433" t="s">
        <v>9</v>
      </c>
      <c r="C1433">
        <v>32.82</v>
      </c>
      <c r="D1433" t="s">
        <v>27</v>
      </c>
      <c r="E1433" t="s">
        <v>11</v>
      </c>
      <c r="F1433" t="s">
        <v>34</v>
      </c>
      <c r="G1433">
        <v>2</v>
      </c>
      <c r="H1433">
        <v>9</v>
      </c>
      <c r="I1433" s="13">
        <v>45545</v>
      </c>
      <c r="J1433" s="13" t="str">
        <f>TEXT(Table1[[#This Row],[Date]],"[$-en-US]mmm yyyy")</f>
        <v>Sep 2024</v>
      </c>
      <c r="K1433" s="13" t="str">
        <f>TEXT(Table1[[#This Row],[Date]],"[$-en-US]ddd")</f>
        <v>Tue</v>
      </c>
    </row>
    <row r="1434" spans="1:11" x14ac:dyDescent="0.25">
      <c r="A1434">
        <v>15</v>
      </c>
      <c r="B1434" t="s">
        <v>9</v>
      </c>
      <c r="C1434">
        <v>23.02</v>
      </c>
      <c r="D1434" t="s">
        <v>22</v>
      </c>
      <c r="E1434" t="s">
        <v>15</v>
      </c>
      <c r="F1434" t="s">
        <v>34</v>
      </c>
      <c r="G1434">
        <v>2</v>
      </c>
      <c r="H1434">
        <v>9</v>
      </c>
      <c r="I1434" s="13">
        <v>45545</v>
      </c>
      <c r="J1434" s="13" t="str">
        <f>TEXT(Table1[[#This Row],[Date]],"[$-en-US]mmm yyyy")</f>
        <v>Sep 2024</v>
      </c>
      <c r="K1434" s="13" t="str">
        <f>TEXT(Table1[[#This Row],[Date]],"[$-en-US]ddd")</f>
        <v>Tue</v>
      </c>
    </row>
    <row r="1435" spans="1:11" x14ac:dyDescent="0.25">
      <c r="A1435">
        <v>15</v>
      </c>
      <c r="B1435" t="s">
        <v>9</v>
      </c>
      <c r="C1435">
        <v>23.02</v>
      </c>
      <c r="D1435" t="s">
        <v>22</v>
      </c>
      <c r="E1435" t="s">
        <v>15</v>
      </c>
      <c r="F1435" t="s">
        <v>34</v>
      </c>
      <c r="G1435">
        <v>2</v>
      </c>
      <c r="H1435">
        <v>9</v>
      </c>
      <c r="I1435" s="13">
        <v>45545</v>
      </c>
      <c r="J1435" s="13" t="str">
        <f>TEXT(Table1[[#This Row],[Date]],"[$-en-US]mmm yyyy")</f>
        <v>Sep 2024</v>
      </c>
      <c r="K1435" s="13" t="str">
        <f>TEXT(Table1[[#This Row],[Date]],"[$-en-US]ddd")</f>
        <v>Tue</v>
      </c>
    </row>
    <row r="1436" spans="1:11" x14ac:dyDescent="0.25">
      <c r="A1436">
        <v>18</v>
      </c>
      <c r="B1436" t="s">
        <v>9</v>
      </c>
      <c r="C1436">
        <v>32.82</v>
      </c>
      <c r="D1436" t="s">
        <v>27</v>
      </c>
      <c r="E1436" t="s">
        <v>18</v>
      </c>
      <c r="F1436" t="s">
        <v>34</v>
      </c>
      <c r="G1436">
        <v>2</v>
      </c>
      <c r="H1436">
        <v>9</v>
      </c>
      <c r="I1436" s="13">
        <v>45545</v>
      </c>
      <c r="J1436" s="13" t="str">
        <f>TEXT(Table1[[#This Row],[Date]],"[$-en-US]mmm yyyy")</f>
        <v>Sep 2024</v>
      </c>
      <c r="K1436" s="13" t="str">
        <f>TEXT(Table1[[#This Row],[Date]],"[$-en-US]ddd")</f>
        <v>Tue</v>
      </c>
    </row>
    <row r="1437" spans="1:11" x14ac:dyDescent="0.25">
      <c r="A1437">
        <v>18</v>
      </c>
      <c r="B1437" t="s">
        <v>9</v>
      </c>
      <c r="C1437">
        <v>27.92</v>
      </c>
      <c r="D1437" t="s">
        <v>17</v>
      </c>
      <c r="E1437" t="s">
        <v>18</v>
      </c>
      <c r="F1437" t="s">
        <v>34</v>
      </c>
      <c r="G1437">
        <v>2</v>
      </c>
      <c r="H1437">
        <v>9</v>
      </c>
      <c r="I1437" s="13">
        <v>45545</v>
      </c>
      <c r="J1437" s="13" t="str">
        <f>TEXT(Table1[[#This Row],[Date]],"[$-en-US]mmm yyyy")</f>
        <v>Sep 2024</v>
      </c>
      <c r="K1437" s="13" t="str">
        <f>TEXT(Table1[[#This Row],[Date]],"[$-en-US]ddd")</f>
        <v>Tue</v>
      </c>
    </row>
    <row r="1438" spans="1:11" x14ac:dyDescent="0.25">
      <c r="A1438">
        <v>19</v>
      </c>
      <c r="B1438" t="s">
        <v>9</v>
      </c>
      <c r="C1438">
        <v>32.82</v>
      </c>
      <c r="D1438" t="s">
        <v>10</v>
      </c>
      <c r="E1438" t="s">
        <v>18</v>
      </c>
      <c r="F1438" t="s">
        <v>34</v>
      </c>
      <c r="G1438">
        <v>2</v>
      </c>
      <c r="H1438">
        <v>9</v>
      </c>
      <c r="I1438" s="13">
        <v>45545</v>
      </c>
      <c r="J1438" s="13" t="str">
        <f>TEXT(Table1[[#This Row],[Date]],"[$-en-US]mmm yyyy")</f>
        <v>Sep 2024</v>
      </c>
      <c r="K1438" s="13" t="str">
        <f>TEXT(Table1[[#This Row],[Date]],"[$-en-US]ddd")</f>
        <v>Tue</v>
      </c>
    </row>
    <row r="1439" spans="1:11" x14ac:dyDescent="0.25">
      <c r="A1439">
        <v>19</v>
      </c>
      <c r="B1439" t="s">
        <v>9</v>
      </c>
      <c r="C1439">
        <v>32.82</v>
      </c>
      <c r="D1439" t="s">
        <v>10</v>
      </c>
      <c r="E1439" t="s">
        <v>18</v>
      </c>
      <c r="F1439" t="s">
        <v>34</v>
      </c>
      <c r="G1439">
        <v>2</v>
      </c>
      <c r="H1439">
        <v>9</v>
      </c>
      <c r="I1439" s="13">
        <v>45545</v>
      </c>
      <c r="J1439" s="13" t="str">
        <f>TEXT(Table1[[#This Row],[Date]],"[$-en-US]mmm yyyy")</f>
        <v>Sep 2024</v>
      </c>
      <c r="K1439" s="13" t="str">
        <f>TEXT(Table1[[#This Row],[Date]],"[$-en-US]ddd")</f>
        <v>Tue</v>
      </c>
    </row>
    <row r="1440" spans="1:11" x14ac:dyDescent="0.25">
      <c r="A1440">
        <v>21</v>
      </c>
      <c r="B1440" t="s">
        <v>9</v>
      </c>
      <c r="C1440">
        <v>27.92</v>
      </c>
      <c r="D1440" t="s">
        <v>17</v>
      </c>
      <c r="E1440" t="s">
        <v>18</v>
      </c>
      <c r="F1440" t="s">
        <v>34</v>
      </c>
      <c r="G1440">
        <v>2</v>
      </c>
      <c r="H1440">
        <v>9</v>
      </c>
      <c r="I1440" s="13">
        <v>45545</v>
      </c>
      <c r="J1440" s="13" t="str">
        <f>TEXT(Table1[[#This Row],[Date]],"[$-en-US]mmm yyyy")</f>
        <v>Sep 2024</v>
      </c>
      <c r="K1440" s="13" t="str">
        <f>TEXT(Table1[[#This Row],[Date]],"[$-en-US]ddd")</f>
        <v>Tue</v>
      </c>
    </row>
    <row r="1441" spans="1:11" x14ac:dyDescent="0.25">
      <c r="A1441">
        <v>21</v>
      </c>
      <c r="B1441" t="s">
        <v>9</v>
      </c>
      <c r="C1441">
        <v>23.02</v>
      </c>
      <c r="D1441" t="s">
        <v>16</v>
      </c>
      <c r="E1441" t="s">
        <v>18</v>
      </c>
      <c r="F1441" t="s">
        <v>34</v>
      </c>
      <c r="G1441">
        <v>2</v>
      </c>
      <c r="H1441">
        <v>9</v>
      </c>
      <c r="I1441" s="13">
        <v>45545</v>
      </c>
      <c r="J1441" s="13" t="str">
        <f>TEXT(Table1[[#This Row],[Date]],"[$-en-US]mmm yyyy")</f>
        <v>Sep 2024</v>
      </c>
      <c r="K1441" s="13" t="str">
        <f>TEXT(Table1[[#This Row],[Date]],"[$-en-US]ddd")</f>
        <v>Tue</v>
      </c>
    </row>
    <row r="1442" spans="1:11" x14ac:dyDescent="0.25">
      <c r="A1442">
        <v>8</v>
      </c>
      <c r="B1442" t="s">
        <v>9</v>
      </c>
      <c r="C1442">
        <v>32.82</v>
      </c>
      <c r="D1442" t="s">
        <v>10</v>
      </c>
      <c r="E1442" t="s">
        <v>11</v>
      </c>
      <c r="F1442" t="s">
        <v>34</v>
      </c>
      <c r="G1442">
        <v>3</v>
      </c>
      <c r="H1442">
        <v>9</v>
      </c>
      <c r="I1442" s="13">
        <v>45546</v>
      </c>
      <c r="J1442" s="13" t="str">
        <f>TEXT(Table1[[#This Row],[Date]],"[$-en-US]mmm yyyy")</f>
        <v>Sep 2024</v>
      </c>
      <c r="K1442" s="13" t="str">
        <f>TEXT(Table1[[#This Row],[Date]],"[$-en-US]ddd")</f>
        <v>Wed</v>
      </c>
    </row>
    <row r="1443" spans="1:11" x14ac:dyDescent="0.25">
      <c r="A1443">
        <v>9</v>
      </c>
      <c r="B1443" t="s">
        <v>9</v>
      </c>
      <c r="C1443">
        <v>27.92</v>
      </c>
      <c r="D1443" t="s">
        <v>17</v>
      </c>
      <c r="E1443" t="s">
        <v>11</v>
      </c>
      <c r="F1443" t="s">
        <v>34</v>
      </c>
      <c r="G1443">
        <v>3</v>
      </c>
      <c r="H1443">
        <v>9</v>
      </c>
      <c r="I1443" s="13">
        <v>45546</v>
      </c>
      <c r="J1443" s="13" t="str">
        <f>TEXT(Table1[[#This Row],[Date]],"[$-en-US]mmm yyyy")</f>
        <v>Sep 2024</v>
      </c>
      <c r="K1443" s="13" t="str">
        <f>TEXT(Table1[[#This Row],[Date]],"[$-en-US]ddd")</f>
        <v>Wed</v>
      </c>
    </row>
    <row r="1444" spans="1:11" x14ac:dyDescent="0.25">
      <c r="A1444">
        <v>10</v>
      </c>
      <c r="B1444" t="s">
        <v>9</v>
      </c>
      <c r="C1444">
        <v>32.82</v>
      </c>
      <c r="D1444" t="s">
        <v>10</v>
      </c>
      <c r="E1444" t="s">
        <v>11</v>
      </c>
      <c r="F1444" t="s">
        <v>34</v>
      </c>
      <c r="G1444">
        <v>3</v>
      </c>
      <c r="H1444">
        <v>9</v>
      </c>
      <c r="I1444" s="13">
        <v>45546</v>
      </c>
      <c r="J1444" s="13" t="str">
        <f>TEXT(Table1[[#This Row],[Date]],"[$-en-US]mmm yyyy")</f>
        <v>Sep 2024</v>
      </c>
      <c r="K1444" s="13" t="str">
        <f>TEXT(Table1[[#This Row],[Date]],"[$-en-US]ddd")</f>
        <v>Wed</v>
      </c>
    </row>
    <row r="1445" spans="1:11" x14ac:dyDescent="0.25">
      <c r="A1445">
        <v>19</v>
      </c>
      <c r="B1445" t="s">
        <v>9</v>
      </c>
      <c r="C1445">
        <v>32.82</v>
      </c>
      <c r="D1445" t="s">
        <v>27</v>
      </c>
      <c r="E1445" t="s">
        <v>18</v>
      </c>
      <c r="F1445" t="s">
        <v>34</v>
      </c>
      <c r="G1445">
        <v>3</v>
      </c>
      <c r="H1445">
        <v>9</v>
      </c>
      <c r="I1445" s="13">
        <v>45546</v>
      </c>
      <c r="J1445" s="13" t="str">
        <f>TEXT(Table1[[#This Row],[Date]],"[$-en-US]mmm yyyy")</f>
        <v>Sep 2024</v>
      </c>
      <c r="K1445" s="13" t="str">
        <f>TEXT(Table1[[#This Row],[Date]],"[$-en-US]ddd")</f>
        <v>Wed</v>
      </c>
    </row>
    <row r="1446" spans="1:11" x14ac:dyDescent="0.25">
      <c r="A1446">
        <v>20</v>
      </c>
      <c r="B1446" t="s">
        <v>9</v>
      </c>
      <c r="C1446">
        <v>27.92</v>
      </c>
      <c r="D1446" t="s">
        <v>17</v>
      </c>
      <c r="E1446" t="s">
        <v>18</v>
      </c>
      <c r="F1446" t="s">
        <v>34</v>
      </c>
      <c r="G1446">
        <v>3</v>
      </c>
      <c r="H1446">
        <v>9</v>
      </c>
      <c r="I1446" s="13">
        <v>45546</v>
      </c>
      <c r="J1446" s="13" t="str">
        <f>TEXT(Table1[[#This Row],[Date]],"[$-en-US]mmm yyyy")</f>
        <v>Sep 2024</v>
      </c>
      <c r="K1446" s="13" t="str">
        <f>TEXT(Table1[[#This Row],[Date]],"[$-en-US]ddd")</f>
        <v>Wed</v>
      </c>
    </row>
    <row r="1447" spans="1:11" x14ac:dyDescent="0.25">
      <c r="A1447">
        <v>20</v>
      </c>
      <c r="B1447" t="s">
        <v>9</v>
      </c>
      <c r="C1447">
        <v>32.82</v>
      </c>
      <c r="D1447" t="s">
        <v>10</v>
      </c>
      <c r="E1447" t="s">
        <v>18</v>
      </c>
      <c r="F1447" t="s">
        <v>34</v>
      </c>
      <c r="G1447">
        <v>3</v>
      </c>
      <c r="H1447">
        <v>9</v>
      </c>
      <c r="I1447" s="13">
        <v>45546</v>
      </c>
      <c r="J1447" s="13" t="str">
        <f>TEXT(Table1[[#This Row],[Date]],"[$-en-US]mmm yyyy")</f>
        <v>Sep 2024</v>
      </c>
      <c r="K1447" s="13" t="str">
        <f>TEXT(Table1[[#This Row],[Date]],"[$-en-US]ddd")</f>
        <v>Wed</v>
      </c>
    </row>
    <row r="1448" spans="1:11" x14ac:dyDescent="0.25">
      <c r="A1448">
        <v>20</v>
      </c>
      <c r="B1448" t="s">
        <v>9</v>
      </c>
      <c r="C1448">
        <v>32.82</v>
      </c>
      <c r="D1448" t="s">
        <v>10</v>
      </c>
      <c r="E1448" t="s">
        <v>18</v>
      </c>
      <c r="F1448" t="s">
        <v>34</v>
      </c>
      <c r="G1448">
        <v>3</v>
      </c>
      <c r="H1448">
        <v>9</v>
      </c>
      <c r="I1448" s="13">
        <v>45546</v>
      </c>
      <c r="J1448" s="13" t="str">
        <f>TEXT(Table1[[#This Row],[Date]],"[$-en-US]mmm yyyy")</f>
        <v>Sep 2024</v>
      </c>
      <c r="K1448" s="13" t="str">
        <f>TEXT(Table1[[#This Row],[Date]],"[$-en-US]ddd")</f>
        <v>Wed</v>
      </c>
    </row>
    <row r="1449" spans="1:11" x14ac:dyDescent="0.25">
      <c r="A1449">
        <v>21</v>
      </c>
      <c r="B1449" t="s">
        <v>9</v>
      </c>
      <c r="C1449">
        <v>23.02</v>
      </c>
      <c r="D1449" t="s">
        <v>22</v>
      </c>
      <c r="E1449" t="s">
        <v>18</v>
      </c>
      <c r="F1449" t="s">
        <v>34</v>
      </c>
      <c r="G1449">
        <v>3</v>
      </c>
      <c r="H1449">
        <v>9</v>
      </c>
      <c r="I1449" s="13">
        <v>45546</v>
      </c>
      <c r="J1449" s="13" t="str">
        <f>TEXT(Table1[[#This Row],[Date]],"[$-en-US]mmm yyyy")</f>
        <v>Sep 2024</v>
      </c>
      <c r="K1449" s="13" t="str">
        <f>TEXT(Table1[[#This Row],[Date]],"[$-en-US]ddd")</f>
        <v>Wed</v>
      </c>
    </row>
    <row r="1450" spans="1:11" x14ac:dyDescent="0.25">
      <c r="A1450">
        <v>10</v>
      </c>
      <c r="B1450" t="s">
        <v>9</v>
      </c>
      <c r="C1450">
        <v>18.12</v>
      </c>
      <c r="D1450" t="s">
        <v>24</v>
      </c>
      <c r="E1450" t="s">
        <v>11</v>
      </c>
      <c r="F1450" t="s">
        <v>34</v>
      </c>
      <c r="G1450">
        <v>4</v>
      </c>
      <c r="H1450">
        <v>9</v>
      </c>
      <c r="I1450" s="13">
        <v>45547</v>
      </c>
      <c r="J1450" s="13" t="str">
        <f>TEXT(Table1[[#This Row],[Date]],"[$-en-US]mmm yyyy")</f>
        <v>Sep 2024</v>
      </c>
      <c r="K1450" s="13" t="str">
        <f>TEXT(Table1[[#This Row],[Date]],"[$-en-US]ddd")</f>
        <v>Thu</v>
      </c>
    </row>
    <row r="1451" spans="1:11" x14ac:dyDescent="0.25">
      <c r="A1451">
        <v>10</v>
      </c>
      <c r="B1451" t="s">
        <v>9</v>
      </c>
      <c r="C1451">
        <v>27.92</v>
      </c>
      <c r="D1451" t="s">
        <v>17</v>
      </c>
      <c r="E1451" t="s">
        <v>11</v>
      </c>
      <c r="F1451" t="s">
        <v>34</v>
      </c>
      <c r="G1451">
        <v>4</v>
      </c>
      <c r="H1451">
        <v>9</v>
      </c>
      <c r="I1451" s="13">
        <v>45547</v>
      </c>
      <c r="J1451" s="13" t="str">
        <f>TEXT(Table1[[#This Row],[Date]],"[$-en-US]mmm yyyy")</f>
        <v>Sep 2024</v>
      </c>
      <c r="K1451" s="13" t="str">
        <f>TEXT(Table1[[#This Row],[Date]],"[$-en-US]ddd")</f>
        <v>Thu</v>
      </c>
    </row>
    <row r="1452" spans="1:11" x14ac:dyDescent="0.25">
      <c r="A1452">
        <v>11</v>
      </c>
      <c r="B1452" t="s">
        <v>9</v>
      </c>
      <c r="C1452">
        <v>27.92</v>
      </c>
      <c r="D1452" t="s">
        <v>17</v>
      </c>
      <c r="E1452" t="s">
        <v>11</v>
      </c>
      <c r="F1452" t="s">
        <v>34</v>
      </c>
      <c r="G1452">
        <v>4</v>
      </c>
      <c r="H1452">
        <v>9</v>
      </c>
      <c r="I1452" s="13">
        <v>45547</v>
      </c>
      <c r="J1452" s="13" t="str">
        <f>TEXT(Table1[[#This Row],[Date]],"[$-en-US]mmm yyyy")</f>
        <v>Sep 2024</v>
      </c>
      <c r="K1452" s="13" t="str">
        <f>TEXT(Table1[[#This Row],[Date]],"[$-en-US]ddd")</f>
        <v>Thu</v>
      </c>
    </row>
    <row r="1453" spans="1:11" x14ac:dyDescent="0.25">
      <c r="A1453">
        <v>12</v>
      </c>
      <c r="B1453" t="s">
        <v>9</v>
      </c>
      <c r="C1453">
        <v>32.82</v>
      </c>
      <c r="D1453" t="s">
        <v>27</v>
      </c>
      <c r="E1453" t="s">
        <v>15</v>
      </c>
      <c r="F1453" t="s">
        <v>34</v>
      </c>
      <c r="G1453">
        <v>4</v>
      </c>
      <c r="H1453">
        <v>9</v>
      </c>
      <c r="I1453" s="13">
        <v>45547</v>
      </c>
      <c r="J1453" s="13" t="str">
        <f>TEXT(Table1[[#This Row],[Date]],"[$-en-US]mmm yyyy")</f>
        <v>Sep 2024</v>
      </c>
      <c r="K1453" s="13" t="str">
        <f>TEXT(Table1[[#This Row],[Date]],"[$-en-US]ddd")</f>
        <v>Thu</v>
      </c>
    </row>
    <row r="1454" spans="1:11" x14ac:dyDescent="0.25">
      <c r="A1454">
        <v>12</v>
      </c>
      <c r="B1454" t="s">
        <v>9</v>
      </c>
      <c r="C1454">
        <v>23.02</v>
      </c>
      <c r="D1454" t="s">
        <v>22</v>
      </c>
      <c r="E1454" t="s">
        <v>15</v>
      </c>
      <c r="F1454" t="s">
        <v>34</v>
      </c>
      <c r="G1454">
        <v>4</v>
      </c>
      <c r="H1454">
        <v>9</v>
      </c>
      <c r="I1454" s="13">
        <v>45547</v>
      </c>
      <c r="J1454" s="13" t="str">
        <f>TEXT(Table1[[#This Row],[Date]],"[$-en-US]mmm yyyy")</f>
        <v>Sep 2024</v>
      </c>
      <c r="K1454" s="13" t="str">
        <f>TEXT(Table1[[#This Row],[Date]],"[$-en-US]ddd")</f>
        <v>Thu</v>
      </c>
    </row>
    <row r="1455" spans="1:11" x14ac:dyDescent="0.25">
      <c r="A1455">
        <v>12</v>
      </c>
      <c r="B1455" t="s">
        <v>9</v>
      </c>
      <c r="C1455">
        <v>23.02</v>
      </c>
      <c r="D1455" t="s">
        <v>22</v>
      </c>
      <c r="E1455" t="s">
        <v>15</v>
      </c>
      <c r="F1455" t="s">
        <v>34</v>
      </c>
      <c r="G1455">
        <v>4</v>
      </c>
      <c r="H1455">
        <v>9</v>
      </c>
      <c r="I1455" s="13">
        <v>45547</v>
      </c>
      <c r="J1455" s="13" t="str">
        <f>TEXT(Table1[[#This Row],[Date]],"[$-en-US]mmm yyyy")</f>
        <v>Sep 2024</v>
      </c>
      <c r="K1455" s="13" t="str">
        <f>TEXT(Table1[[#This Row],[Date]],"[$-en-US]ddd")</f>
        <v>Thu</v>
      </c>
    </row>
    <row r="1456" spans="1:11" x14ac:dyDescent="0.25">
      <c r="A1456">
        <v>12</v>
      </c>
      <c r="B1456" t="s">
        <v>9</v>
      </c>
      <c r="C1456">
        <v>23.02</v>
      </c>
      <c r="D1456" t="s">
        <v>22</v>
      </c>
      <c r="E1456" t="s">
        <v>15</v>
      </c>
      <c r="F1456" t="s">
        <v>34</v>
      </c>
      <c r="G1456">
        <v>4</v>
      </c>
      <c r="H1456">
        <v>9</v>
      </c>
      <c r="I1456" s="13">
        <v>45547</v>
      </c>
      <c r="J1456" s="13" t="str">
        <f>TEXT(Table1[[#This Row],[Date]],"[$-en-US]mmm yyyy")</f>
        <v>Sep 2024</v>
      </c>
      <c r="K1456" s="13" t="str">
        <f>TEXT(Table1[[#This Row],[Date]],"[$-en-US]ddd")</f>
        <v>Thu</v>
      </c>
    </row>
    <row r="1457" spans="1:11" x14ac:dyDescent="0.25">
      <c r="A1457">
        <v>12</v>
      </c>
      <c r="B1457" t="s">
        <v>9</v>
      </c>
      <c r="C1457">
        <v>23.02</v>
      </c>
      <c r="D1457" t="s">
        <v>22</v>
      </c>
      <c r="E1457" t="s">
        <v>15</v>
      </c>
      <c r="F1457" t="s">
        <v>34</v>
      </c>
      <c r="G1457">
        <v>4</v>
      </c>
      <c r="H1457">
        <v>9</v>
      </c>
      <c r="I1457" s="13">
        <v>45547</v>
      </c>
      <c r="J1457" s="13" t="str">
        <f>TEXT(Table1[[#This Row],[Date]],"[$-en-US]mmm yyyy")</f>
        <v>Sep 2024</v>
      </c>
      <c r="K1457" s="13" t="str">
        <f>TEXT(Table1[[#This Row],[Date]],"[$-en-US]ddd")</f>
        <v>Thu</v>
      </c>
    </row>
    <row r="1458" spans="1:11" x14ac:dyDescent="0.25">
      <c r="A1458">
        <v>17</v>
      </c>
      <c r="B1458" t="s">
        <v>9</v>
      </c>
      <c r="C1458">
        <v>32.82</v>
      </c>
      <c r="D1458" t="s">
        <v>10</v>
      </c>
      <c r="E1458" t="s">
        <v>18</v>
      </c>
      <c r="F1458" t="s">
        <v>34</v>
      </c>
      <c r="G1458">
        <v>4</v>
      </c>
      <c r="H1458">
        <v>9</v>
      </c>
      <c r="I1458" s="13">
        <v>45547</v>
      </c>
      <c r="J1458" s="13" t="str">
        <f>TEXT(Table1[[#This Row],[Date]],"[$-en-US]mmm yyyy")</f>
        <v>Sep 2024</v>
      </c>
      <c r="K1458" s="13" t="str">
        <f>TEXT(Table1[[#This Row],[Date]],"[$-en-US]ddd")</f>
        <v>Thu</v>
      </c>
    </row>
    <row r="1459" spans="1:11" x14ac:dyDescent="0.25">
      <c r="A1459">
        <v>21</v>
      </c>
      <c r="B1459" t="s">
        <v>9</v>
      </c>
      <c r="C1459">
        <v>23.02</v>
      </c>
      <c r="D1459" t="s">
        <v>16</v>
      </c>
      <c r="E1459" t="s">
        <v>18</v>
      </c>
      <c r="F1459" t="s">
        <v>34</v>
      </c>
      <c r="G1459">
        <v>4</v>
      </c>
      <c r="H1459">
        <v>9</v>
      </c>
      <c r="I1459" s="13">
        <v>45547</v>
      </c>
      <c r="J1459" s="13" t="str">
        <f>TEXT(Table1[[#This Row],[Date]],"[$-en-US]mmm yyyy")</f>
        <v>Sep 2024</v>
      </c>
      <c r="K1459" s="13" t="str">
        <f>TEXT(Table1[[#This Row],[Date]],"[$-en-US]ddd")</f>
        <v>Thu</v>
      </c>
    </row>
    <row r="1460" spans="1:11" x14ac:dyDescent="0.25">
      <c r="A1460">
        <v>21</v>
      </c>
      <c r="B1460" t="s">
        <v>9</v>
      </c>
      <c r="C1460">
        <v>32.82</v>
      </c>
      <c r="D1460" t="s">
        <v>27</v>
      </c>
      <c r="E1460" t="s">
        <v>18</v>
      </c>
      <c r="F1460" t="s">
        <v>34</v>
      </c>
      <c r="G1460">
        <v>4</v>
      </c>
      <c r="H1460">
        <v>9</v>
      </c>
      <c r="I1460" s="13">
        <v>45547</v>
      </c>
      <c r="J1460" s="13" t="str">
        <f>TEXT(Table1[[#This Row],[Date]],"[$-en-US]mmm yyyy")</f>
        <v>Sep 2024</v>
      </c>
      <c r="K1460" s="13" t="str">
        <f>TEXT(Table1[[#This Row],[Date]],"[$-en-US]ddd")</f>
        <v>Thu</v>
      </c>
    </row>
    <row r="1461" spans="1:11" x14ac:dyDescent="0.25">
      <c r="A1461">
        <v>21</v>
      </c>
      <c r="B1461" t="s">
        <v>9</v>
      </c>
      <c r="C1461">
        <v>23.02</v>
      </c>
      <c r="D1461" t="s">
        <v>22</v>
      </c>
      <c r="E1461" t="s">
        <v>18</v>
      </c>
      <c r="F1461" t="s">
        <v>34</v>
      </c>
      <c r="G1461">
        <v>4</v>
      </c>
      <c r="H1461">
        <v>9</v>
      </c>
      <c r="I1461" s="13">
        <v>45547</v>
      </c>
      <c r="J1461" s="13" t="str">
        <f>TEXT(Table1[[#This Row],[Date]],"[$-en-US]mmm yyyy")</f>
        <v>Sep 2024</v>
      </c>
      <c r="K1461" s="13" t="str">
        <f>TEXT(Table1[[#This Row],[Date]],"[$-en-US]ddd")</f>
        <v>Thu</v>
      </c>
    </row>
    <row r="1462" spans="1:11" x14ac:dyDescent="0.25">
      <c r="A1462">
        <v>7</v>
      </c>
      <c r="B1462" t="s">
        <v>9</v>
      </c>
      <c r="C1462">
        <v>32.82</v>
      </c>
      <c r="D1462" t="s">
        <v>10</v>
      </c>
      <c r="E1462" t="s">
        <v>11</v>
      </c>
      <c r="F1462" t="s">
        <v>34</v>
      </c>
      <c r="G1462">
        <v>5</v>
      </c>
      <c r="H1462">
        <v>9</v>
      </c>
      <c r="I1462" s="13">
        <v>45548</v>
      </c>
      <c r="J1462" s="13" t="str">
        <f>TEXT(Table1[[#This Row],[Date]],"[$-en-US]mmm yyyy")</f>
        <v>Sep 2024</v>
      </c>
      <c r="K1462" s="13" t="str">
        <f>TEXT(Table1[[#This Row],[Date]],"[$-en-US]ddd")</f>
        <v>Fri</v>
      </c>
    </row>
    <row r="1463" spans="1:11" x14ac:dyDescent="0.25">
      <c r="A1463">
        <v>8</v>
      </c>
      <c r="B1463" t="s">
        <v>9</v>
      </c>
      <c r="C1463">
        <v>32.82</v>
      </c>
      <c r="D1463" t="s">
        <v>10</v>
      </c>
      <c r="E1463" t="s">
        <v>11</v>
      </c>
      <c r="F1463" t="s">
        <v>34</v>
      </c>
      <c r="G1463">
        <v>5</v>
      </c>
      <c r="H1463">
        <v>9</v>
      </c>
      <c r="I1463" s="13">
        <v>45548</v>
      </c>
      <c r="J1463" s="13" t="str">
        <f>TEXT(Table1[[#This Row],[Date]],"[$-en-US]mmm yyyy")</f>
        <v>Sep 2024</v>
      </c>
      <c r="K1463" s="13" t="str">
        <f>TEXT(Table1[[#This Row],[Date]],"[$-en-US]ddd")</f>
        <v>Fri</v>
      </c>
    </row>
    <row r="1464" spans="1:11" x14ac:dyDescent="0.25">
      <c r="A1464">
        <v>8</v>
      </c>
      <c r="B1464" t="s">
        <v>9</v>
      </c>
      <c r="C1464">
        <v>32.82</v>
      </c>
      <c r="D1464" t="s">
        <v>10</v>
      </c>
      <c r="E1464" t="s">
        <v>11</v>
      </c>
      <c r="F1464" t="s">
        <v>34</v>
      </c>
      <c r="G1464">
        <v>5</v>
      </c>
      <c r="H1464">
        <v>9</v>
      </c>
      <c r="I1464" s="13">
        <v>45548</v>
      </c>
      <c r="J1464" s="13" t="str">
        <f>TEXT(Table1[[#This Row],[Date]],"[$-en-US]mmm yyyy")</f>
        <v>Sep 2024</v>
      </c>
      <c r="K1464" s="13" t="str">
        <f>TEXT(Table1[[#This Row],[Date]],"[$-en-US]ddd")</f>
        <v>Fri</v>
      </c>
    </row>
    <row r="1465" spans="1:11" x14ac:dyDescent="0.25">
      <c r="A1465">
        <v>9</v>
      </c>
      <c r="B1465" t="s">
        <v>9</v>
      </c>
      <c r="C1465">
        <v>32.82</v>
      </c>
      <c r="D1465" t="s">
        <v>10</v>
      </c>
      <c r="E1465" t="s">
        <v>11</v>
      </c>
      <c r="F1465" t="s">
        <v>34</v>
      </c>
      <c r="G1465">
        <v>5</v>
      </c>
      <c r="H1465">
        <v>9</v>
      </c>
      <c r="I1465" s="13">
        <v>45548</v>
      </c>
      <c r="J1465" s="13" t="str">
        <f>TEXT(Table1[[#This Row],[Date]],"[$-en-US]mmm yyyy")</f>
        <v>Sep 2024</v>
      </c>
      <c r="K1465" s="13" t="str">
        <f>TEXT(Table1[[#This Row],[Date]],"[$-en-US]ddd")</f>
        <v>Fri</v>
      </c>
    </row>
    <row r="1466" spans="1:11" x14ac:dyDescent="0.25">
      <c r="A1466">
        <v>15</v>
      </c>
      <c r="B1466" t="s">
        <v>9</v>
      </c>
      <c r="C1466">
        <v>27.92</v>
      </c>
      <c r="D1466" t="s">
        <v>17</v>
      </c>
      <c r="E1466" t="s">
        <v>15</v>
      </c>
      <c r="F1466" t="s">
        <v>34</v>
      </c>
      <c r="G1466">
        <v>5</v>
      </c>
      <c r="H1466">
        <v>9</v>
      </c>
      <c r="I1466" s="13">
        <v>45548</v>
      </c>
      <c r="J1466" s="13" t="str">
        <f>TEXT(Table1[[#This Row],[Date]],"[$-en-US]mmm yyyy")</f>
        <v>Sep 2024</v>
      </c>
      <c r="K1466" s="13" t="str">
        <f>TEXT(Table1[[#This Row],[Date]],"[$-en-US]ddd")</f>
        <v>Fri</v>
      </c>
    </row>
    <row r="1467" spans="1:11" x14ac:dyDescent="0.25">
      <c r="A1467">
        <v>15</v>
      </c>
      <c r="B1467" t="s">
        <v>9</v>
      </c>
      <c r="C1467">
        <v>27.92</v>
      </c>
      <c r="D1467" t="s">
        <v>17</v>
      </c>
      <c r="E1467" t="s">
        <v>15</v>
      </c>
      <c r="F1467" t="s">
        <v>34</v>
      </c>
      <c r="G1467">
        <v>5</v>
      </c>
      <c r="H1467">
        <v>9</v>
      </c>
      <c r="I1467" s="13">
        <v>45548</v>
      </c>
      <c r="J1467" s="13" t="str">
        <f>TEXT(Table1[[#This Row],[Date]],"[$-en-US]mmm yyyy")</f>
        <v>Sep 2024</v>
      </c>
      <c r="K1467" s="13" t="str">
        <f>TEXT(Table1[[#This Row],[Date]],"[$-en-US]ddd")</f>
        <v>Fri</v>
      </c>
    </row>
    <row r="1468" spans="1:11" x14ac:dyDescent="0.25">
      <c r="A1468">
        <v>16</v>
      </c>
      <c r="B1468" t="s">
        <v>9</v>
      </c>
      <c r="C1468">
        <v>32.82</v>
      </c>
      <c r="D1468" t="s">
        <v>27</v>
      </c>
      <c r="E1468" t="s">
        <v>15</v>
      </c>
      <c r="F1468" t="s">
        <v>34</v>
      </c>
      <c r="G1468">
        <v>6</v>
      </c>
      <c r="H1468">
        <v>9</v>
      </c>
      <c r="I1468" s="13">
        <v>45549</v>
      </c>
      <c r="J1468" s="13" t="str">
        <f>TEXT(Table1[[#This Row],[Date]],"[$-en-US]mmm yyyy")</f>
        <v>Sep 2024</v>
      </c>
      <c r="K1468" s="13" t="str">
        <f>TEXT(Table1[[#This Row],[Date]],"[$-en-US]ddd")</f>
        <v>Sat</v>
      </c>
    </row>
    <row r="1469" spans="1:11" x14ac:dyDescent="0.25">
      <c r="A1469">
        <v>16</v>
      </c>
      <c r="B1469" t="s">
        <v>9</v>
      </c>
      <c r="C1469">
        <v>32.82</v>
      </c>
      <c r="D1469" t="s">
        <v>27</v>
      </c>
      <c r="E1469" t="s">
        <v>15</v>
      </c>
      <c r="F1469" t="s">
        <v>34</v>
      </c>
      <c r="G1469">
        <v>6</v>
      </c>
      <c r="H1469">
        <v>9</v>
      </c>
      <c r="I1469" s="13">
        <v>45549</v>
      </c>
      <c r="J1469" s="13" t="str">
        <f>TEXT(Table1[[#This Row],[Date]],"[$-en-US]mmm yyyy")</f>
        <v>Sep 2024</v>
      </c>
      <c r="K1469" s="13" t="str">
        <f>TEXT(Table1[[#This Row],[Date]],"[$-en-US]ddd")</f>
        <v>Sat</v>
      </c>
    </row>
    <row r="1470" spans="1:11" x14ac:dyDescent="0.25">
      <c r="A1470">
        <v>8</v>
      </c>
      <c r="B1470" t="s">
        <v>9</v>
      </c>
      <c r="C1470">
        <v>18.12</v>
      </c>
      <c r="D1470" t="s">
        <v>24</v>
      </c>
      <c r="E1470" t="s">
        <v>11</v>
      </c>
      <c r="F1470" t="s">
        <v>34</v>
      </c>
      <c r="G1470">
        <v>7</v>
      </c>
      <c r="H1470">
        <v>9</v>
      </c>
      <c r="I1470" s="13">
        <v>45550</v>
      </c>
      <c r="J1470" s="13" t="str">
        <f>TEXT(Table1[[#This Row],[Date]],"[$-en-US]mmm yyyy")</f>
        <v>Sep 2024</v>
      </c>
      <c r="K1470" s="13" t="str">
        <f>TEXT(Table1[[#This Row],[Date]],"[$-en-US]ddd")</f>
        <v>Sun</v>
      </c>
    </row>
    <row r="1471" spans="1:11" x14ac:dyDescent="0.25">
      <c r="A1471">
        <v>9</v>
      </c>
      <c r="B1471" t="s">
        <v>9</v>
      </c>
      <c r="C1471">
        <v>27.92</v>
      </c>
      <c r="D1471" t="s">
        <v>17</v>
      </c>
      <c r="E1471" t="s">
        <v>11</v>
      </c>
      <c r="F1471" t="s">
        <v>34</v>
      </c>
      <c r="G1471">
        <v>7</v>
      </c>
      <c r="H1471">
        <v>9</v>
      </c>
      <c r="I1471" s="13">
        <v>45550</v>
      </c>
      <c r="J1471" s="13" t="str">
        <f>TEXT(Table1[[#This Row],[Date]],"[$-en-US]mmm yyyy")</f>
        <v>Sep 2024</v>
      </c>
      <c r="K1471" s="13" t="str">
        <f>TEXT(Table1[[#This Row],[Date]],"[$-en-US]ddd")</f>
        <v>Sun</v>
      </c>
    </row>
    <row r="1472" spans="1:11" x14ac:dyDescent="0.25">
      <c r="A1472">
        <v>13</v>
      </c>
      <c r="B1472" t="s">
        <v>9</v>
      </c>
      <c r="C1472">
        <v>23.02</v>
      </c>
      <c r="D1472" t="s">
        <v>16</v>
      </c>
      <c r="E1472" t="s">
        <v>15</v>
      </c>
      <c r="F1472" t="s">
        <v>34</v>
      </c>
      <c r="G1472">
        <v>7</v>
      </c>
      <c r="H1472">
        <v>9</v>
      </c>
      <c r="I1472" s="13">
        <v>45550</v>
      </c>
      <c r="J1472" s="13" t="str">
        <f>TEXT(Table1[[#This Row],[Date]],"[$-en-US]mmm yyyy")</f>
        <v>Sep 2024</v>
      </c>
      <c r="K1472" s="13" t="str">
        <f>TEXT(Table1[[#This Row],[Date]],"[$-en-US]ddd")</f>
        <v>Sun</v>
      </c>
    </row>
    <row r="1473" spans="1:11" x14ac:dyDescent="0.25">
      <c r="A1473">
        <v>14</v>
      </c>
      <c r="B1473" t="s">
        <v>9</v>
      </c>
      <c r="C1473">
        <v>23.02</v>
      </c>
      <c r="D1473" t="s">
        <v>22</v>
      </c>
      <c r="E1473" t="s">
        <v>15</v>
      </c>
      <c r="F1473" t="s">
        <v>34</v>
      </c>
      <c r="G1473">
        <v>7</v>
      </c>
      <c r="H1473">
        <v>9</v>
      </c>
      <c r="I1473" s="13">
        <v>45550</v>
      </c>
      <c r="J1473" s="13" t="str">
        <f>TEXT(Table1[[#This Row],[Date]],"[$-en-US]mmm yyyy")</f>
        <v>Sep 2024</v>
      </c>
      <c r="K1473" s="13" t="str">
        <f>TEXT(Table1[[#This Row],[Date]],"[$-en-US]ddd")</f>
        <v>Sun</v>
      </c>
    </row>
    <row r="1474" spans="1:11" x14ac:dyDescent="0.25">
      <c r="A1474">
        <v>14</v>
      </c>
      <c r="B1474" t="s">
        <v>9</v>
      </c>
      <c r="C1474">
        <v>23.02</v>
      </c>
      <c r="D1474" t="s">
        <v>22</v>
      </c>
      <c r="E1474" t="s">
        <v>15</v>
      </c>
      <c r="F1474" t="s">
        <v>34</v>
      </c>
      <c r="G1474">
        <v>7</v>
      </c>
      <c r="H1474">
        <v>9</v>
      </c>
      <c r="I1474" s="13">
        <v>45550</v>
      </c>
      <c r="J1474" s="13" t="str">
        <f>TEXT(Table1[[#This Row],[Date]],"[$-en-US]mmm yyyy")</f>
        <v>Sep 2024</v>
      </c>
      <c r="K1474" s="13" t="str">
        <f>TEXT(Table1[[#This Row],[Date]],"[$-en-US]ddd")</f>
        <v>Sun</v>
      </c>
    </row>
    <row r="1475" spans="1:11" x14ac:dyDescent="0.25">
      <c r="A1475">
        <v>14</v>
      </c>
      <c r="B1475" t="s">
        <v>9</v>
      </c>
      <c r="C1475">
        <v>32.82</v>
      </c>
      <c r="D1475" t="s">
        <v>27</v>
      </c>
      <c r="E1475" t="s">
        <v>15</v>
      </c>
      <c r="F1475" t="s">
        <v>34</v>
      </c>
      <c r="G1475">
        <v>7</v>
      </c>
      <c r="H1475">
        <v>9</v>
      </c>
      <c r="I1475" s="13">
        <v>45550</v>
      </c>
      <c r="J1475" s="13" t="str">
        <f>TEXT(Table1[[#This Row],[Date]],"[$-en-US]mmm yyyy")</f>
        <v>Sep 2024</v>
      </c>
      <c r="K1475" s="13" t="str">
        <f>TEXT(Table1[[#This Row],[Date]],"[$-en-US]ddd")</f>
        <v>Sun</v>
      </c>
    </row>
    <row r="1476" spans="1:11" x14ac:dyDescent="0.25">
      <c r="A1476">
        <v>13</v>
      </c>
      <c r="B1476" t="s">
        <v>9</v>
      </c>
      <c r="C1476">
        <v>32.82</v>
      </c>
      <c r="D1476" t="s">
        <v>10</v>
      </c>
      <c r="E1476" t="s">
        <v>15</v>
      </c>
      <c r="F1476" t="s">
        <v>34</v>
      </c>
      <c r="G1476">
        <v>1</v>
      </c>
      <c r="H1476">
        <v>9</v>
      </c>
      <c r="I1476" s="13">
        <v>45551</v>
      </c>
      <c r="J1476" s="13" t="str">
        <f>TEXT(Table1[[#This Row],[Date]],"[$-en-US]mmm yyyy")</f>
        <v>Sep 2024</v>
      </c>
      <c r="K1476" s="13" t="str">
        <f>TEXT(Table1[[#This Row],[Date]],"[$-en-US]ddd")</f>
        <v>Mon</v>
      </c>
    </row>
    <row r="1477" spans="1:11" x14ac:dyDescent="0.25">
      <c r="A1477">
        <v>13</v>
      </c>
      <c r="B1477" t="s">
        <v>9</v>
      </c>
      <c r="C1477">
        <v>27.92</v>
      </c>
      <c r="D1477" t="s">
        <v>17</v>
      </c>
      <c r="E1477" t="s">
        <v>15</v>
      </c>
      <c r="F1477" t="s">
        <v>34</v>
      </c>
      <c r="G1477">
        <v>1</v>
      </c>
      <c r="H1477">
        <v>9</v>
      </c>
      <c r="I1477" s="13">
        <v>45551</v>
      </c>
      <c r="J1477" s="13" t="str">
        <f>TEXT(Table1[[#This Row],[Date]],"[$-en-US]mmm yyyy")</f>
        <v>Sep 2024</v>
      </c>
      <c r="K1477" s="13" t="str">
        <f>TEXT(Table1[[#This Row],[Date]],"[$-en-US]ddd")</f>
        <v>Mon</v>
      </c>
    </row>
    <row r="1478" spans="1:11" x14ac:dyDescent="0.25">
      <c r="A1478">
        <v>15</v>
      </c>
      <c r="B1478" t="s">
        <v>9</v>
      </c>
      <c r="C1478">
        <v>32.82</v>
      </c>
      <c r="D1478" t="s">
        <v>10</v>
      </c>
      <c r="E1478" t="s">
        <v>15</v>
      </c>
      <c r="F1478" t="s">
        <v>34</v>
      </c>
      <c r="G1478">
        <v>1</v>
      </c>
      <c r="H1478">
        <v>9</v>
      </c>
      <c r="I1478" s="13">
        <v>45551</v>
      </c>
      <c r="J1478" s="13" t="str">
        <f>TEXT(Table1[[#This Row],[Date]],"[$-en-US]mmm yyyy")</f>
        <v>Sep 2024</v>
      </c>
      <c r="K1478" s="13" t="str">
        <f>TEXT(Table1[[#This Row],[Date]],"[$-en-US]ddd")</f>
        <v>Mon</v>
      </c>
    </row>
    <row r="1479" spans="1:11" x14ac:dyDescent="0.25">
      <c r="A1479">
        <v>17</v>
      </c>
      <c r="B1479" t="s">
        <v>9</v>
      </c>
      <c r="C1479">
        <v>27.92</v>
      </c>
      <c r="D1479" t="s">
        <v>17</v>
      </c>
      <c r="E1479" t="s">
        <v>18</v>
      </c>
      <c r="F1479" t="s">
        <v>34</v>
      </c>
      <c r="G1479">
        <v>1</v>
      </c>
      <c r="H1479">
        <v>9</v>
      </c>
      <c r="I1479" s="13">
        <v>45551</v>
      </c>
      <c r="J1479" s="13" t="str">
        <f>TEXT(Table1[[#This Row],[Date]],"[$-en-US]mmm yyyy")</f>
        <v>Sep 2024</v>
      </c>
      <c r="K1479" s="13" t="str">
        <f>TEXT(Table1[[#This Row],[Date]],"[$-en-US]ddd")</f>
        <v>Mon</v>
      </c>
    </row>
    <row r="1480" spans="1:11" x14ac:dyDescent="0.25">
      <c r="A1480">
        <v>17</v>
      </c>
      <c r="B1480" t="s">
        <v>9</v>
      </c>
      <c r="C1480">
        <v>32.82</v>
      </c>
      <c r="D1480" t="s">
        <v>10</v>
      </c>
      <c r="E1480" t="s">
        <v>18</v>
      </c>
      <c r="F1480" t="s">
        <v>34</v>
      </c>
      <c r="G1480">
        <v>1</v>
      </c>
      <c r="H1480">
        <v>9</v>
      </c>
      <c r="I1480" s="13">
        <v>45551</v>
      </c>
      <c r="J1480" s="13" t="str">
        <f>TEXT(Table1[[#This Row],[Date]],"[$-en-US]mmm yyyy")</f>
        <v>Sep 2024</v>
      </c>
      <c r="K1480" s="13" t="str">
        <f>TEXT(Table1[[#This Row],[Date]],"[$-en-US]ddd")</f>
        <v>Mon</v>
      </c>
    </row>
    <row r="1481" spans="1:11" x14ac:dyDescent="0.25">
      <c r="A1481">
        <v>18</v>
      </c>
      <c r="B1481" t="s">
        <v>9</v>
      </c>
      <c r="C1481">
        <v>32.82</v>
      </c>
      <c r="D1481" t="s">
        <v>10</v>
      </c>
      <c r="E1481" t="s">
        <v>18</v>
      </c>
      <c r="F1481" t="s">
        <v>34</v>
      </c>
      <c r="G1481">
        <v>1</v>
      </c>
      <c r="H1481">
        <v>9</v>
      </c>
      <c r="I1481" s="13">
        <v>45551</v>
      </c>
      <c r="J1481" s="13" t="str">
        <f>TEXT(Table1[[#This Row],[Date]],"[$-en-US]mmm yyyy")</f>
        <v>Sep 2024</v>
      </c>
      <c r="K1481" s="13" t="str">
        <f>TEXT(Table1[[#This Row],[Date]],"[$-en-US]ddd")</f>
        <v>Mon</v>
      </c>
    </row>
    <row r="1482" spans="1:11" x14ac:dyDescent="0.25">
      <c r="A1482">
        <v>18</v>
      </c>
      <c r="B1482" t="s">
        <v>9</v>
      </c>
      <c r="C1482">
        <v>32.82</v>
      </c>
      <c r="D1482" t="s">
        <v>10</v>
      </c>
      <c r="E1482" t="s">
        <v>18</v>
      </c>
      <c r="F1482" t="s">
        <v>34</v>
      </c>
      <c r="G1482">
        <v>1</v>
      </c>
      <c r="H1482">
        <v>9</v>
      </c>
      <c r="I1482" s="13">
        <v>45551</v>
      </c>
      <c r="J1482" s="13" t="str">
        <f>TEXT(Table1[[#This Row],[Date]],"[$-en-US]mmm yyyy")</f>
        <v>Sep 2024</v>
      </c>
      <c r="K1482" s="13" t="str">
        <f>TEXT(Table1[[#This Row],[Date]],"[$-en-US]ddd")</f>
        <v>Mon</v>
      </c>
    </row>
    <row r="1483" spans="1:11" x14ac:dyDescent="0.25">
      <c r="A1483">
        <v>21</v>
      </c>
      <c r="B1483" t="s">
        <v>9</v>
      </c>
      <c r="C1483">
        <v>27.92</v>
      </c>
      <c r="D1483" t="s">
        <v>17</v>
      </c>
      <c r="E1483" t="s">
        <v>18</v>
      </c>
      <c r="F1483" t="s">
        <v>34</v>
      </c>
      <c r="G1483">
        <v>1</v>
      </c>
      <c r="H1483">
        <v>9</v>
      </c>
      <c r="I1483" s="13">
        <v>45551</v>
      </c>
      <c r="J1483" s="13" t="str">
        <f>TEXT(Table1[[#This Row],[Date]],"[$-en-US]mmm yyyy")</f>
        <v>Sep 2024</v>
      </c>
      <c r="K1483" s="13" t="str">
        <f>TEXT(Table1[[#This Row],[Date]],"[$-en-US]ddd")</f>
        <v>Mon</v>
      </c>
    </row>
    <row r="1484" spans="1:11" x14ac:dyDescent="0.25">
      <c r="A1484">
        <v>21</v>
      </c>
      <c r="B1484" t="s">
        <v>9</v>
      </c>
      <c r="C1484">
        <v>32.82</v>
      </c>
      <c r="D1484" t="s">
        <v>10</v>
      </c>
      <c r="E1484" t="s">
        <v>18</v>
      </c>
      <c r="F1484" t="s">
        <v>34</v>
      </c>
      <c r="G1484">
        <v>1</v>
      </c>
      <c r="H1484">
        <v>9</v>
      </c>
      <c r="I1484" s="13">
        <v>45551</v>
      </c>
      <c r="J1484" s="13" t="str">
        <f>TEXT(Table1[[#This Row],[Date]],"[$-en-US]mmm yyyy")</f>
        <v>Sep 2024</v>
      </c>
      <c r="K1484" s="13" t="str">
        <f>TEXT(Table1[[#This Row],[Date]],"[$-en-US]ddd")</f>
        <v>Mon</v>
      </c>
    </row>
    <row r="1485" spans="1:11" x14ac:dyDescent="0.25">
      <c r="A1485">
        <v>21</v>
      </c>
      <c r="B1485" t="s">
        <v>9</v>
      </c>
      <c r="C1485">
        <v>27.92</v>
      </c>
      <c r="D1485" t="s">
        <v>17</v>
      </c>
      <c r="E1485" t="s">
        <v>18</v>
      </c>
      <c r="F1485" t="s">
        <v>34</v>
      </c>
      <c r="G1485">
        <v>1</v>
      </c>
      <c r="H1485">
        <v>9</v>
      </c>
      <c r="I1485" s="13">
        <v>45551</v>
      </c>
      <c r="J1485" s="13" t="str">
        <f>TEXT(Table1[[#This Row],[Date]],"[$-en-US]mmm yyyy")</f>
        <v>Sep 2024</v>
      </c>
      <c r="K1485" s="13" t="str">
        <f>TEXT(Table1[[#This Row],[Date]],"[$-en-US]ddd")</f>
        <v>Mon</v>
      </c>
    </row>
    <row r="1486" spans="1:11" x14ac:dyDescent="0.25">
      <c r="A1486">
        <v>21</v>
      </c>
      <c r="B1486" t="s">
        <v>9</v>
      </c>
      <c r="C1486">
        <v>27.92</v>
      </c>
      <c r="D1486" t="s">
        <v>17</v>
      </c>
      <c r="E1486" t="s">
        <v>18</v>
      </c>
      <c r="F1486" t="s">
        <v>34</v>
      </c>
      <c r="G1486">
        <v>1</v>
      </c>
      <c r="H1486">
        <v>9</v>
      </c>
      <c r="I1486" s="13">
        <v>45551</v>
      </c>
      <c r="J1486" s="13" t="str">
        <f>TEXT(Table1[[#This Row],[Date]],"[$-en-US]mmm yyyy")</f>
        <v>Sep 2024</v>
      </c>
      <c r="K1486" s="13" t="str">
        <f>TEXT(Table1[[#This Row],[Date]],"[$-en-US]ddd")</f>
        <v>Mon</v>
      </c>
    </row>
    <row r="1487" spans="1:11" x14ac:dyDescent="0.25">
      <c r="A1487">
        <v>7</v>
      </c>
      <c r="B1487" t="s">
        <v>9</v>
      </c>
      <c r="C1487">
        <v>23.02</v>
      </c>
      <c r="D1487" t="s">
        <v>22</v>
      </c>
      <c r="E1487" t="s">
        <v>11</v>
      </c>
      <c r="F1487" t="s">
        <v>34</v>
      </c>
      <c r="G1487">
        <v>2</v>
      </c>
      <c r="H1487">
        <v>9</v>
      </c>
      <c r="I1487" s="13">
        <v>45552</v>
      </c>
      <c r="J1487" s="13" t="str">
        <f>TEXT(Table1[[#This Row],[Date]],"[$-en-US]mmm yyyy")</f>
        <v>Sep 2024</v>
      </c>
      <c r="K1487" s="13" t="str">
        <f>TEXT(Table1[[#This Row],[Date]],"[$-en-US]ddd")</f>
        <v>Tue</v>
      </c>
    </row>
    <row r="1488" spans="1:11" x14ac:dyDescent="0.25">
      <c r="A1488">
        <v>8</v>
      </c>
      <c r="B1488" t="s">
        <v>9</v>
      </c>
      <c r="C1488">
        <v>32.82</v>
      </c>
      <c r="D1488" t="s">
        <v>10</v>
      </c>
      <c r="E1488" t="s">
        <v>11</v>
      </c>
      <c r="F1488" t="s">
        <v>34</v>
      </c>
      <c r="G1488">
        <v>2</v>
      </c>
      <c r="H1488">
        <v>9</v>
      </c>
      <c r="I1488" s="13">
        <v>45552</v>
      </c>
      <c r="J1488" s="13" t="str">
        <f>TEXT(Table1[[#This Row],[Date]],"[$-en-US]mmm yyyy")</f>
        <v>Sep 2024</v>
      </c>
      <c r="K1488" s="13" t="str">
        <f>TEXT(Table1[[#This Row],[Date]],"[$-en-US]ddd")</f>
        <v>Tue</v>
      </c>
    </row>
    <row r="1489" spans="1:11" x14ac:dyDescent="0.25">
      <c r="A1489">
        <v>8</v>
      </c>
      <c r="B1489" t="s">
        <v>9</v>
      </c>
      <c r="C1489">
        <v>27.92</v>
      </c>
      <c r="D1489" t="s">
        <v>17</v>
      </c>
      <c r="E1489" t="s">
        <v>11</v>
      </c>
      <c r="F1489" t="s">
        <v>34</v>
      </c>
      <c r="G1489">
        <v>2</v>
      </c>
      <c r="H1489">
        <v>9</v>
      </c>
      <c r="I1489" s="13">
        <v>45552</v>
      </c>
      <c r="J1489" s="13" t="str">
        <f>TEXT(Table1[[#This Row],[Date]],"[$-en-US]mmm yyyy")</f>
        <v>Sep 2024</v>
      </c>
      <c r="K1489" s="13" t="str">
        <f>TEXT(Table1[[#This Row],[Date]],"[$-en-US]ddd")</f>
        <v>Tue</v>
      </c>
    </row>
    <row r="1490" spans="1:11" x14ac:dyDescent="0.25">
      <c r="A1490">
        <v>8</v>
      </c>
      <c r="B1490" t="s">
        <v>9</v>
      </c>
      <c r="C1490">
        <v>23.02</v>
      </c>
      <c r="D1490" t="s">
        <v>22</v>
      </c>
      <c r="E1490" t="s">
        <v>11</v>
      </c>
      <c r="F1490" t="s">
        <v>34</v>
      </c>
      <c r="G1490">
        <v>2</v>
      </c>
      <c r="H1490">
        <v>9</v>
      </c>
      <c r="I1490" s="13">
        <v>45552</v>
      </c>
      <c r="J1490" s="13" t="str">
        <f>TEXT(Table1[[#This Row],[Date]],"[$-en-US]mmm yyyy")</f>
        <v>Sep 2024</v>
      </c>
      <c r="K1490" s="13" t="str">
        <f>TEXT(Table1[[#This Row],[Date]],"[$-en-US]ddd")</f>
        <v>Tue</v>
      </c>
    </row>
    <row r="1491" spans="1:11" x14ac:dyDescent="0.25">
      <c r="A1491">
        <v>9</v>
      </c>
      <c r="B1491" t="s">
        <v>9</v>
      </c>
      <c r="C1491">
        <v>32.82</v>
      </c>
      <c r="D1491" t="s">
        <v>27</v>
      </c>
      <c r="E1491" t="s">
        <v>11</v>
      </c>
      <c r="F1491" t="s">
        <v>34</v>
      </c>
      <c r="G1491">
        <v>2</v>
      </c>
      <c r="H1491">
        <v>9</v>
      </c>
      <c r="I1491" s="13">
        <v>45552</v>
      </c>
      <c r="J1491" s="13" t="str">
        <f>TEXT(Table1[[#This Row],[Date]],"[$-en-US]mmm yyyy")</f>
        <v>Sep 2024</v>
      </c>
      <c r="K1491" s="13" t="str">
        <f>TEXT(Table1[[#This Row],[Date]],"[$-en-US]ddd")</f>
        <v>Tue</v>
      </c>
    </row>
    <row r="1492" spans="1:11" x14ac:dyDescent="0.25">
      <c r="A1492">
        <v>9</v>
      </c>
      <c r="B1492" t="s">
        <v>9</v>
      </c>
      <c r="C1492">
        <v>27.92</v>
      </c>
      <c r="D1492" t="s">
        <v>17</v>
      </c>
      <c r="E1492" t="s">
        <v>11</v>
      </c>
      <c r="F1492" t="s">
        <v>34</v>
      </c>
      <c r="G1492">
        <v>2</v>
      </c>
      <c r="H1492">
        <v>9</v>
      </c>
      <c r="I1492" s="13">
        <v>45552</v>
      </c>
      <c r="J1492" s="13" t="str">
        <f>TEXT(Table1[[#This Row],[Date]],"[$-en-US]mmm yyyy")</f>
        <v>Sep 2024</v>
      </c>
      <c r="K1492" s="13" t="str">
        <f>TEXT(Table1[[#This Row],[Date]],"[$-en-US]ddd")</f>
        <v>Tue</v>
      </c>
    </row>
    <row r="1493" spans="1:11" x14ac:dyDescent="0.25">
      <c r="A1493">
        <v>9</v>
      </c>
      <c r="B1493" t="s">
        <v>9</v>
      </c>
      <c r="C1493">
        <v>27.92</v>
      </c>
      <c r="D1493" t="s">
        <v>17</v>
      </c>
      <c r="E1493" t="s">
        <v>11</v>
      </c>
      <c r="F1493" t="s">
        <v>34</v>
      </c>
      <c r="G1493">
        <v>2</v>
      </c>
      <c r="H1493">
        <v>9</v>
      </c>
      <c r="I1493" s="13">
        <v>45552</v>
      </c>
      <c r="J1493" s="13" t="str">
        <f>TEXT(Table1[[#This Row],[Date]],"[$-en-US]mmm yyyy")</f>
        <v>Sep 2024</v>
      </c>
      <c r="K1493" s="13" t="str">
        <f>TEXT(Table1[[#This Row],[Date]],"[$-en-US]ddd")</f>
        <v>Tue</v>
      </c>
    </row>
    <row r="1494" spans="1:11" x14ac:dyDescent="0.25">
      <c r="A1494">
        <v>12</v>
      </c>
      <c r="B1494" t="s">
        <v>9</v>
      </c>
      <c r="C1494">
        <v>18.12</v>
      </c>
      <c r="D1494" t="s">
        <v>24</v>
      </c>
      <c r="E1494" t="s">
        <v>15</v>
      </c>
      <c r="F1494" t="s">
        <v>34</v>
      </c>
      <c r="G1494">
        <v>2</v>
      </c>
      <c r="H1494">
        <v>9</v>
      </c>
      <c r="I1494" s="13">
        <v>45552</v>
      </c>
      <c r="J1494" s="13" t="str">
        <f>TEXT(Table1[[#This Row],[Date]],"[$-en-US]mmm yyyy")</f>
        <v>Sep 2024</v>
      </c>
      <c r="K1494" s="13" t="str">
        <f>TEXT(Table1[[#This Row],[Date]],"[$-en-US]ddd")</f>
        <v>Tue</v>
      </c>
    </row>
    <row r="1495" spans="1:11" x14ac:dyDescent="0.25">
      <c r="A1495">
        <v>12</v>
      </c>
      <c r="B1495" t="s">
        <v>9</v>
      </c>
      <c r="C1495">
        <v>27.92</v>
      </c>
      <c r="D1495" t="s">
        <v>17</v>
      </c>
      <c r="E1495" t="s">
        <v>15</v>
      </c>
      <c r="F1495" t="s">
        <v>34</v>
      </c>
      <c r="G1495">
        <v>2</v>
      </c>
      <c r="H1495">
        <v>9</v>
      </c>
      <c r="I1495" s="13">
        <v>45552</v>
      </c>
      <c r="J1495" s="13" t="str">
        <f>TEXT(Table1[[#This Row],[Date]],"[$-en-US]mmm yyyy")</f>
        <v>Sep 2024</v>
      </c>
      <c r="K1495" s="13" t="str">
        <f>TEXT(Table1[[#This Row],[Date]],"[$-en-US]ddd")</f>
        <v>Tue</v>
      </c>
    </row>
    <row r="1496" spans="1:11" x14ac:dyDescent="0.25">
      <c r="A1496">
        <v>12</v>
      </c>
      <c r="B1496" t="s">
        <v>9</v>
      </c>
      <c r="C1496">
        <v>32.82</v>
      </c>
      <c r="D1496" t="s">
        <v>10</v>
      </c>
      <c r="E1496" t="s">
        <v>15</v>
      </c>
      <c r="F1496" t="s">
        <v>34</v>
      </c>
      <c r="G1496">
        <v>2</v>
      </c>
      <c r="H1496">
        <v>9</v>
      </c>
      <c r="I1496" s="13">
        <v>45552</v>
      </c>
      <c r="J1496" s="13" t="str">
        <f>TEXT(Table1[[#This Row],[Date]],"[$-en-US]mmm yyyy")</f>
        <v>Sep 2024</v>
      </c>
      <c r="K1496" s="13" t="str">
        <f>TEXT(Table1[[#This Row],[Date]],"[$-en-US]ddd")</f>
        <v>Tue</v>
      </c>
    </row>
    <row r="1497" spans="1:11" x14ac:dyDescent="0.25">
      <c r="A1497">
        <v>13</v>
      </c>
      <c r="B1497" t="s">
        <v>9</v>
      </c>
      <c r="C1497">
        <v>27.92</v>
      </c>
      <c r="D1497" t="s">
        <v>17</v>
      </c>
      <c r="E1497" t="s">
        <v>15</v>
      </c>
      <c r="F1497" t="s">
        <v>34</v>
      </c>
      <c r="G1497">
        <v>2</v>
      </c>
      <c r="H1497">
        <v>9</v>
      </c>
      <c r="I1497" s="13">
        <v>45552</v>
      </c>
      <c r="J1497" s="13" t="str">
        <f>TEXT(Table1[[#This Row],[Date]],"[$-en-US]mmm yyyy")</f>
        <v>Sep 2024</v>
      </c>
      <c r="K1497" s="13" t="str">
        <f>TEXT(Table1[[#This Row],[Date]],"[$-en-US]ddd")</f>
        <v>Tue</v>
      </c>
    </row>
    <row r="1498" spans="1:11" x14ac:dyDescent="0.25">
      <c r="A1498">
        <v>13</v>
      </c>
      <c r="B1498" t="s">
        <v>9</v>
      </c>
      <c r="C1498">
        <v>23.02</v>
      </c>
      <c r="D1498" t="s">
        <v>22</v>
      </c>
      <c r="E1498" t="s">
        <v>15</v>
      </c>
      <c r="F1498" t="s">
        <v>34</v>
      </c>
      <c r="G1498">
        <v>2</v>
      </c>
      <c r="H1498">
        <v>9</v>
      </c>
      <c r="I1498" s="13">
        <v>45552</v>
      </c>
      <c r="J1498" s="13" t="str">
        <f>TEXT(Table1[[#This Row],[Date]],"[$-en-US]mmm yyyy")</f>
        <v>Sep 2024</v>
      </c>
      <c r="K1498" s="13" t="str">
        <f>TEXT(Table1[[#This Row],[Date]],"[$-en-US]ddd")</f>
        <v>Tue</v>
      </c>
    </row>
    <row r="1499" spans="1:11" x14ac:dyDescent="0.25">
      <c r="A1499">
        <v>16</v>
      </c>
      <c r="B1499" t="s">
        <v>9</v>
      </c>
      <c r="C1499">
        <v>32.82</v>
      </c>
      <c r="D1499" t="s">
        <v>27</v>
      </c>
      <c r="E1499" t="s">
        <v>15</v>
      </c>
      <c r="F1499" t="s">
        <v>34</v>
      </c>
      <c r="G1499">
        <v>2</v>
      </c>
      <c r="H1499">
        <v>9</v>
      </c>
      <c r="I1499" s="13">
        <v>45552</v>
      </c>
      <c r="J1499" s="13" t="str">
        <f>TEXT(Table1[[#This Row],[Date]],"[$-en-US]mmm yyyy")</f>
        <v>Sep 2024</v>
      </c>
      <c r="K1499" s="13" t="str">
        <f>TEXT(Table1[[#This Row],[Date]],"[$-en-US]ddd")</f>
        <v>Tue</v>
      </c>
    </row>
    <row r="1500" spans="1:11" x14ac:dyDescent="0.25">
      <c r="A1500">
        <v>16</v>
      </c>
      <c r="B1500" t="s">
        <v>9</v>
      </c>
      <c r="C1500">
        <v>32.82</v>
      </c>
      <c r="D1500" t="s">
        <v>10</v>
      </c>
      <c r="E1500" t="s">
        <v>15</v>
      </c>
      <c r="F1500" t="s">
        <v>34</v>
      </c>
      <c r="G1500">
        <v>2</v>
      </c>
      <c r="H1500">
        <v>9</v>
      </c>
      <c r="I1500" s="13">
        <v>45552</v>
      </c>
      <c r="J1500" s="13" t="str">
        <f>TEXT(Table1[[#This Row],[Date]],"[$-en-US]mmm yyyy")</f>
        <v>Sep 2024</v>
      </c>
      <c r="K1500" s="13" t="str">
        <f>TEXT(Table1[[#This Row],[Date]],"[$-en-US]ddd")</f>
        <v>Tue</v>
      </c>
    </row>
    <row r="1501" spans="1:11" x14ac:dyDescent="0.25">
      <c r="A1501">
        <v>18</v>
      </c>
      <c r="B1501" t="s">
        <v>9</v>
      </c>
      <c r="C1501">
        <v>32.82</v>
      </c>
      <c r="D1501" t="s">
        <v>14</v>
      </c>
      <c r="E1501" t="s">
        <v>18</v>
      </c>
      <c r="F1501" t="s">
        <v>34</v>
      </c>
      <c r="G1501">
        <v>2</v>
      </c>
      <c r="H1501">
        <v>9</v>
      </c>
      <c r="I1501" s="13">
        <v>45552</v>
      </c>
      <c r="J1501" s="13" t="str">
        <f>TEXT(Table1[[#This Row],[Date]],"[$-en-US]mmm yyyy")</f>
        <v>Sep 2024</v>
      </c>
      <c r="K1501" s="13" t="str">
        <f>TEXT(Table1[[#This Row],[Date]],"[$-en-US]ddd")</f>
        <v>Tue</v>
      </c>
    </row>
    <row r="1502" spans="1:11" x14ac:dyDescent="0.25">
      <c r="A1502">
        <v>19</v>
      </c>
      <c r="B1502" t="s">
        <v>9</v>
      </c>
      <c r="C1502">
        <v>27.92</v>
      </c>
      <c r="D1502" t="s">
        <v>17</v>
      </c>
      <c r="E1502" t="s">
        <v>18</v>
      </c>
      <c r="F1502" t="s">
        <v>34</v>
      </c>
      <c r="G1502">
        <v>2</v>
      </c>
      <c r="H1502">
        <v>9</v>
      </c>
      <c r="I1502" s="13">
        <v>45552</v>
      </c>
      <c r="J1502" s="13" t="str">
        <f>TEXT(Table1[[#This Row],[Date]],"[$-en-US]mmm yyyy")</f>
        <v>Sep 2024</v>
      </c>
      <c r="K1502" s="13" t="str">
        <f>TEXT(Table1[[#This Row],[Date]],"[$-en-US]ddd")</f>
        <v>Tue</v>
      </c>
    </row>
    <row r="1503" spans="1:11" x14ac:dyDescent="0.25">
      <c r="A1503">
        <v>19</v>
      </c>
      <c r="B1503" t="s">
        <v>9</v>
      </c>
      <c r="C1503">
        <v>27.92</v>
      </c>
      <c r="D1503" t="s">
        <v>17</v>
      </c>
      <c r="E1503" t="s">
        <v>18</v>
      </c>
      <c r="F1503" t="s">
        <v>34</v>
      </c>
      <c r="G1503">
        <v>2</v>
      </c>
      <c r="H1503">
        <v>9</v>
      </c>
      <c r="I1503" s="13">
        <v>45552</v>
      </c>
      <c r="J1503" s="13" t="str">
        <f>TEXT(Table1[[#This Row],[Date]],"[$-en-US]mmm yyyy")</f>
        <v>Sep 2024</v>
      </c>
      <c r="K1503" s="13" t="str">
        <f>TEXT(Table1[[#This Row],[Date]],"[$-en-US]ddd")</f>
        <v>Tue</v>
      </c>
    </row>
    <row r="1504" spans="1:11" x14ac:dyDescent="0.25">
      <c r="A1504">
        <v>19</v>
      </c>
      <c r="B1504" t="s">
        <v>9</v>
      </c>
      <c r="C1504">
        <v>32.82</v>
      </c>
      <c r="D1504" t="s">
        <v>10</v>
      </c>
      <c r="E1504" t="s">
        <v>18</v>
      </c>
      <c r="F1504" t="s">
        <v>34</v>
      </c>
      <c r="G1504">
        <v>2</v>
      </c>
      <c r="H1504">
        <v>9</v>
      </c>
      <c r="I1504" s="13">
        <v>45552</v>
      </c>
      <c r="J1504" s="13" t="str">
        <f>TEXT(Table1[[#This Row],[Date]],"[$-en-US]mmm yyyy")</f>
        <v>Sep 2024</v>
      </c>
      <c r="K1504" s="13" t="str">
        <f>TEXT(Table1[[#This Row],[Date]],"[$-en-US]ddd")</f>
        <v>Tue</v>
      </c>
    </row>
    <row r="1505" spans="1:11" x14ac:dyDescent="0.25">
      <c r="A1505">
        <v>19</v>
      </c>
      <c r="B1505" t="s">
        <v>9</v>
      </c>
      <c r="C1505">
        <v>27.92</v>
      </c>
      <c r="D1505" t="s">
        <v>17</v>
      </c>
      <c r="E1505" t="s">
        <v>18</v>
      </c>
      <c r="F1505" t="s">
        <v>34</v>
      </c>
      <c r="G1505">
        <v>2</v>
      </c>
      <c r="H1505">
        <v>9</v>
      </c>
      <c r="I1505" s="13">
        <v>45552</v>
      </c>
      <c r="J1505" s="13" t="str">
        <f>TEXT(Table1[[#This Row],[Date]],"[$-en-US]mmm yyyy")</f>
        <v>Sep 2024</v>
      </c>
      <c r="K1505" s="13" t="str">
        <f>TEXT(Table1[[#This Row],[Date]],"[$-en-US]ddd")</f>
        <v>Tue</v>
      </c>
    </row>
    <row r="1506" spans="1:11" x14ac:dyDescent="0.25">
      <c r="A1506">
        <v>19</v>
      </c>
      <c r="B1506" t="s">
        <v>9</v>
      </c>
      <c r="C1506">
        <v>27.92</v>
      </c>
      <c r="D1506" t="s">
        <v>17</v>
      </c>
      <c r="E1506" t="s">
        <v>18</v>
      </c>
      <c r="F1506" t="s">
        <v>34</v>
      </c>
      <c r="G1506">
        <v>2</v>
      </c>
      <c r="H1506">
        <v>9</v>
      </c>
      <c r="I1506" s="13">
        <v>45552</v>
      </c>
      <c r="J1506" s="13" t="str">
        <f>TEXT(Table1[[#This Row],[Date]],"[$-en-US]mmm yyyy")</f>
        <v>Sep 2024</v>
      </c>
      <c r="K1506" s="13" t="str">
        <f>TEXT(Table1[[#This Row],[Date]],"[$-en-US]ddd")</f>
        <v>Tue</v>
      </c>
    </row>
    <row r="1507" spans="1:11" x14ac:dyDescent="0.25">
      <c r="A1507">
        <v>19</v>
      </c>
      <c r="B1507" t="s">
        <v>9</v>
      </c>
      <c r="C1507">
        <v>27.92</v>
      </c>
      <c r="D1507" t="s">
        <v>17</v>
      </c>
      <c r="E1507" t="s">
        <v>18</v>
      </c>
      <c r="F1507" t="s">
        <v>34</v>
      </c>
      <c r="G1507">
        <v>2</v>
      </c>
      <c r="H1507">
        <v>9</v>
      </c>
      <c r="I1507" s="13">
        <v>45552</v>
      </c>
      <c r="J1507" s="13" t="str">
        <f>TEXT(Table1[[#This Row],[Date]],"[$-en-US]mmm yyyy")</f>
        <v>Sep 2024</v>
      </c>
      <c r="K1507" s="13" t="str">
        <f>TEXT(Table1[[#This Row],[Date]],"[$-en-US]ddd")</f>
        <v>Tue</v>
      </c>
    </row>
    <row r="1508" spans="1:11" x14ac:dyDescent="0.25">
      <c r="A1508">
        <v>22</v>
      </c>
      <c r="B1508" t="s">
        <v>9</v>
      </c>
      <c r="C1508">
        <v>32.82</v>
      </c>
      <c r="D1508" t="s">
        <v>14</v>
      </c>
      <c r="E1508" t="s">
        <v>18</v>
      </c>
      <c r="F1508" t="s">
        <v>34</v>
      </c>
      <c r="G1508">
        <v>2</v>
      </c>
      <c r="H1508">
        <v>9</v>
      </c>
      <c r="I1508" s="13">
        <v>45552</v>
      </c>
      <c r="J1508" s="13" t="str">
        <f>TEXT(Table1[[#This Row],[Date]],"[$-en-US]mmm yyyy")</f>
        <v>Sep 2024</v>
      </c>
      <c r="K1508" s="13" t="str">
        <f>TEXT(Table1[[#This Row],[Date]],"[$-en-US]ddd")</f>
        <v>Tue</v>
      </c>
    </row>
    <row r="1509" spans="1:11" x14ac:dyDescent="0.25">
      <c r="A1509">
        <v>22</v>
      </c>
      <c r="B1509" t="s">
        <v>9</v>
      </c>
      <c r="C1509">
        <v>32.82</v>
      </c>
      <c r="D1509" t="s">
        <v>14</v>
      </c>
      <c r="E1509" t="s">
        <v>18</v>
      </c>
      <c r="F1509" t="s">
        <v>34</v>
      </c>
      <c r="G1509">
        <v>2</v>
      </c>
      <c r="H1509">
        <v>9</v>
      </c>
      <c r="I1509" s="13">
        <v>45552</v>
      </c>
      <c r="J1509" s="13" t="str">
        <f>TEXT(Table1[[#This Row],[Date]],"[$-en-US]mmm yyyy")</f>
        <v>Sep 2024</v>
      </c>
      <c r="K1509" s="13" t="str">
        <f>TEXT(Table1[[#This Row],[Date]],"[$-en-US]ddd")</f>
        <v>Tue</v>
      </c>
    </row>
    <row r="1510" spans="1:11" x14ac:dyDescent="0.25">
      <c r="A1510">
        <v>14</v>
      </c>
      <c r="B1510" t="s">
        <v>9</v>
      </c>
      <c r="C1510">
        <v>32.82</v>
      </c>
      <c r="D1510" t="s">
        <v>10</v>
      </c>
      <c r="E1510" t="s">
        <v>15</v>
      </c>
      <c r="F1510" t="s">
        <v>34</v>
      </c>
      <c r="G1510">
        <v>3</v>
      </c>
      <c r="H1510">
        <v>9</v>
      </c>
      <c r="I1510" s="13">
        <v>45553</v>
      </c>
      <c r="J1510" s="13" t="str">
        <f>TEXT(Table1[[#This Row],[Date]],"[$-en-US]mmm yyyy")</f>
        <v>Sep 2024</v>
      </c>
      <c r="K1510" s="13" t="str">
        <f>TEXT(Table1[[#This Row],[Date]],"[$-en-US]ddd")</f>
        <v>Wed</v>
      </c>
    </row>
    <row r="1511" spans="1:11" x14ac:dyDescent="0.25">
      <c r="A1511">
        <v>17</v>
      </c>
      <c r="B1511" t="s">
        <v>9</v>
      </c>
      <c r="C1511">
        <v>32.82</v>
      </c>
      <c r="D1511" t="s">
        <v>10</v>
      </c>
      <c r="E1511" t="s">
        <v>18</v>
      </c>
      <c r="F1511" t="s">
        <v>34</v>
      </c>
      <c r="G1511">
        <v>3</v>
      </c>
      <c r="H1511">
        <v>9</v>
      </c>
      <c r="I1511" s="13">
        <v>45553</v>
      </c>
      <c r="J1511" s="13" t="str">
        <f>TEXT(Table1[[#This Row],[Date]],"[$-en-US]mmm yyyy")</f>
        <v>Sep 2024</v>
      </c>
      <c r="K1511" s="13" t="str">
        <f>TEXT(Table1[[#This Row],[Date]],"[$-en-US]ddd")</f>
        <v>Wed</v>
      </c>
    </row>
    <row r="1512" spans="1:11" x14ac:dyDescent="0.25">
      <c r="A1512">
        <v>21</v>
      </c>
      <c r="B1512" t="s">
        <v>9</v>
      </c>
      <c r="C1512">
        <v>27.92</v>
      </c>
      <c r="D1512" t="s">
        <v>17</v>
      </c>
      <c r="E1512" t="s">
        <v>18</v>
      </c>
      <c r="F1512" t="s">
        <v>34</v>
      </c>
      <c r="G1512">
        <v>3</v>
      </c>
      <c r="H1512">
        <v>9</v>
      </c>
      <c r="I1512" s="13">
        <v>45553</v>
      </c>
      <c r="J1512" s="13" t="str">
        <f>TEXT(Table1[[#This Row],[Date]],"[$-en-US]mmm yyyy")</f>
        <v>Sep 2024</v>
      </c>
      <c r="K1512" s="13" t="str">
        <f>TEXT(Table1[[#This Row],[Date]],"[$-en-US]ddd")</f>
        <v>Wed</v>
      </c>
    </row>
    <row r="1513" spans="1:11" x14ac:dyDescent="0.25">
      <c r="A1513">
        <v>21</v>
      </c>
      <c r="B1513" t="s">
        <v>9</v>
      </c>
      <c r="C1513">
        <v>27.92</v>
      </c>
      <c r="D1513" t="s">
        <v>17</v>
      </c>
      <c r="E1513" t="s">
        <v>18</v>
      </c>
      <c r="F1513" t="s">
        <v>34</v>
      </c>
      <c r="G1513">
        <v>3</v>
      </c>
      <c r="H1513">
        <v>9</v>
      </c>
      <c r="I1513" s="13">
        <v>45553</v>
      </c>
      <c r="J1513" s="13" t="str">
        <f>TEXT(Table1[[#This Row],[Date]],"[$-en-US]mmm yyyy")</f>
        <v>Sep 2024</v>
      </c>
      <c r="K1513" s="13" t="str">
        <f>TEXT(Table1[[#This Row],[Date]],"[$-en-US]ddd")</f>
        <v>Wed</v>
      </c>
    </row>
    <row r="1514" spans="1:11" x14ac:dyDescent="0.25">
      <c r="A1514">
        <v>8</v>
      </c>
      <c r="B1514" t="s">
        <v>9</v>
      </c>
      <c r="C1514">
        <v>27.92</v>
      </c>
      <c r="D1514" t="s">
        <v>17</v>
      </c>
      <c r="E1514" t="s">
        <v>11</v>
      </c>
      <c r="F1514" t="s">
        <v>34</v>
      </c>
      <c r="G1514">
        <v>4</v>
      </c>
      <c r="H1514">
        <v>9</v>
      </c>
      <c r="I1514" s="13">
        <v>45554</v>
      </c>
      <c r="J1514" s="13" t="str">
        <f>TEXT(Table1[[#This Row],[Date]],"[$-en-US]mmm yyyy")</f>
        <v>Sep 2024</v>
      </c>
      <c r="K1514" s="13" t="str">
        <f>TEXT(Table1[[#This Row],[Date]],"[$-en-US]ddd")</f>
        <v>Thu</v>
      </c>
    </row>
    <row r="1515" spans="1:11" x14ac:dyDescent="0.25">
      <c r="A1515">
        <v>8</v>
      </c>
      <c r="B1515" t="s">
        <v>9</v>
      </c>
      <c r="C1515">
        <v>23.02</v>
      </c>
      <c r="D1515" t="s">
        <v>22</v>
      </c>
      <c r="E1515" t="s">
        <v>11</v>
      </c>
      <c r="F1515" t="s">
        <v>34</v>
      </c>
      <c r="G1515">
        <v>4</v>
      </c>
      <c r="H1515">
        <v>9</v>
      </c>
      <c r="I1515" s="13">
        <v>45554</v>
      </c>
      <c r="J1515" s="13" t="str">
        <f>TEXT(Table1[[#This Row],[Date]],"[$-en-US]mmm yyyy")</f>
        <v>Sep 2024</v>
      </c>
      <c r="K1515" s="13" t="str">
        <f>TEXT(Table1[[#This Row],[Date]],"[$-en-US]ddd")</f>
        <v>Thu</v>
      </c>
    </row>
    <row r="1516" spans="1:11" x14ac:dyDescent="0.25">
      <c r="A1516">
        <v>10</v>
      </c>
      <c r="B1516" t="s">
        <v>9</v>
      </c>
      <c r="C1516">
        <v>32.82</v>
      </c>
      <c r="D1516" t="s">
        <v>10</v>
      </c>
      <c r="E1516" t="s">
        <v>11</v>
      </c>
      <c r="F1516" t="s">
        <v>34</v>
      </c>
      <c r="G1516">
        <v>4</v>
      </c>
      <c r="H1516">
        <v>9</v>
      </c>
      <c r="I1516" s="13">
        <v>45554</v>
      </c>
      <c r="J1516" s="13" t="str">
        <f>TEXT(Table1[[#This Row],[Date]],"[$-en-US]mmm yyyy")</f>
        <v>Sep 2024</v>
      </c>
      <c r="K1516" s="13" t="str">
        <f>TEXT(Table1[[#This Row],[Date]],"[$-en-US]ddd")</f>
        <v>Thu</v>
      </c>
    </row>
    <row r="1517" spans="1:11" x14ac:dyDescent="0.25">
      <c r="A1517">
        <v>12</v>
      </c>
      <c r="B1517" t="s">
        <v>9</v>
      </c>
      <c r="C1517">
        <v>23.02</v>
      </c>
      <c r="D1517" t="s">
        <v>16</v>
      </c>
      <c r="E1517" t="s">
        <v>15</v>
      </c>
      <c r="F1517" t="s">
        <v>34</v>
      </c>
      <c r="G1517">
        <v>4</v>
      </c>
      <c r="H1517">
        <v>9</v>
      </c>
      <c r="I1517" s="13">
        <v>45554</v>
      </c>
      <c r="J1517" s="13" t="str">
        <f>TEXT(Table1[[#This Row],[Date]],"[$-en-US]mmm yyyy")</f>
        <v>Sep 2024</v>
      </c>
      <c r="K1517" s="13" t="str">
        <f>TEXT(Table1[[#This Row],[Date]],"[$-en-US]ddd")</f>
        <v>Thu</v>
      </c>
    </row>
    <row r="1518" spans="1:11" x14ac:dyDescent="0.25">
      <c r="A1518">
        <v>13</v>
      </c>
      <c r="B1518" t="s">
        <v>9</v>
      </c>
      <c r="C1518">
        <v>27.92</v>
      </c>
      <c r="D1518" t="s">
        <v>17</v>
      </c>
      <c r="E1518" t="s">
        <v>15</v>
      </c>
      <c r="F1518" t="s">
        <v>34</v>
      </c>
      <c r="G1518">
        <v>4</v>
      </c>
      <c r="H1518">
        <v>9</v>
      </c>
      <c r="I1518" s="13">
        <v>45554</v>
      </c>
      <c r="J1518" s="13" t="str">
        <f>TEXT(Table1[[#This Row],[Date]],"[$-en-US]mmm yyyy")</f>
        <v>Sep 2024</v>
      </c>
      <c r="K1518" s="13" t="str">
        <f>TEXT(Table1[[#This Row],[Date]],"[$-en-US]ddd")</f>
        <v>Thu</v>
      </c>
    </row>
    <row r="1519" spans="1:11" x14ac:dyDescent="0.25">
      <c r="A1519">
        <v>13</v>
      </c>
      <c r="B1519" t="s">
        <v>9</v>
      </c>
      <c r="C1519">
        <v>23.02</v>
      </c>
      <c r="D1519" t="s">
        <v>22</v>
      </c>
      <c r="E1519" t="s">
        <v>15</v>
      </c>
      <c r="F1519" t="s">
        <v>34</v>
      </c>
      <c r="G1519">
        <v>4</v>
      </c>
      <c r="H1519">
        <v>9</v>
      </c>
      <c r="I1519" s="13">
        <v>45554</v>
      </c>
      <c r="J1519" s="13" t="str">
        <f>TEXT(Table1[[#This Row],[Date]],"[$-en-US]mmm yyyy")</f>
        <v>Sep 2024</v>
      </c>
      <c r="K1519" s="13" t="str">
        <f>TEXT(Table1[[#This Row],[Date]],"[$-en-US]ddd")</f>
        <v>Thu</v>
      </c>
    </row>
    <row r="1520" spans="1:11" x14ac:dyDescent="0.25">
      <c r="A1520">
        <v>8</v>
      </c>
      <c r="B1520" t="s">
        <v>9</v>
      </c>
      <c r="C1520">
        <v>27.92</v>
      </c>
      <c r="D1520" t="s">
        <v>17</v>
      </c>
      <c r="E1520" t="s">
        <v>11</v>
      </c>
      <c r="F1520" t="s">
        <v>34</v>
      </c>
      <c r="G1520">
        <v>5</v>
      </c>
      <c r="H1520">
        <v>9</v>
      </c>
      <c r="I1520" s="13">
        <v>45555</v>
      </c>
      <c r="J1520" s="13" t="str">
        <f>TEXT(Table1[[#This Row],[Date]],"[$-en-US]mmm yyyy")</f>
        <v>Sep 2024</v>
      </c>
      <c r="K1520" s="13" t="str">
        <f>TEXT(Table1[[#This Row],[Date]],"[$-en-US]ddd")</f>
        <v>Fri</v>
      </c>
    </row>
    <row r="1521" spans="1:11" x14ac:dyDescent="0.25">
      <c r="A1521">
        <v>9</v>
      </c>
      <c r="B1521" t="s">
        <v>9</v>
      </c>
      <c r="C1521">
        <v>27.92</v>
      </c>
      <c r="D1521" t="s">
        <v>17</v>
      </c>
      <c r="E1521" t="s">
        <v>11</v>
      </c>
      <c r="F1521" t="s">
        <v>34</v>
      </c>
      <c r="G1521">
        <v>5</v>
      </c>
      <c r="H1521">
        <v>9</v>
      </c>
      <c r="I1521" s="13">
        <v>45555</v>
      </c>
      <c r="J1521" s="13" t="str">
        <f>TEXT(Table1[[#This Row],[Date]],"[$-en-US]mmm yyyy")</f>
        <v>Sep 2024</v>
      </c>
      <c r="K1521" s="13" t="str">
        <f>TEXT(Table1[[#This Row],[Date]],"[$-en-US]ddd")</f>
        <v>Fri</v>
      </c>
    </row>
    <row r="1522" spans="1:11" x14ac:dyDescent="0.25">
      <c r="A1522">
        <v>13</v>
      </c>
      <c r="B1522" t="s">
        <v>9</v>
      </c>
      <c r="C1522">
        <v>27.92</v>
      </c>
      <c r="D1522" t="s">
        <v>17</v>
      </c>
      <c r="E1522" t="s">
        <v>15</v>
      </c>
      <c r="F1522" t="s">
        <v>34</v>
      </c>
      <c r="G1522">
        <v>5</v>
      </c>
      <c r="H1522">
        <v>9</v>
      </c>
      <c r="I1522" s="13">
        <v>45555</v>
      </c>
      <c r="J1522" s="13" t="str">
        <f>TEXT(Table1[[#This Row],[Date]],"[$-en-US]mmm yyyy")</f>
        <v>Sep 2024</v>
      </c>
      <c r="K1522" s="13" t="str">
        <f>TEXT(Table1[[#This Row],[Date]],"[$-en-US]ddd")</f>
        <v>Fri</v>
      </c>
    </row>
    <row r="1523" spans="1:11" x14ac:dyDescent="0.25">
      <c r="A1523">
        <v>16</v>
      </c>
      <c r="B1523" t="s">
        <v>9</v>
      </c>
      <c r="C1523">
        <v>32.82</v>
      </c>
      <c r="D1523" t="s">
        <v>10</v>
      </c>
      <c r="E1523" t="s">
        <v>15</v>
      </c>
      <c r="F1523" t="s">
        <v>34</v>
      </c>
      <c r="G1523">
        <v>5</v>
      </c>
      <c r="H1523">
        <v>9</v>
      </c>
      <c r="I1523" s="13">
        <v>45555</v>
      </c>
      <c r="J1523" s="13" t="str">
        <f>TEXT(Table1[[#This Row],[Date]],"[$-en-US]mmm yyyy")</f>
        <v>Sep 2024</v>
      </c>
      <c r="K1523" s="13" t="str">
        <f>TEXT(Table1[[#This Row],[Date]],"[$-en-US]ddd")</f>
        <v>Fri</v>
      </c>
    </row>
    <row r="1524" spans="1:11" x14ac:dyDescent="0.25">
      <c r="A1524">
        <v>20</v>
      </c>
      <c r="B1524" t="s">
        <v>9</v>
      </c>
      <c r="C1524">
        <v>23.02</v>
      </c>
      <c r="D1524" t="s">
        <v>16</v>
      </c>
      <c r="E1524" t="s">
        <v>18</v>
      </c>
      <c r="F1524" t="s">
        <v>34</v>
      </c>
      <c r="G1524">
        <v>5</v>
      </c>
      <c r="H1524">
        <v>9</v>
      </c>
      <c r="I1524" s="13">
        <v>45555</v>
      </c>
      <c r="J1524" s="13" t="str">
        <f>TEXT(Table1[[#This Row],[Date]],"[$-en-US]mmm yyyy")</f>
        <v>Sep 2024</v>
      </c>
      <c r="K1524" s="13" t="str">
        <f>TEXT(Table1[[#This Row],[Date]],"[$-en-US]ddd")</f>
        <v>Fri</v>
      </c>
    </row>
    <row r="1525" spans="1:11" x14ac:dyDescent="0.25">
      <c r="A1525">
        <v>21</v>
      </c>
      <c r="B1525" t="s">
        <v>9</v>
      </c>
      <c r="C1525">
        <v>27.92</v>
      </c>
      <c r="D1525" t="s">
        <v>17</v>
      </c>
      <c r="E1525" t="s">
        <v>18</v>
      </c>
      <c r="F1525" t="s">
        <v>34</v>
      </c>
      <c r="G1525">
        <v>5</v>
      </c>
      <c r="H1525">
        <v>9</v>
      </c>
      <c r="I1525" s="13">
        <v>45555</v>
      </c>
      <c r="J1525" s="13" t="str">
        <f>TEXT(Table1[[#This Row],[Date]],"[$-en-US]mmm yyyy")</f>
        <v>Sep 2024</v>
      </c>
      <c r="K1525" s="13" t="str">
        <f>TEXT(Table1[[#This Row],[Date]],"[$-en-US]ddd")</f>
        <v>Fri</v>
      </c>
    </row>
    <row r="1526" spans="1:11" x14ac:dyDescent="0.25">
      <c r="A1526">
        <v>21</v>
      </c>
      <c r="B1526" t="s">
        <v>9</v>
      </c>
      <c r="C1526">
        <v>27.92</v>
      </c>
      <c r="D1526" t="s">
        <v>17</v>
      </c>
      <c r="E1526" t="s">
        <v>18</v>
      </c>
      <c r="F1526" t="s">
        <v>34</v>
      </c>
      <c r="G1526">
        <v>5</v>
      </c>
      <c r="H1526">
        <v>9</v>
      </c>
      <c r="I1526" s="13">
        <v>45555</v>
      </c>
      <c r="J1526" s="13" t="str">
        <f>TEXT(Table1[[#This Row],[Date]],"[$-en-US]mmm yyyy")</f>
        <v>Sep 2024</v>
      </c>
      <c r="K1526" s="13" t="str">
        <f>TEXT(Table1[[#This Row],[Date]],"[$-en-US]ddd")</f>
        <v>Fri</v>
      </c>
    </row>
    <row r="1527" spans="1:11" x14ac:dyDescent="0.25">
      <c r="A1527">
        <v>11</v>
      </c>
      <c r="B1527" t="s">
        <v>9</v>
      </c>
      <c r="C1527">
        <v>32.82</v>
      </c>
      <c r="D1527" t="s">
        <v>10</v>
      </c>
      <c r="E1527" t="s">
        <v>11</v>
      </c>
      <c r="F1527" t="s">
        <v>34</v>
      </c>
      <c r="G1527">
        <v>6</v>
      </c>
      <c r="H1527">
        <v>9</v>
      </c>
      <c r="I1527" s="13">
        <v>45556</v>
      </c>
      <c r="J1527" s="13" t="str">
        <f>TEXT(Table1[[#This Row],[Date]],"[$-en-US]mmm yyyy")</f>
        <v>Sep 2024</v>
      </c>
      <c r="K1527" s="13" t="str">
        <f>TEXT(Table1[[#This Row],[Date]],"[$-en-US]ddd")</f>
        <v>Sat</v>
      </c>
    </row>
    <row r="1528" spans="1:11" x14ac:dyDescent="0.25">
      <c r="A1528">
        <v>11</v>
      </c>
      <c r="B1528" t="s">
        <v>9</v>
      </c>
      <c r="C1528">
        <v>32.82</v>
      </c>
      <c r="D1528" t="s">
        <v>19</v>
      </c>
      <c r="E1528" t="s">
        <v>11</v>
      </c>
      <c r="F1528" t="s">
        <v>34</v>
      </c>
      <c r="G1528">
        <v>6</v>
      </c>
      <c r="H1528">
        <v>9</v>
      </c>
      <c r="I1528" s="13">
        <v>45556</v>
      </c>
      <c r="J1528" s="13" t="str">
        <f>TEXT(Table1[[#This Row],[Date]],"[$-en-US]mmm yyyy")</f>
        <v>Sep 2024</v>
      </c>
      <c r="K1528" s="13" t="str">
        <f>TEXT(Table1[[#This Row],[Date]],"[$-en-US]ddd")</f>
        <v>Sat</v>
      </c>
    </row>
    <row r="1529" spans="1:11" x14ac:dyDescent="0.25">
      <c r="A1529">
        <v>11</v>
      </c>
      <c r="B1529" t="s">
        <v>9</v>
      </c>
      <c r="C1529">
        <v>23.02</v>
      </c>
      <c r="D1529" t="s">
        <v>22</v>
      </c>
      <c r="E1529" t="s">
        <v>11</v>
      </c>
      <c r="F1529" t="s">
        <v>34</v>
      </c>
      <c r="G1529">
        <v>6</v>
      </c>
      <c r="H1529">
        <v>9</v>
      </c>
      <c r="I1529" s="13">
        <v>45556</v>
      </c>
      <c r="J1529" s="13" t="str">
        <f>TEXT(Table1[[#This Row],[Date]],"[$-en-US]mmm yyyy")</f>
        <v>Sep 2024</v>
      </c>
      <c r="K1529" s="13" t="str">
        <f>TEXT(Table1[[#This Row],[Date]],"[$-en-US]ddd")</f>
        <v>Sat</v>
      </c>
    </row>
    <row r="1530" spans="1:11" x14ac:dyDescent="0.25">
      <c r="A1530">
        <v>11</v>
      </c>
      <c r="B1530" t="s">
        <v>9</v>
      </c>
      <c r="C1530">
        <v>23.02</v>
      </c>
      <c r="D1530" t="s">
        <v>22</v>
      </c>
      <c r="E1530" t="s">
        <v>11</v>
      </c>
      <c r="F1530" t="s">
        <v>34</v>
      </c>
      <c r="G1530">
        <v>6</v>
      </c>
      <c r="H1530">
        <v>9</v>
      </c>
      <c r="I1530" s="13">
        <v>45556</v>
      </c>
      <c r="J1530" s="13" t="str">
        <f>TEXT(Table1[[#This Row],[Date]],"[$-en-US]mmm yyyy")</f>
        <v>Sep 2024</v>
      </c>
      <c r="K1530" s="13" t="str">
        <f>TEXT(Table1[[#This Row],[Date]],"[$-en-US]ddd")</f>
        <v>Sat</v>
      </c>
    </row>
    <row r="1531" spans="1:11" x14ac:dyDescent="0.25">
      <c r="A1531">
        <v>15</v>
      </c>
      <c r="B1531" t="s">
        <v>9</v>
      </c>
      <c r="C1531">
        <v>32.82</v>
      </c>
      <c r="D1531" t="s">
        <v>27</v>
      </c>
      <c r="E1531" t="s">
        <v>15</v>
      </c>
      <c r="F1531" t="s">
        <v>34</v>
      </c>
      <c r="G1531">
        <v>6</v>
      </c>
      <c r="H1531">
        <v>9</v>
      </c>
      <c r="I1531" s="13">
        <v>45556</v>
      </c>
      <c r="J1531" s="13" t="str">
        <f>TEXT(Table1[[#This Row],[Date]],"[$-en-US]mmm yyyy")</f>
        <v>Sep 2024</v>
      </c>
      <c r="K1531" s="13" t="str">
        <f>TEXT(Table1[[#This Row],[Date]],"[$-en-US]ddd")</f>
        <v>Sat</v>
      </c>
    </row>
    <row r="1532" spans="1:11" x14ac:dyDescent="0.25">
      <c r="A1532">
        <v>15</v>
      </c>
      <c r="B1532" t="s">
        <v>9</v>
      </c>
      <c r="C1532">
        <v>32.82</v>
      </c>
      <c r="D1532" t="s">
        <v>10</v>
      </c>
      <c r="E1532" t="s">
        <v>15</v>
      </c>
      <c r="F1532" t="s">
        <v>34</v>
      </c>
      <c r="G1532">
        <v>6</v>
      </c>
      <c r="H1532">
        <v>9</v>
      </c>
      <c r="I1532" s="13">
        <v>45556</v>
      </c>
      <c r="J1532" s="13" t="str">
        <f>TEXT(Table1[[#This Row],[Date]],"[$-en-US]mmm yyyy")</f>
        <v>Sep 2024</v>
      </c>
      <c r="K1532" s="13" t="str">
        <f>TEXT(Table1[[#This Row],[Date]],"[$-en-US]ddd")</f>
        <v>Sat</v>
      </c>
    </row>
    <row r="1533" spans="1:11" x14ac:dyDescent="0.25">
      <c r="A1533">
        <v>18</v>
      </c>
      <c r="B1533" t="s">
        <v>9</v>
      </c>
      <c r="C1533">
        <v>32.82</v>
      </c>
      <c r="D1533" t="s">
        <v>10</v>
      </c>
      <c r="E1533" t="s">
        <v>18</v>
      </c>
      <c r="F1533" t="s">
        <v>34</v>
      </c>
      <c r="G1533">
        <v>6</v>
      </c>
      <c r="H1533">
        <v>9</v>
      </c>
      <c r="I1533" s="13">
        <v>45556</v>
      </c>
      <c r="J1533" s="13" t="str">
        <f>TEXT(Table1[[#This Row],[Date]],"[$-en-US]mmm yyyy")</f>
        <v>Sep 2024</v>
      </c>
      <c r="K1533" s="13" t="str">
        <f>TEXT(Table1[[#This Row],[Date]],"[$-en-US]ddd")</f>
        <v>Sat</v>
      </c>
    </row>
    <row r="1534" spans="1:11" x14ac:dyDescent="0.25">
      <c r="A1534">
        <v>18</v>
      </c>
      <c r="B1534" t="s">
        <v>9</v>
      </c>
      <c r="C1534">
        <v>32.82</v>
      </c>
      <c r="D1534" t="s">
        <v>10</v>
      </c>
      <c r="E1534" t="s">
        <v>18</v>
      </c>
      <c r="F1534" t="s">
        <v>34</v>
      </c>
      <c r="G1534">
        <v>6</v>
      </c>
      <c r="H1534">
        <v>9</v>
      </c>
      <c r="I1534" s="13">
        <v>45556</v>
      </c>
      <c r="J1534" s="13" t="str">
        <f>TEXT(Table1[[#This Row],[Date]],"[$-en-US]mmm yyyy")</f>
        <v>Sep 2024</v>
      </c>
      <c r="K1534" s="13" t="str">
        <f>TEXT(Table1[[#This Row],[Date]],"[$-en-US]ddd")</f>
        <v>Sat</v>
      </c>
    </row>
    <row r="1535" spans="1:11" x14ac:dyDescent="0.25">
      <c r="A1535">
        <v>20</v>
      </c>
      <c r="B1535" t="s">
        <v>9</v>
      </c>
      <c r="C1535">
        <v>23.02</v>
      </c>
      <c r="D1535" t="s">
        <v>16</v>
      </c>
      <c r="E1535" t="s">
        <v>18</v>
      </c>
      <c r="F1535" t="s">
        <v>34</v>
      </c>
      <c r="G1535">
        <v>6</v>
      </c>
      <c r="H1535">
        <v>9</v>
      </c>
      <c r="I1535" s="13">
        <v>45556</v>
      </c>
      <c r="J1535" s="13" t="str">
        <f>TEXT(Table1[[#This Row],[Date]],"[$-en-US]mmm yyyy")</f>
        <v>Sep 2024</v>
      </c>
      <c r="K1535" s="13" t="str">
        <f>TEXT(Table1[[#This Row],[Date]],"[$-en-US]ddd")</f>
        <v>Sat</v>
      </c>
    </row>
    <row r="1536" spans="1:11" x14ac:dyDescent="0.25">
      <c r="A1536">
        <v>20</v>
      </c>
      <c r="B1536" t="s">
        <v>9</v>
      </c>
      <c r="C1536">
        <v>23.02</v>
      </c>
      <c r="D1536" t="s">
        <v>16</v>
      </c>
      <c r="E1536" t="s">
        <v>18</v>
      </c>
      <c r="F1536" t="s">
        <v>34</v>
      </c>
      <c r="G1536">
        <v>6</v>
      </c>
      <c r="H1536">
        <v>9</v>
      </c>
      <c r="I1536" s="13">
        <v>45556</v>
      </c>
      <c r="J1536" s="13" t="str">
        <f>TEXT(Table1[[#This Row],[Date]],"[$-en-US]mmm yyyy")</f>
        <v>Sep 2024</v>
      </c>
      <c r="K1536" s="13" t="str">
        <f>TEXT(Table1[[#This Row],[Date]],"[$-en-US]ddd")</f>
        <v>Sat</v>
      </c>
    </row>
    <row r="1537" spans="1:11" x14ac:dyDescent="0.25">
      <c r="A1537">
        <v>20</v>
      </c>
      <c r="B1537" t="s">
        <v>9</v>
      </c>
      <c r="C1537">
        <v>32.82</v>
      </c>
      <c r="D1537" t="s">
        <v>10</v>
      </c>
      <c r="E1537" t="s">
        <v>18</v>
      </c>
      <c r="F1537" t="s">
        <v>34</v>
      </c>
      <c r="G1537">
        <v>6</v>
      </c>
      <c r="H1537">
        <v>9</v>
      </c>
      <c r="I1537" s="13">
        <v>45556</v>
      </c>
      <c r="J1537" s="13" t="str">
        <f>TEXT(Table1[[#This Row],[Date]],"[$-en-US]mmm yyyy")</f>
        <v>Sep 2024</v>
      </c>
      <c r="K1537" s="13" t="str">
        <f>TEXT(Table1[[#This Row],[Date]],"[$-en-US]ddd")</f>
        <v>Sat</v>
      </c>
    </row>
    <row r="1538" spans="1:11" x14ac:dyDescent="0.25">
      <c r="A1538">
        <v>20</v>
      </c>
      <c r="B1538" t="s">
        <v>9</v>
      </c>
      <c r="C1538">
        <v>32.82</v>
      </c>
      <c r="D1538" t="s">
        <v>10</v>
      </c>
      <c r="E1538" t="s">
        <v>18</v>
      </c>
      <c r="F1538" t="s">
        <v>34</v>
      </c>
      <c r="G1538">
        <v>6</v>
      </c>
      <c r="H1538">
        <v>9</v>
      </c>
      <c r="I1538" s="13">
        <v>45556</v>
      </c>
      <c r="J1538" s="13" t="str">
        <f>TEXT(Table1[[#This Row],[Date]],"[$-en-US]mmm yyyy")</f>
        <v>Sep 2024</v>
      </c>
      <c r="K1538" s="13" t="str">
        <f>TEXT(Table1[[#This Row],[Date]],"[$-en-US]ddd")</f>
        <v>Sat</v>
      </c>
    </row>
    <row r="1539" spans="1:11" x14ac:dyDescent="0.25">
      <c r="A1539">
        <v>22</v>
      </c>
      <c r="B1539" t="s">
        <v>9</v>
      </c>
      <c r="C1539">
        <v>27.92</v>
      </c>
      <c r="D1539" t="s">
        <v>17</v>
      </c>
      <c r="E1539" t="s">
        <v>18</v>
      </c>
      <c r="F1539" t="s">
        <v>34</v>
      </c>
      <c r="G1539">
        <v>6</v>
      </c>
      <c r="H1539">
        <v>9</v>
      </c>
      <c r="I1539" s="13">
        <v>45556</v>
      </c>
      <c r="J1539" s="13" t="str">
        <f>TEXT(Table1[[#This Row],[Date]],"[$-en-US]mmm yyyy")</f>
        <v>Sep 2024</v>
      </c>
      <c r="K1539" s="13" t="str">
        <f>TEXT(Table1[[#This Row],[Date]],"[$-en-US]ddd")</f>
        <v>Sat</v>
      </c>
    </row>
    <row r="1540" spans="1:11" x14ac:dyDescent="0.25">
      <c r="A1540">
        <v>22</v>
      </c>
      <c r="B1540" t="s">
        <v>9</v>
      </c>
      <c r="C1540">
        <v>23.02</v>
      </c>
      <c r="D1540" t="s">
        <v>16</v>
      </c>
      <c r="E1540" t="s">
        <v>18</v>
      </c>
      <c r="F1540" t="s">
        <v>34</v>
      </c>
      <c r="G1540">
        <v>6</v>
      </c>
      <c r="H1540">
        <v>9</v>
      </c>
      <c r="I1540" s="13">
        <v>45556</v>
      </c>
      <c r="J1540" s="13" t="str">
        <f>TEXT(Table1[[#This Row],[Date]],"[$-en-US]mmm yyyy")</f>
        <v>Sep 2024</v>
      </c>
      <c r="K1540" s="13" t="str">
        <f>TEXT(Table1[[#This Row],[Date]],"[$-en-US]ddd")</f>
        <v>Sat</v>
      </c>
    </row>
    <row r="1541" spans="1:11" x14ac:dyDescent="0.25">
      <c r="A1541">
        <v>22</v>
      </c>
      <c r="B1541" t="s">
        <v>9</v>
      </c>
      <c r="C1541">
        <v>23.02</v>
      </c>
      <c r="D1541" t="s">
        <v>16</v>
      </c>
      <c r="E1541" t="s">
        <v>18</v>
      </c>
      <c r="F1541" t="s">
        <v>34</v>
      </c>
      <c r="G1541">
        <v>6</v>
      </c>
      <c r="H1541">
        <v>9</v>
      </c>
      <c r="I1541" s="13">
        <v>45556</v>
      </c>
      <c r="J1541" s="13" t="str">
        <f>TEXT(Table1[[#This Row],[Date]],"[$-en-US]mmm yyyy")</f>
        <v>Sep 2024</v>
      </c>
      <c r="K1541" s="13" t="str">
        <f>TEXT(Table1[[#This Row],[Date]],"[$-en-US]ddd")</f>
        <v>Sat</v>
      </c>
    </row>
    <row r="1542" spans="1:11" x14ac:dyDescent="0.25">
      <c r="A1542">
        <v>8</v>
      </c>
      <c r="B1542" t="s">
        <v>9</v>
      </c>
      <c r="C1542">
        <v>23.02</v>
      </c>
      <c r="D1542" t="s">
        <v>16</v>
      </c>
      <c r="E1542" t="s">
        <v>11</v>
      </c>
      <c r="F1542" t="s">
        <v>34</v>
      </c>
      <c r="G1542">
        <v>7</v>
      </c>
      <c r="H1542">
        <v>9</v>
      </c>
      <c r="I1542" s="13">
        <v>45557</v>
      </c>
      <c r="J1542" s="13" t="str">
        <f>TEXT(Table1[[#This Row],[Date]],"[$-en-US]mmm yyyy")</f>
        <v>Sep 2024</v>
      </c>
      <c r="K1542" s="13" t="str">
        <f>TEXT(Table1[[#This Row],[Date]],"[$-en-US]ddd")</f>
        <v>Sun</v>
      </c>
    </row>
    <row r="1543" spans="1:11" x14ac:dyDescent="0.25">
      <c r="A1543">
        <v>10</v>
      </c>
      <c r="B1543" t="s">
        <v>9</v>
      </c>
      <c r="C1543">
        <v>27.92</v>
      </c>
      <c r="D1543" t="s">
        <v>17</v>
      </c>
      <c r="E1543" t="s">
        <v>11</v>
      </c>
      <c r="F1543" t="s">
        <v>34</v>
      </c>
      <c r="G1543">
        <v>7</v>
      </c>
      <c r="H1543">
        <v>9</v>
      </c>
      <c r="I1543" s="13">
        <v>45557</v>
      </c>
      <c r="J1543" s="13" t="str">
        <f>TEXT(Table1[[#This Row],[Date]],"[$-en-US]mmm yyyy")</f>
        <v>Sep 2024</v>
      </c>
      <c r="K1543" s="13" t="str">
        <f>TEXT(Table1[[#This Row],[Date]],"[$-en-US]ddd")</f>
        <v>Sun</v>
      </c>
    </row>
    <row r="1544" spans="1:11" x14ac:dyDescent="0.25">
      <c r="A1544">
        <v>10</v>
      </c>
      <c r="B1544" t="s">
        <v>9</v>
      </c>
      <c r="C1544">
        <v>32.82</v>
      </c>
      <c r="D1544" t="s">
        <v>10</v>
      </c>
      <c r="E1544" t="s">
        <v>11</v>
      </c>
      <c r="F1544" t="s">
        <v>34</v>
      </c>
      <c r="G1544">
        <v>7</v>
      </c>
      <c r="H1544">
        <v>9</v>
      </c>
      <c r="I1544" s="13">
        <v>45557</v>
      </c>
      <c r="J1544" s="13" t="str">
        <f>TEXT(Table1[[#This Row],[Date]],"[$-en-US]mmm yyyy")</f>
        <v>Sep 2024</v>
      </c>
      <c r="K1544" s="13" t="str">
        <f>TEXT(Table1[[#This Row],[Date]],"[$-en-US]ddd")</f>
        <v>Sun</v>
      </c>
    </row>
    <row r="1545" spans="1:11" x14ac:dyDescent="0.25">
      <c r="A1545">
        <v>11</v>
      </c>
      <c r="B1545" t="s">
        <v>9</v>
      </c>
      <c r="C1545">
        <v>23.02</v>
      </c>
      <c r="D1545" t="s">
        <v>22</v>
      </c>
      <c r="E1545" t="s">
        <v>11</v>
      </c>
      <c r="F1545" t="s">
        <v>34</v>
      </c>
      <c r="G1545">
        <v>7</v>
      </c>
      <c r="H1545">
        <v>9</v>
      </c>
      <c r="I1545" s="13">
        <v>45557</v>
      </c>
      <c r="J1545" s="13" t="str">
        <f>TEXT(Table1[[#This Row],[Date]],"[$-en-US]mmm yyyy")</f>
        <v>Sep 2024</v>
      </c>
      <c r="K1545" s="13" t="str">
        <f>TEXT(Table1[[#This Row],[Date]],"[$-en-US]ddd")</f>
        <v>Sun</v>
      </c>
    </row>
    <row r="1546" spans="1:11" x14ac:dyDescent="0.25">
      <c r="A1546">
        <v>11</v>
      </c>
      <c r="B1546" t="s">
        <v>9</v>
      </c>
      <c r="C1546">
        <v>23.02</v>
      </c>
      <c r="D1546" t="s">
        <v>22</v>
      </c>
      <c r="E1546" t="s">
        <v>11</v>
      </c>
      <c r="F1546" t="s">
        <v>34</v>
      </c>
      <c r="G1546">
        <v>7</v>
      </c>
      <c r="H1546">
        <v>9</v>
      </c>
      <c r="I1546" s="13">
        <v>45557</v>
      </c>
      <c r="J1546" s="13" t="str">
        <f>TEXT(Table1[[#This Row],[Date]],"[$-en-US]mmm yyyy")</f>
        <v>Sep 2024</v>
      </c>
      <c r="K1546" s="13" t="str">
        <f>TEXT(Table1[[#This Row],[Date]],"[$-en-US]ddd")</f>
        <v>Sun</v>
      </c>
    </row>
    <row r="1547" spans="1:11" x14ac:dyDescent="0.25">
      <c r="A1547">
        <v>11</v>
      </c>
      <c r="B1547" t="s">
        <v>9</v>
      </c>
      <c r="C1547">
        <v>27.92</v>
      </c>
      <c r="D1547" t="s">
        <v>17</v>
      </c>
      <c r="E1547" t="s">
        <v>11</v>
      </c>
      <c r="F1547" t="s">
        <v>34</v>
      </c>
      <c r="G1547">
        <v>7</v>
      </c>
      <c r="H1547">
        <v>9</v>
      </c>
      <c r="I1547" s="13">
        <v>45557</v>
      </c>
      <c r="J1547" s="13" t="str">
        <f>TEXT(Table1[[#This Row],[Date]],"[$-en-US]mmm yyyy")</f>
        <v>Sep 2024</v>
      </c>
      <c r="K1547" s="13" t="str">
        <f>TEXT(Table1[[#This Row],[Date]],"[$-en-US]ddd")</f>
        <v>Sun</v>
      </c>
    </row>
    <row r="1548" spans="1:11" x14ac:dyDescent="0.25">
      <c r="A1548">
        <v>11</v>
      </c>
      <c r="B1548" t="s">
        <v>9</v>
      </c>
      <c r="C1548">
        <v>23.02</v>
      </c>
      <c r="D1548" t="s">
        <v>16</v>
      </c>
      <c r="E1548" t="s">
        <v>11</v>
      </c>
      <c r="F1548" t="s">
        <v>34</v>
      </c>
      <c r="G1548">
        <v>7</v>
      </c>
      <c r="H1548">
        <v>9</v>
      </c>
      <c r="I1548" s="13">
        <v>45557</v>
      </c>
      <c r="J1548" s="13" t="str">
        <f>TEXT(Table1[[#This Row],[Date]],"[$-en-US]mmm yyyy")</f>
        <v>Sep 2024</v>
      </c>
      <c r="K1548" s="13" t="str">
        <f>TEXT(Table1[[#This Row],[Date]],"[$-en-US]ddd")</f>
        <v>Sun</v>
      </c>
    </row>
    <row r="1549" spans="1:11" x14ac:dyDescent="0.25">
      <c r="A1549">
        <v>12</v>
      </c>
      <c r="B1549" t="s">
        <v>9</v>
      </c>
      <c r="C1549">
        <v>27.92</v>
      </c>
      <c r="D1549" t="s">
        <v>17</v>
      </c>
      <c r="E1549" t="s">
        <v>15</v>
      </c>
      <c r="F1549" t="s">
        <v>34</v>
      </c>
      <c r="G1549">
        <v>7</v>
      </c>
      <c r="H1549">
        <v>9</v>
      </c>
      <c r="I1549" s="13">
        <v>45557</v>
      </c>
      <c r="J1549" s="13" t="str">
        <f>TEXT(Table1[[#This Row],[Date]],"[$-en-US]mmm yyyy")</f>
        <v>Sep 2024</v>
      </c>
      <c r="K1549" s="13" t="str">
        <f>TEXT(Table1[[#This Row],[Date]],"[$-en-US]ddd")</f>
        <v>Sun</v>
      </c>
    </row>
    <row r="1550" spans="1:11" x14ac:dyDescent="0.25">
      <c r="A1550">
        <v>13</v>
      </c>
      <c r="B1550" t="s">
        <v>9</v>
      </c>
      <c r="C1550">
        <v>27.92</v>
      </c>
      <c r="D1550" t="s">
        <v>17</v>
      </c>
      <c r="E1550" t="s">
        <v>15</v>
      </c>
      <c r="F1550" t="s">
        <v>34</v>
      </c>
      <c r="G1550">
        <v>7</v>
      </c>
      <c r="H1550">
        <v>9</v>
      </c>
      <c r="I1550" s="13">
        <v>45557</v>
      </c>
      <c r="J1550" s="13" t="str">
        <f>TEXT(Table1[[#This Row],[Date]],"[$-en-US]mmm yyyy")</f>
        <v>Sep 2024</v>
      </c>
      <c r="K1550" s="13" t="str">
        <f>TEXT(Table1[[#This Row],[Date]],"[$-en-US]ddd")</f>
        <v>Sun</v>
      </c>
    </row>
    <row r="1551" spans="1:11" x14ac:dyDescent="0.25">
      <c r="A1551">
        <v>13</v>
      </c>
      <c r="B1551" t="s">
        <v>9</v>
      </c>
      <c r="C1551">
        <v>27.92</v>
      </c>
      <c r="D1551" t="s">
        <v>17</v>
      </c>
      <c r="E1551" t="s">
        <v>15</v>
      </c>
      <c r="F1551" t="s">
        <v>34</v>
      </c>
      <c r="G1551">
        <v>7</v>
      </c>
      <c r="H1551">
        <v>9</v>
      </c>
      <c r="I1551" s="13">
        <v>45557</v>
      </c>
      <c r="J1551" s="13" t="str">
        <f>TEXT(Table1[[#This Row],[Date]],"[$-en-US]mmm yyyy")</f>
        <v>Sep 2024</v>
      </c>
      <c r="K1551" s="13" t="str">
        <f>TEXT(Table1[[#This Row],[Date]],"[$-en-US]ddd")</f>
        <v>Sun</v>
      </c>
    </row>
    <row r="1552" spans="1:11" x14ac:dyDescent="0.25">
      <c r="A1552">
        <v>13</v>
      </c>
      <c r="B1552" t="s">
        <v>9</v>
      </c>
      <c r="C1552">
        <v>27.92</v>
      </c>
      <c r="D1552" t="s">
        <v>17</v>
      </c>
      <c r="E1552" t="s">
        <v>15</v>
      </c>
      <c r="F1552" t="s">
        <v>34</v>
      </c>
      <c r="G1552">
        <v>7</v>
      </c>
      <c r="H1552">
        <v>9</v>
      </c>
      <c r="I1552" s="13">
        <v>45557</v>
      </c>
      <c r="J1552" s="13" t="str">
        <f>TEXT(Table1[[#This Row],[Date]],"[$-en-US]mmm yyyy")</f>
        <v>Sep 2024</v>
      </c>
      <c r="K1552" s="13" t="str">
        <f>TEXT(Table1[[#This Row],[Date]],"[$-en-US]ddd")</f>
        <v>Sun</v>
      </c>
    </row>
    <row r="1553" spans="1:11" x14ac:dyDescent="0.25">
      <c r="A1553">
        <v>15</v>
      </c>
      <c r="B1553" t="s">
        <v>9</v>
      </c>
      <c r="C1553">
        <v>32.82</v>
      </c>
      <c r="D1553" t="s">
        <v>10</v>
      </c>
      <c r="E1553" t="s">
        <v>15</v>
      </c>
      <c r="F1553" t="s">
        <v>34</v>
      </c>
      <c r="G1553">
        <v>7</v>
      </c>
      <c r="H1553">
        <v>9</v>
      </c>
      <c r="I1553" s="13">
        <v>45557</v>
      </c>
      <c r="J1553" s="13" t="str">
        <f>TEXT(Table1[[#This Row],[Date]],"[$-en-US]mmm yyyy")</f>
        <v>Sep 2024</v>
      </c>
      <c r="K1553" s="13" t="str">
        <f>TEXT(Table1[[#This Row],[Date]],"[$-en-US]ddd")</f>
        <v>Sun</v>
      </c>
    </row>
    <row r="1554" spans="1:11" x14ac:dyDescent="0.25">
      <c r="A1554">
        <v>15</v>
      </c>
      <c r="B1554" t="s">
        <v>9</v>
      </c>
      <c r="C1554">
        <v>27.92</v>
      </c>
      <c r="D1554" t="s">
        <v>17</v>
      </c>
      <c r="E1554" t="s">
        <v>15</v>
      </c>
      <c r="F1554" t="s">
        <v>34</v>
      </c>
      <c r="G1554">
        <v>7</v>
      </c>
      <c r="H1554">
        <v>9</v>
      </c>
      <c r="I1554" s="13">
        <v>45557</v>
      </c>
      <c r="J1554" s="13" t="str">
        <f>TEXT(Table1[[#This Row],[Date]],"[$-en-US]mmm yyyy")</f>
        <v>Sep 2024</v>
      </c>
      <c r="K1554" s="13" t="str">
        <f>TEXT(Table1[[#This Row],[Date]],"[$-en-US]ddd")</f>
        <v>Sun</v>
      </c>
    </row>
    <row r="1555" spans="1:11" x14ac:dyDescent="0.25">
      <c r="A1555">
        <v>16</v>
      </c>
      <c r="B1555" t="s">
        <v>9</v>
      </c>
      <c r="C1555">
        <v>32.82</v>
      </c>
      <c r="D1555" t="s">
        <v>19</v>
      </c>
      <c r="E1555" t="s">
        <v>15</v>
      </c>
      <c r="F1555" t="s">
        <v>34</v>
      </c>
      <c r="G1555">
        <v>7</v>
      </c>
      <c r="H1555">
        <v>9</v>
      </c>
      <c r="I1555" s="13">
        <v>45557</v>
      </c>
      <c r="J1555" s="13" t="str">
        <f>TEXT(Table1[[#This Row],[Date]],"[$-en-US]mmm yyyy")</f>
        <v>Sep 2024</v>
      </c>
      <c r="K1555" s="13" t="str">
        <f>TEXT(Table1[[#This Row],[Date]],"[$-en-US]ddd")</f>
        <v>Sun</v>
      </c>
    </row>
    <row r="1556" spans="1:11" x14ac:dyDescent="0.25">
      <c r="A1556">
        <v>20</v>
      </c>
      <c r="B1556" t="s">
        <v>9</v>
      </c>
      <c r="C1556">
        <v>32.82</v>
      </c>
      <c r="D1556" t="s">
        <v>10</v>
      </c>
      <c r="E1556" t="s">
        <v>18</v>
      </c>
      <c r="F1556" t="s">
        <v>34</v>
      </c>
      <c r="G1556">
        <v>7</v>
      </c>
      <c r="H1556">
        <v>9</v>
      </c>
      <c r="I1556" s="13">
        <v>45557</v>
      </c>
      <c r="J1556" s="13" t="str">
        <f>TEXT(Table1[[#This Row],[Date]],"[$-en-US]mmm yyyy")</f>
        <v>Sep 2024</v>
      </c>
      <c r="K1556" s="13" t="str">
        <f>TEXT(Table1[[#This Row],[Date]],"[$-en-US]ddd")</f>
        <v>Sun</v>
      </c>
    </row>
    <row r="1557" spans="1:11" x14ac:dyDescent="0.25">
      <c r="A1557">
        <v>20</v>
      </c>
      <c r="B1557" t="s">
        <v>9</v>
      </c>
      <c r="C1557">
        <v>32.82</v>
      </c>
      <c r="D1557" t="s">
        <v>27</v>
      </c>
      <c r="E1557" t="s">
        <v>18</v>
      </c>
      <c r="F1557" t="s">
        <v>34</v>
      </c>
      <c r="G1557">
        <v>7</v>
      </c>
      <c r="H1557">
        <v>9</v>
      </c>
      <c r="I1557" s="13">
        <v>45557</v>
      </c>
      <c r="J1557" s="13" t="str">
        <f>TEXT(Table1[[#This Row],[Date]],"[$-en-US]mmm yyyy")</f>
        <v>Sep 2024</v>
      </c>
      <c r="K1557" s="13" t="str">
        <f>TEXT(Table1[[#This Row],[Date]],"[$-en-US]ddd")</f>
        <v>Sun</v>
      </c>
    </row>
    <row r="1558" spans="1:11" x14ac:dyDescent="0.25">
      <c r="A1558">
        <v>20</v>
      </c>
      <c r="B1558" t="s">
        <v>9</v>
      </c>
      <c r="C1558">
        <v>27.92</v>
      </c>
      <c r="D1558" t="s">
        <v>17</v>
      </c>
      <c r="E1558" t="s">
        <v>18</v>
      </c>
      <c r="F1558" t="s">
        <v>34</v>
      </c>
      <c r="G1558">
        <v>7</v>
      </c>
      <c r="H1558">
        <v>9</v>
      </c>
      <c r="I1558" s="13">
        <v>45557</v>
      </c>
      <c r="J1558" s="13" t="str">
        <f>TEXT(Table1[[#This Row],[Date]],"[$-en-US]mmm yyyy")</f>
        <v>Sep 2024</v>
      </c>
      <c r="K1558" s="13" t="str">
        <f>TEXT(Table1[[#This Row],[Date]],"[$-en-US]ddd")</f>
        <v>Sun</v>
      </c>
    </row>
    <row r="1559" spans="1:11" x14ac:dyDescent="0.25">
      <c r="A1559">
        <v>20</v>
      </c>
      <c r="B1559" t="s">
        <v>9</v>
      </c>
      <c r="C1559">
        <v>27.92</v>
      </c>
      <c r="D1559" t="s">
        <v>17</v>
      </c>
      <c r="E1559" t="s">
        <v>18</v>
      </c>
      <c r="F1559" t="s">
        <v>34</v>
      </c>
      <c r="G1559">
        <v>7</v>
      </c>
      <c r="H1559">
        <v>9</v>
      </c>
      <c r="I1559" s="13">
        <v>45557</v>
      </c>
      <c r="J1559" s="13" t="str">
        <f>TEXT(Table1[[#This Row],[Date]],"[$-en-US]mmm yyyy")</f>
        <v>Sep 2024</v>
      </c>
      <c r="K1559" s="13" t="str">
        <f>TEXT(Table1[[#This Row],[Date]],"[$-en-US]ddd")</f>
        <v>Sun</v>
      </c>
    </row>
    <row r="1560" spans="1:11" x14ac:dyDescent="0.25">
      <c r="A1560">
        <v>21</v>
      </c>
      <c r="B1560" t="s">
        <v>9</v>
      </c>
      <c r="C1560">
        <v>27.92</v>
      </c>
      <c r="D1560" t="s">
        <v>17</v>
      </c>
      <c r="E1560" t="s">
        <v>18</v>
      </c>
      <c r="F1560" t="s">
        <v>34</v>
      </c>
      <c r="G1560">
        <v>7</v>
      </c>
      <c r="H1560">
        <v>9</v>
      </c>
      <c r="I1560" s="13">
        <v>45557</v>
      </c>
      <c r="J1560" s="13" t="str">
        <f>TEXT(Table1[[#This Row],[Date]],"[$-en-US]mmm yyyy")</f>
        <v>Sep 2024</v>
      </c>
      <c r="K1560" s="13" t="str">
        <f>TEXT(Table1[[#This Row],[Date]],"[$-en-US]ddd")</f>
        <v>Sun</v>
      </c>
    </row>
    <row r="1561" spans="1:11" x14ac:dyDescent="0.25">
      <c r="A1561">
        <v>21</v>
      </c>
      <c r="B1561" t="s">
        <v>9</v>
      </c>
      <c r="C1561">
        <v>27.92</v>
      </c>
      <c r="D1561" t="s">
        <v>17</v>
      </c>
      <c r="E1561" t="s">
        <v>18</v>
      </c>
      <c r="F1561" t="s">
        <v>34</v>
      </c>
      <c r="G1561">
        <v>7</v>
      </c>
      <c r="H1561">
        <v>9</v>
      </c>
      <c r="I1561" s="13">
        <v>45557</v>
      </c>
      <c r="J1561" s="13" t="str">
        <f>TEXT(Table1[[#This Row],[Date]],"[$-en-US]mmm yyyy")</f>
        <v>Sep 2024</v>
      </c>
      <c r="K1561" s="13" t="str">
        <f>TEXT(Table1[[#This Row],[Date]],"[$-en-US]ddd")</f>
        <v>Sun</v>
      </c>
    </row>
    <row r="1562" spans="1:11" x14ac:dyDescent="0.25">
      <c r="A1562">
        <v>21</v>
      </c>
      <c r="B1562" t="s">
        <v>9</v>
      </c>
      <c r="C1562">
        <v>32.82</v>
      </c>
      <c r="D1562" t="s">
        <v>14</v>
      </c>
      <c r="E1562" t="s">
        <v>18</v>
      </c>
      <c r="F1562" t="s">
        <v>34</v>
      </c>
      <c r="G1562">
        <v>7</v>
      </c>
      <c r="H1562">
        <v>9</v>
      </c>
      <c r="I1562" s="13">
        <v>45557</v>
      </c>
      <c r="J1562" s="13" t="str">
        <f>TEXT(Table1[[#This Row],[Date]],"[$-en-US]mmm yyyy")</f>
        <v>Sep 2024</v>
      </c>
      <c r="K1562" s="13" t="str">
        <f>TEXT(Table1[[#This Row],[Date]],"[$-en-US]ddd")</f>
        <v>Sun</v>
      </c>
    </row>
    <row r="1563" spans="1:11" x14ac:dyDescent="0.25">
      <c r="A1563">
        <v>21</v>
      </c>
      <c r="B1563" t="s">
        <v>9</v>
      </c>
      <c r="C1563">
        <v>32.82</v>
      </c>
      <c r="D1563" t="s">
        <v>14</v>
      </c>
      <c r="E1563" t="s">
        <v>18</v>
      </c>
      <c r="F1563" t="s">
        <v>34</v>
      </c>
      <c r="G1563">
        <v>7</v>
      </c>
      <c r="H1563">
        <v>9</v>
      </c>
      <c r="I1563" s="13">
        <v>45557</v>
      </c>
      <c r="J1563" s="13" t="str">
        <f>TEXT(Table1[[#This Row],[Date]],"[$-en-US]mmm yyyy")</f>
        <v>Sep 2024</v>
      </c>
      <c r="K1563" s="13" t="str">
        <f>TEXT(Table1[[#This Row],[Date]],"[$-en-US]ddd")</f>
        <v>Sun</v>
      </c>
    </row>
    <row r="1564" spans="1:11" x14ac:dyDescent="0.25">
      <c r="A1564">
        <v>22</v>
      </c>
      <c r="B1564" t="s">
        <v>9</v>
      </c>
      <c r="C1564">
        <v>23.02</v>
      </c>
      <c r="D1564" t="s">
        <v>16</v>
      </c>
      <c r="E1564" t="s">
        <v>18</v>
      </c>
      <c r="F1564" t="s">
        <v>34</v>
      </c>
      <c r="G1564">
        <v>7</v>
      </c>
      <c r="H1564">
        <v>9</v>
      </c>
      <c r="I1564" s="13">
        <v>45557</v>
      </c>
      <c r="J1564" s="13" t="str">
        <f>TEXT(Table1[[#This Row],[Date]],"[$-en-US]mmm yyyy")</f>
        <v>Sep 2024</v>
      </c>
      <c r="K1564" s="13" t="str">
        <f>TEXT(Table1[[#This Row],[Date]],"[$-en-US]ddd")</f>
        <v>Sun</v>
      </c>
    </row>
    <row r="1565" spans="1:11" x14ac:dyDescent="0.25">
      <c r="A1565">
        <v>22</v>
      </c>
      <c r="B1565" t="s">
        <v>9</v>
      </c>
      <c r="C1565">
        <v>27.92</v>
      </c>
      <c r="D1565" t="s">
        <v>17</v>
      </c>
      <c r="E1565" t="s">
        <v>18</v>
      </c>
      <c r="F1565" t="s">
        <v>34</v>
      </c>
      <c r="G1565">
        <v>7</v>
      </c>
      <c r="H1565">
        <v>9</v>
      </c>
      <c r="I1565" s="13">
        <v>45557</v>
      </c>
      <c r="J1565" s="13" t="str">
        <f>TEXT(Table1[[#This Row],[Date]],"[$-en-US]mmm yyyy")</f>
        <v>Sep 2024</v>
      </c>
      <c r="K1565" s="13" t="str">
        <f>TEXT(Table1[[#This Row],[Date]],"[$-en-US]ddd")</f>
        <v>Sun</v>
      </c>
    </row>
    <row r="1566" spans="1:11" x14ac:dyDescent="0.25">
      <c r="A1566">
        <v>9</v>
      </c>
      <c r="B1566" t="s">
        <v>9</v>
      </c>
      <c r="C1566">
        <v>27.92</v>
      </c>
      <c r="D1566" t="s">
        <v>17</v>
      </c>
      <c r="E1566" t="s">
        <v>11</v>
      </c>
      <c r="F1566" t="s">
        <v>34</v>
      </c>
      <c r="G1566">
        <v>1</v>
      </c>
      <c r="H1566">
        <v>9</v>
      </c>
      <c r="I1566" s="13">
        <v>45558</v>
      </c>
      <c r="J1566" s="13" t="str">
        <f>TEXT(Table1[[#This Row],[Date]],"[$-en-US]mmm yyyy")</f>
        <v>Sep 2024</v>
      </c>
      <c r="K1566" s="13" t="str">
        <f>TEXT(Table1[[#This Row],[Date]],"[$-en-US]ddd")</f>
        <v>Mon</v>
      </c>
    </row>
    <row r="1567" spans="1:11" x14ac:dyDescent="0.25">
      <c r="A1567">
        <v>10</v>
      </c>
      <c r="B1567" t="s">
        <v>9</v>
      </c>
      <c r="C1567">
        <v>23.02</v>
      </c>
      <c r="D1567" t="s">
        <v>22</v>
      </c>
      <c r="E1567" t="s">
        <v>11</v>
      </c>
      <c r="F1567" t="s">
        <v>34</v>
      </c>
      <c r="G1567">
        <v>1</v>
      </c>
      <c r="H1567">
        <v>9</v>
      </c>
      <c r="I1567" s="13">
        <v>45558</v>
      </c>
      <c r="J1567" s="13" t="str">
        <f>TEXT(Table1[[#This Row],[Date]],"[$-en-US]mmm yyyy")</f>
        <v>Sep 2024</v>
      </c>
      <c r="K1567" s="13" t="str">
        <f>TEXT(Table1[[#This Row],[Date]],"[$-en-US]ddd")</f>
        <v>Mon</v>
      </c>
    </row>
    <row r="1568" spans="1:11" x14ac:dyDescent="0.25">
      <c r="A1568">
        <v>12</v>
      </c>
      <c r="B1568" t="s">
        <v>9</v>
      </c>
      <c r="C1568">
        <v>23.02</v>
      </c>
      <c r="D1568" t="s">
        <v>16</v>
      </c>
      <c r="E1568" t="s">
        <v>15</v>
      </c>
      <c r="F1568" t="s">
        <v>34</v>
      </c>
      <c r="G1568">
        <v>1</v>
      </c>
      <c r="H1568">
        <v>9</v>
      </c>
      <c r="I1568" s="13">
        <v>45558</v>
      </c>
      <c r="J1568" s="13" t="str">
        <f>TEXT(Table1[[#This Row],[Date]],"[$-en-US]mmm yyyy")</f>
        <v>Sep 2024</v>
      </c>
      <c r="K1568" s="13" t="str">
        <f>TEXT(Table1[[#This Row],[Date]],"[$-en-US]ddd")</f>
        <v>Mon</v>
      </c>
    </row>
    <row r="1569" spans="1:11" x14ac:dyDescent="0.25">
      <c r="A1569">
        <v>14</v>
      </c>
      <c r="B1569" t="s">
        <v>9</v>
      </c>
      <c r="C1569">
        <v>27.92</v>
      </c>
      <c r="D1569" t="s">
        <v>17</v>
      </c>
      <c r="E1569" t="s">
        <v>15</v>
      </c>
      <c r="F1569" t="s">
        <v>34</v>
      </c>
      <c r="G1569">
        <v>1</v>
      </c>
      <c r="H1569">
        <v>9</v>
      </c>
      <c r="I1569" s="13">
        <v>45558</v>
      </c>
      <c r="J1569" s="13" t="str">
        <f>TEXT(Table1[[#This Row],[Date]],"[$-en-US]mmm yyyy")</f>
        <v>Sep 2024</v>
      </c>
      <c r="K1569" s="13" t="str">
        <f>TEXT(Table1[[#This Row],[Date]],"[$-en-US]ddd")</f>
        <v>Mon</v>
      </c>
    </row>
    <row r="1570" spans="1:11" x14ac:dyDescent="0.25">
      <c r="A1570">
        <v>17</v>
      </c>
      <c r="B1570" t="s">
        <v>9</v>
      </c>
      <c r="C1570">
        <v>32.82</v>
      </c>
      <c r="D1570" t="s">
        <v>27</v>
      </c>
      <c r="E1570" t="s">
        <v>18</v>
      </c>
      <c r="F1570" t="s">
        <v>34</v>
      </c>
      <c r="G1570">
        <v>1</v>
      </c>
      <c r="H1570">
        <v>9</v>
      </c>
      <c r="I1570" s="13">
        <v>45558</v>
      </c>
      <c r="J1570" s="13" t="str">
        <f>TEXT(Table1[[#This Row],[Date]],"[$-en-US]mmm yyyy")</f>
        <v>Sep 2024</v>
      </c>
      <c r="K1570" s="13" t="str">
        <f>TEXT(Table1[[#This Row],[Date]],"[$-en-US]ddd")</f>
        <v>Mon</v>
      </c>
    </row>
    <row r="1571" spans="1:11" x14ac:dyDescent="0.25">
      <c r="A1571">
        <v>18</v>
      </c>
      <c r="B1571" t="s">
        <v>9</v>
      </c>
      <c r="C1571">
        <v>23.02</v>
      </c>
      <c r="D1571" t="s">
        <v>16</v>
      </c>
      <c r="E1571" t="s">
        <v>18</v>
      </c>
      <c r="F1571" t="s">
        <v>34</v>
      </c>
      <c r="G1571">
        <v>1</v>
      </c>
      <c r="H1571">
        <v>9</v>
      </c>
      <c r="I1571" s="13">
        <v>45558</v>
      </c>
      <c r="J1571" s="13" t="str">
        <f>TEXT(Table1[[#This Row],[Date]],"[$-en-US]mmm yyyy")</f>
        <v>Sep 2024</v>
      </c>
      <c r="K1571" s="13" t="str">
        <f>TEXT(Table1[[#This Row],[Date]],"[$-en-US]ddd")</f>
        <v>Mon</v>
      </c>
    </row>
    <row r="1572" spans="1:11" x14ac:dyDescent="0.25">
      <c r="A1572">
        <v>19</v>
      </c>
      <c r="B1572" t="s">
        <v>9</v>
      </c>
      <c r="C1572">
        <v>32.82</v>
      </c>
      <c r="D1572" t="s">
        <v>10</v>
      </c>
      <c r="E1572" t="s">
        <v>18</v>
      </c>
      <c r="F1572" t="s">
        <v>34</v>
      </c>
      <c r="G1572">
        <v>1</v>
      </c>
      <c r="H1572">
        <v>9</v>
      </c>
      <c r="I1572" s="13">
        <v>45558</v>
      </c>
      <c r="J1572" s="13" t="str">
        <f>TEXT(Table1[[#This Row],[Date]],"[$-en-US]mmm yyyy")</f>
        <v>Sep 2024</v>
      </c>
      <c r="K1572" s="13" t="str">
        <f>TEXT(Table1[[#This Row],[Date]],"[$-en-US]ddd")</f>
        <v>Mon</v>
      </c>
    </row>
    <row r="1573" spans="1:11" x14ac:dyDescent="0.25">
      <c r="A1573">
        <v>20</v>
      </c>
      <c r="B1573" t="s">
        <v>9</v>
      </c>
      <c r="C1573">
        <v>32.82</v>
      </c>
      <c r="D1573" t="s">
        <v>27</v>
      </c>
      <c r="E1573" t="s">
        <v>18</v>
      </c>
      <c r="F1573" t="s">
        <v>34</v>
      </c>
      <c r="G1573">
        <v>1</v>
      </c>
      <c r="H1573">
        <v>9</v>
      </c>
      <c r="I1573" s="13">
        <v>45558</v>
      </c>
      <c r="J1573" s="13" t="str">
        <f>TEXT(Table1[[#This Row],[Date]],"[$-en-US]mmm yyyy")</f>
        <v>Sep 2024</v>
      </c>
      <c r="K1573" s="13" t="str">
        <f>TEXT(Table1[[#This Row],[Date]],"[$-en-US]ddd")</f>
        <v>Mon</v>
      </c>
    </row>
    <row r="1574" spans="1:11" x14ac:dyDescent="0.25">
      <c r="A1574">
        <v>22</v>
      </c>
      <c r="B1574" t="s">
        <v>9</v>
      </c>
      <c r="C1574">
        <v>27.92</v>
      </c>
      <c r="D1574" t="s">
        <v>17</v>
      </c>
      <c r="E1574" t="s">
        <v>18</v>
      </c>
      <c r="F1574" t="s">
        <v>34</v>
      </c>
      <c r="G1574">
        <v>1</v>
      </c>
      <c r="H1574">
        <v>9</v>
      </c>
      <c r="I1574" s="13">
        <v>45558</v>
      </c>
      <c r="J1574" s="13" t="str">
        <f>TEXT(Table1[[#This Row],[Date]],"[$-en-US]mmm yyyy")</f>
        <v>Sep 2024</v>
      </c>
      <c r="K1574" s="13" t="str">
        <f>TEXT(Table1[[#This Row],[Date]],"[$-en-US]ddd")</f>
        <v>Mon</v>
      </c>
    </row>
    <row r="1575" spans="1:11" x14ac:dyDescent="0.25">
      <c r="A1575">
        <v>22</v>
      </c>
      <c r="B1575" t="s">
        <v>9</v>
      </c>
      <c r="C1575">
        <v>27.92</v>
      </c>
      <c r="D1575" t="s">
        <v>17</v>
      </c>
      <c r="E1575" t="s">
        <v>18</v>
      </c>
      <c r="F1575" t="s">
        <v>34</v>
      </c>
      <c r="G1575">
        <v>1</v>
      </c>
      <c r="H1575">
        <v>9</v>
      </c>
      <c r="I1575" s="13">
        <v>45558</v>
      </c>
      <c r="J1575" s="13" t="str">
        <f>TEXT(Table1[[#This Row],[Date]],"[$-en-US]mmm yyyy")</f>
        <v>Sep 2024</v>
      </c>
      <c r="K1575" s="13" t="str">
        <f>TEXT(Table1[[#This Row],[Date]],"[$-en-US]ddd")</f>
        <v>Mon</v>
      </c>
    </row>
    <row r="1576" spans="1:11" x14ac:dyDescent="0.25">
      <c r="A1576">
        <v>8</v>
      </c>
      <c r="B1576" t="s">
        <v>9</v>
      </c>
      <c r="C1576">
        <v>27.92</v>
      </c>
      <c r="D1576" t="s">
        <v>17</v>
      </c>
      <c r="E1576" t="s">
        <v>11</v>
      </c>
      <c r="F1576" t="s">
        <v>34</v>
      </c>
      <c r="G1576">
        <v>2</v>
      </c>
      <c r="H1576">
        <v>9</v>
      </c>
      <c r="I1576" s="13">
        <v>45559</v>
      </c>
      <c r="J1576" s="13" t="str">
        <f>TEXT(Table1[[#This Row],[Date]],"[$-en-US]mmm yyyy")</f>
        <v>Sep 2024</v>
      </c>
      <c r="K1576" s="13" t="str">
        <f>TEXT(Table1[[#This Row],[Date]],"[$-en-US]ddd")</f>
        <v>Tue</v>
      </c>
    </row>
    <row r="1577" spans="1:11" x14ac:dyDescent="0.25">
      <c r="A1577">
        <v>12</v>
      </c>
      <c r="B1577" t="s">
        <v>9</v>
      </c>
      <c r="C1577">
        <v>32.82</v>
      </c>
      <c r="D1577" t="s">
        <v>10</v>
      </c>
      <c r="E1577" t="s">
        <v>15</v>
      </c>
      <c r="F1577" t="s">
        <v>34</v>
      </c>
      <c r="G1577">
        <v>2</v>
      </c>
      <c r="H1577">
        <v>9</v>
      </c>
      <c r="I1577" s="13">
        <v>45559</v>
      </c>
      <c r="J1577" s="13" t="str">
        <f>TEXT(Table1[[#This Row],[Date]],"[$-en-US]mmm yyyy")</f>
        <v>Sep 2024</v>
      </c>
      <c r="K1577" s="13" t="str">
        <f>TEXT(Table1[[#This Row],[Date]],"[$-en-US]ddd")</f>
        <v>Tue</v>
      </c>
    </row>
    <row r="1578" spans="1:11" x14ac:dyDescent="0.25">
      <c r="A1578">
        <v>12</v>
      </c>
      <c r="B1578" t="s">
        <v>9</v>
      </c>
      <c r="C1578">
        <v>32.82</v>
      </c>
      <c r="D1578" t="s">
        <v>10</v>
      </c>
      <c r="E1578" t="s">
        <v>15</v>
      </c>
      <c r="F1578" t="s">
        <v>34</v>
      </c>
      <c r="G1578">
        <v>2</v>
      </c>
      <c r="H1578">
        <v>9</v>
      </c>
      <c r="I1578" s="13">
        <v>45559</v>
      </c>
      <c r="J1578" s="13" t="str">
        <f>TEXT(Table1[[#This Row],[Date]],"[$-en-US]mmm yyyy")</f>
        <v>Sep 2024</v>
      </c>
      <c r="K1578" s="13" t="str">
        <f>TEXT(Table1[[#This Row],[Date]],"[$-en-US]ddd")</f>
        <v>Tue</v>
      </c>
    </row>
    <row r="1579" spans="1:11" x14ac:dyDescent="0.25">
      <c r="A1579">
        <v>12</v>
      </c>
      <c r="B1579" t="s">
        <v>9</v>
      </c>
      <c r="C1579">
        <v>32.82</v>
      </c>
      <c r="D1579" t="s">
        <v>10</v>
      </c>
      <c r="E1579" t="s">
        <v>15</v>
      </c>
      <c r="F1579" t="s">
        <v>34</v>
      </c>
      <c r="G1579">
        <v>2</v>
      </c>
      <c r="H1579">
        <v>9</v>
      </c>
      <c r="I1579" s="13">
        <v>45559</v>
      </c>
      <c r="J1579" s="13" t="str">
        <f>TEXT(Table1[[#This Row],[Date]],"[$-en-US]mmm yyyy")</f>
        <v>Sep 2024</v>
      </c>
      <c r="K1579" s="13" t="str">
        <f>TEXT(Table1[[#This Row],[Date]],"[$-en-US]ddd")</f>
        <v>Tue</v>
      </c>
    </row>
    <row r="1580" spans="1:11" x14ac:dyDescent="0.25">
      <c r="A1580">
        <v>12</v>
      </c>
      <c r="B1580" t="s">
        <v>9</v>
      </c>
      <c r="C1580">
        <v>32.82</v>
      </c>
      <c r="D1580" t="s">
        <v>10</v>
      </c>
      <c r="E1580" t="s">
        <v>15</v>
      </c>
      <c r="F1580" t="s">
        <v>34</v>
      </c>
      <c r="G1580">
        <v>2</v>
      </c>
      <c r="H1580">
        <v>9</v>
      </c>
      <c r="I1580" s="13">
        <v>45559</v>
      </c>
      <c r="J1580" s="13" t="str">
        <f>TEXT(Table1[[#This Row],[Date]],"[$-en-US]mmm yyyy")</f>
        <v>Sep 2024</v>
      </c>
      <c r="K1580" s="13" t="str">
        <f>TEXT(Table1[[#This Row],[Date]],"[$-en-US]ddd")</f>
        <v>Tue</v>
      </c>
    </row>
    <row r="1581" spans="1:11" x14ac:dyDescent="0.25">
      <c r="A1581">
        <v>14</v>
      </c>
      <c r="B1581" t="s">
        <v>9</v>
      </c>
      <c r="C1581">
        <v>32.82</v>
      </c>
      <c r="D1581" t="s">
        <v>10</v>
      </c>
      <c r="E1581" t="s">
        <v>15</v>
      </c>
      <c r="F1581" t="s">
        <v>34</v>
      </c>
      <c r="G1581">
        <v>2</v>
      </c>
      <c r="H1581">
        <v>9</v>
      </c>
      <c r="I1581" s="13">
        <v>45559</v>
      </c>
      <c r="J1581" s="13" t="str">
        <f>TEXT(Table1[[#This Row],[Date]],"[$-en-US]mmm yyyy")</f>
        <v>Sep 2024</v>
      </c>
      <c r="K1581" s="13" t="str">
        <f>TEXT(Table1[[#This Row],[Date]],"[$-en-US]ddd")</f>
        <v>Tue</v>
      </c>
    </row>
    <row r="1582" spans="1:11" x14ac:dyDescent="0.25">
      <c r="A1582">
        <v>14</v>
      </c>
      <c r="B1582" t="s">
        <v>9</v>
      </c>
      <c r="C1582">
        <v>23.02</v>
      </c>
      <c r="D1582" t="s">
        <v>22</v>
      </c>
      <c r="E1582" t="s">
        <v>15</v>
      </c>
      <c r="F1582" t="s">
        <v>34</v>
      </c>
      <c r="G1582">
        <v>2</v>
      </c>
      <c r="H1582">
        <v>9</v>
      </c>
      <c r="I1582" s="13">
        <v>45559</v>
      </c>
      <c r="J1582" s="13" t="str">
        <f>TEXT(Table1[[#This Row],[Date]],"[$-en-US]mmm yyyy")</f>
        <v>Sep 2024</v>
      </c>
      <c r="K1582" s="13" t="str">
        <f>TEXT(Table1[[#This Row],[Date]],"[$-en-US]ddd")</f>
        <v>Tue</v>
      </c>
    </row>
    <row r="1583" spans="1:11" x14ac:dyDescent="0.25">
      <c r="A1583">
        <v>15</v>
      </c>
      <c r="B1583" t="s">
        <v>9</v>
      </c>
      <c r="C1583">
        <v>32.82</v>
      </c>
      <c r="D1583" t="s">
        <v>27</v>
      </c>
      <c r="E1583" t="s">
        <v>15</v>
      </c>
      <c r="F1583" t="s">
        <v>34</v>
      </c>
      <c r="G1583">
        <v>2</v>
      </c>
      <c r="H1583">
        <v>9</v>
      </c>
      <c r="I1583" s="13">
        <v>45559</v>
      </c>
      <c r="J1583" s="13" t="str">
        <f>TEXT(Table1[[#This Row],[Date]],"[$-en-US]mmm yyyy")</f>
        <v>Sep 2024</v>
      </c>
      <c r="K1583" s="13" t="str">
        <f>TEXT(Table1[[#This Row],[Date]],"[$-en-US]ddd")</f>
        <v>Tue</v>
      </c>
    </row>
    <row r="1584" spans="1:11" x14ac:dyDescent="0.25">
      <c r="A1584">
        <v>16</v>
      </c>
      <c r="B1584" t="s">
        <v>9</v>
      </c>
      <c r="C1584">
        <v>32.82</v>
      </c>
      <c r="D1584" t="s">
        <v>10</v>
      </c>
      <c r="E1584" t="s">
        <v>15</v>
      </c>
      <c r="F1584" t="s">
        <v>34</v>
      </c>
      <c r="G1584">
        <v>2</v>
      </c>
      <c r="H1584">
        <v>9</v>
      </c>
      <c r="I1584" s="13">
        <v>45559</v>
      </c>
      <c r="J1584" s="13" t="str">
        <f>TEXT(Table1[[#This Row],[Date]],"[$-en-US]mmm yyyy")</f>
        <v>Sep 2024</v>
      </c>
      <c r="K1584" s="13" t="str">
        <f>TEXT(Table1[[#This Row],[Date]],"[$-en-US]ddd")</f>
        <v>Tue</v>
      </c>
    </row>
    <row r="1585" spans="1:11" x14ac:dyDescent="0.25">
      <c r="A1585">
        <v>18</v>
      </c>
      <c r="B1585" t="s">
        <v>9</v>
      </c>
      <c r="C1585">
        <v>23.02</v>
      </c>
      <c r="D1585" t="s">
        <v>16</v>
      </c>
      <c r="E1585" t="s">
        <v>18</v>
      </c>
      <c r="F1585" t="s">
        <v>34</v>
      </c>
      <c r="G1585">
        <v>2</v>
      </c>
      <c r="H1585">
        <v>9</v>
      </c>
      <c r="I1585" s="13">
        <v>45559</v>
      </c>
      <c r="J1585" s="13" t="str">
        <f>TEXT(Table1[[#This Row],[Date]],"[$-en-US]mmm yyyy")</f>
        <v>Sep 2024</v>
      </c>
      <c r="K1585" s="13" t="str">
        <f>TEXT(Table1[[#This Row],[Date]],"[$-en-US]ddd")</f>
        <v>Tue</v>
      </c>
    </row>
    <row r="1586" spans="1:11" x14ac:dyDescent="0.25">
      <c r="A1586">
        <v>18</v>
      </c>
      <c r="B1586" t="s">
        <v>9</v>
      </c>
      <c r="C1586">
        <v>23.02</v>
      </c>
      <c r="D1586" t="s">
        <v>16</v>
      </c>
      <c r="E1586" t="s">
        <v>18</v>
      </c>
      <c r="F1586" t="s">
        <v>34</v>
      </c>
      <c r="G1586">
        <v>2</v>
      </c>
      <c r="H1586">
        <v>9</v>
      </c>
      <c r="I1586" s="13">
        <v>45559</v>
      </c>
      <c r="J1586" s="13" t="str">
        <f>TEXT(Table1[[#This Row],[Date]],"[$-en-US]mmm yyyy")</f>
        <v>Sep 2024</v>
      </c>
      <c r="K1586" s="13" t="str">
        <f>TEXT(Table1[[#This Row],[Date]],"[$-en-US]ddd")</f>
        <v>Tue</v>
      </c>
    </row>
    <row r="1587" spans="1:11" x14ac:dyDescent="0.25">
      <c r="A1587">
        <v>20</v>
      </c>
      <c r="B1587" t="s">
        <v>9</v>
      </c>
      <c r="C1587">
        <v>32.82</v>
      </c>
      <c r="D1587" t="s">
        <v>14</v>
      </c>
      <c r="E1587" t="s">
        <v>18</v>
      </c>
      <c r="F1587" t="s">
        <v>34</v>
      </c>
      <c r="G1587">
        <v>2</v>
      </c>
      <c r="H1587">
        <v>9</v>
      </c>
      <c r="I1587" s="13">
        <v>45559</v>
      </c>
      <c r="J1587" s="13" t="str">
        <f>TEXT(Table1[[#This Row],[Date]],"[$-en-US]mmm yyyy")</f>
        <v>Sep 2024</v>
      </c>
      <c r="K1587" s="13" t="str">
        <f>TEXT(Table1[[#This Row],[Date]],"[$-en-US]ddd")</f>
        <v>Tue</v>
      </c>
    </row>
    <row r="1588" spans="1:11" x14ac:dyDescent="0.25">
      <c r="A1588">
        <v>21</v>
      </c>
      <c r="B1588" t="s">
        <v>9</v>
      </c>
      <c r="C1588">
        <v>32.82</v>
      </c>
      <c r="D1588" t="s">
        <v>10</v>
      </c>
      <c r="E1588" t="s">
        <v>18</v>
      </c>
      <c r="F1588" t="s">
        <v>34</v>
      </c>
      <c r="G1588">
        <v>2</v>
      </c>
      <c r="H1588">
        <v>9</v>
      </c>
      <c r="I1588" s="13">
        <v>45559</v>
      </c>
      <c r="J1588" s="13" t="str">
        <f>TEXT(Table1[[#This Row],[Date]],"[$-en-US]mmm yyyy")</f>
        <v>Sep 2024</v>
      </c>
      <c r="K1588" s="13" t="str">
        <f>TEXT(Table1[[#This Row],[Date]],"[$-en-US]ddd")</f>
        <v>Tue</v>
      </c>
    </row>
    <row r="1589" spans="1:11" x14ac:dyDescent="0.25">
      <c r="A1589">
        <v>21</v>
      </c>
      <c r="B1589" t="s">
        <v>9</v>
      </c>
      <c r="C1589">
        <v>27.92</v>
      </c>
      <c r="D1589" t="s">
        <v>17</v>
      </c>
      <c r="E1589" t="s">
        <v>18</v>
      </c>
      <c r="F1589" t="s">
        <v>34</v>
      </c>
      <c r="G1589">
        <v>2</v>
      </c>
      <c r="H1589">
        <v>9</v>
      </c>
      <c r="I1589" s="13">
        <v>45559</v>
      </c>
      <c r="J1589" s="13" t="str">
        <f>TEXT(Table1[[#This Row],[Date]],"[$-en-US]mmm yyyy")</f>
        <v>Sep 2024</v>
      </c>
      <c r="K1589" s="13" t="str">
        <f>TEXT(Table1[[#This Row],[Date]],"[$-en-US]ddd")</f>
        <v>Tue</v>
      </c>
    </row>
    <row r="1590" spans="1:11" x14ac:dyDescent="0.25">
      <c r="A1590">
        <v>21</v>
      </c>
      <c r="B1590" t="s">
        <v>9</v>
      </c>
      <c r="C1590">
        <v>27.92</v>
      </c>
      <c r="D1590" t="s">
        <v>17</v>
      </c>
      <c r="E1590" t="s">
        <v>18</v>
      </c>
      <c r="F1590" t="s">
        <v>34</v>
      </c>
      <c r="G1590">
        <v>2</v>
      </c>
      <c r="H1590">
        <v>9</v>
      </c>
      <c r="I1590" s="13">
        <v>45559</v>
      </c>
      <c r="J1590" s="13" t="str">
        <f>TEXT(Table1[[#This Row],[Date]],"[$-en-US]mmm yyyy")</f>
        <v>Sep 2024</v>
      </c>
      <c r="K1590" s="13" t="str">
        <f>TEXT(Table1[[#This Row],[Date]],"[$-en-US]ddd")</f>
        <v>Tue</v>
      </c>
    </row>
    <row r="1591" spans="1:11" x14ac:dyDescent="0.25">
      <c r="A1591">
        <v>7</v>
      </c>
      <c r="B1591" t="s">
        <v>9</v>
      </c>
      <c r="C1591">
        <v>32.82</v>
      </c>
      <c r="D1591" t="s">
        <v>27</v>
      </c>
      <c r="E1591" t="s">
        <v>11</v>
      </c>
      <c r="F1591" t="s">
        <v>34</v>
      </c>
      <c r="G1591">
        <v>3</v>
      </c>
      <c r="H1591">
        <v>9</v>
      </c>
      <c r="I1591" s="13">
        <v>45560</v>
      </c>
      <c r="J1591" s="13" t="str">
        <f>TEXT(Table1[[#This Row],[Date]],"[$-en-US]mmm yyyy")</f>
        <v>Sep 2024</v>
      </c>
      <c r="K1591" s="13" t="str">
        <f>TEXT(Table1[[#This Row],[Date]],"[$-en-US]ddd")</f>
        <v>Wed</v>
      </c>
    </row>
    <row r="1592" spans="1:11" x14ac:dyDescent="0.25">
      <c r="A1592">
        <v>11</v>
      </c>
      <c r="B1592" t="s">
        <v>9</v>
      </c>
      <c r="C1592">
        <v>23.02</v>
      </c>
      <c r="D1592" t="s">
        <v>22</v>
      </c>
      <c r="E1592" t="s">
        <v>11</v>
      </c>
      <c r="F1592" t="s">
        <v>34</v>
      </c>
      <c r="G1592">
        <v>3</v>
      </c>
      <c r="H1592">
        <v>9</v>
      </c>
      <c r="I1592" s="13">
        <v>45560</v>
      </c>
      <c r="J1592" s="13" t="str">
        <f>TEXT(Table1[[#This Row],[Date]],"[$-en-US]mmm yyyy")</f>
        <v>Sep 2024</v>
      </c>
      <c r="K1592" s="13" t="str">
        <f>TEXT(Table1[[#This Row],[Date]],"[$-en-US]ddd")</f>
        <v>Wed</v>
      </c>
    </row>
    <row r="1593" spans="1:11" x14ac:dyDescent="0.25">
      <c r="A1593">
        <v>11</v>
      </c>
      <c r="B1593" t="s">
        <v>9</v>
      </c>
      <c r="C1593">
        <v>27.92</v>
      </c>
      <c r="D1593" t="s">
        <v>17</v>
      </c>
      <c r="E1593" t="s">
        <v>11</v>
      </c>
      <c r="F1593" t="s">
        <v>34</v>
      </c>
      <c r="G1593">
        <v>3</v>
      </c>
      <c r="H1593">
        <v>9</v>
      </c>
      <c r="I1593" s="13">
        <v>45560</v>
      </c>
      <c r="J1593" s="13" t="str">
        <f>TEXT(Table1[[#This Row],[Date]],"[$-en-US]mmm yyyy")</f>
        <v>Sep 2024</v>
      </c>
      <c r="K1593" s="13" t="str">
        <f>TEXT(Table1[[#This Row],[Date]],"[$-en-US]ddd")</f>
        <v>Wed</v>
      </c>
    </row>
    <row r="1594" spans="1:11" x14ac:dyDescent="0.25">
      <c r="A1594">
        <v>11</v>
      </c>
      <c r="B1594" t="s">
        <v>9</v>
      </c>
      <c r="C1594">
        <v>32.82</v>
      </c>
      <c r="D1594" t="s">
        <v>10</v>
      </c>
      <c r="E1594" t="s">
        <v>11</v>
      </c>
      <c r="F1594" t="s">
        <v>34</v>
      </c>
      <c r="G1594">
        <v>3</v>
      </c>
      <c r="H1594">
        <v>9</v>
      </c>
      <c r="I1594" s="13">
        <v>45560</v>
      </c>
      <c r="J1594" s="13" t="str">
        <f>TEXT(Table1[[#This Row],[Date]],"[$-en-US]mmm yyyy")</f>
        <v>Sep 2024</v>
      </c>
      <c r="K1594" s="13" t="str">
        <f>TEXT(Table1[[#This Row],[Date]],"[$-en-US]ddd")</f>
        <v>Wed</v>
      </c>
    </row>
    <row r="1595" spans="1:11" x14ac:dyDescent="0.25">
      <c r="A1595">
        <v>13</v>
      </c>
      <c r="B1595" t="s">
        <v>9</v>
      </c>
      <c r="C1595">
        <v>27.92</v>
      </c>
      <c r="D1595" t="s">
        <v>17</v>
      </c>
      <c r="E1595" t="s">
        <v>15</v>
      </c>
      <c r="F1595" t="s">
        <v>34</v>
      </c>
      <c r="G1595">
        <v>3</v>
      </c>
      <c r="H1595">
        <v>9</v>
      </c>
      <c r="I1595" s="13">
        <v>45560</v>
      </c>
      <c r="J1595" s="13" t="str">
        <f>TEXT(Table1[[#This Row],[Date]],"[$-en-US]mmm yyyy")</f>
        <v>Sep 2024</v>
      </c>
      <c r="K1595" s="13" t="str">
        <f>TEXT(Table1[[#This Row],[Date]],"[$-en-US]ddd")</f>
        <v>Wed</v>
      </c>
    </row>
    <row r="1596" spans="1:11" x14ac:dyDescent="0.25">
      <c r="A1596">
        <v>13</v>
      </c>
      <c r="B1596" t="s">
        <v>9</v>
      </c>
      <c r="C1596">
        <v>27.92</v>
      </c>
      <c r="D1596" t="s">
        <v>17</v>
      </c>
      <c r="E1596" t="s">
        <v>15</v>
      </c>
      <c r="F1596" t="s">
        <v>34</v>
      </c>
      <c r="G1596">
        <v>3</v>
      </c>
      <c r="H1596">
        <v>9</v>
      </c>
      <c r="I1596" s="13">
        <v>45560</v>
      </c>
      <c r="J1596" s="13" t="str">
        <f>TEXT(Table1[[#This Row],[Date]],"[$-en-US]mmm yyyy")</f>
        <v>Sep 2024</v>
      </c>
      <c r="K1596" s="13" t="str">
        <f>TEXT(Table1[[#This Row],[Date]],"[$-en-US]ddd")</f>
        <v>Wed</v>
      </c>
    </row>
    <row r="1597" spans="1:11" x14ac:dyDescent="0.25">
      <c r="A1597">
        <v>17</v>
      </c>
      <c r="B1597" t="s">
        <v>9</v>
      </c>
      <c r="C1597">
        <v>27.92</v>
      </c>
      <c r="D1597" t="s">
        <v>17</v>
      </c>
      <c r="E1597" t="s">
        <v>18</v>
      </c>
      <c r="F1597" t="s">
        <v>34</v>
      </c>
      <c r="G1597">
        <v>3</v>
      </c>
      <c r="H1597">
        <v>9</v>
      </c>
      <c r="I1597" s="13">
        <v>45560</v>
      </c>
      <c r="J1597" s="13" t="str">
        <f>TEXT(Table1[[#This Row],[Date]],"[$-en-US]mmm yyyy")</f>
        <v>Sep 2024</v>
      </c>
      <c r="K1597" s="13" t="str">
        <f>TEXT(Table1[[#This Row],[Date]],"[$-en-US]ddd")</f>
        <v>Wed</v>
      </c>
    </row>
    <row r="1598" spans="1:11" x14ac:dyDescent="0.25">
      <c r="A1598">
        <v>17</v>
      </c>
      <c r="B1598" t="s">
        <v>9</v>
      </c>
      <c r="C1598">
        <v>27.92</v>
      </c>
      <c r="D1598" t="s">
        <v>17</v>
      </c>
      <c r="E1598" t="s">
        <v>18</v>
      </c>
      <c r="F1598" t="s">
        <v>34</v>
      </c>
      <c r="G1598">
        <v>3</v>
      </c>
      <c r="H1598">
        <v>9</v>
      </c>
      <c r="I1598" s="13">
        <v>45560</v>
      </c>
      <c r="J1598" s="13" t="str">
        <f>TEXT(Table1[[#This Row],[Date]],"[$-en-US]mmm yyyy")</f>
        <v>Sep 2024</v>
      </c>
      <c r="K1598" s="13" t="str">
        <f>TEXT(Table1[[#This Row],[Date]],"[$-en-US]ddd")</f>
        <v>Wed</v>
      </c>
    </row>
    <row r="1599" spans="1:11" x14ac:dyDescent="0.25">
      <c r="A1599">
        <v>21</v>
      </c>
      <c r="B1599" t="s">
        <v>9</v>
      </c>
      <c r="C1599">
        <v>23.02</v>
      </c>
      <c r="D1599" t="s">
        <v>16</v>
      </c>
      <c r="E1599" t="s">
        <v>18</v>
      </c>
      <c r="F1599" t="s">
        <v>34</v>
      </c>
      <c r="G1599">
        <v>3</v>
      </c>
      <c r="H1599">
        <v>9</v>
      </c>
      <c r="I1599" s="13">
        <v>45560</v>
      </c>
      <c r="J1599" s="13" t="str">
        <f>TEXT(Table1[[#This Row],[Date]],"[$-en-US]mmm yyyy")</f>
        <v>Sep 2024</v>
      </c>
      <c r="K1599" s="13" t="str">
        <f>TEXT(Table1[[#This Row],[Date]],"[$-en-US]ddd")</f>
        <v>Wed</v>
      </c>
    </row>
    <row r="1600" spans="1:11" x14ac:dyDescent="0.25">
      <c r="A1600">
        <v>22</v>
      </c>
      <c r="B1600" t="s">
        <v>9</v>
      </c>
      <c r="C1600">
        <v>27.92</v>
      </c>
      <c r="D1600" t="s">
        <v>17</v>
      </c>
      <c r="E1600" t="s">
        <v>18</v>
      </c>
      <c r="F1600" t="s">
        <v>34</v>
      </c>
      <c r="G1600">
        <v>3</v>
      </c>
      <c r="H1600">
        <v>9</v>
      </c>
      <c r="I1600" s="13">
        <v>45560</v>
      </c>
      <c r="J1600" s="13" t="str">
        <f>TEXT(Table1[[#This Row],[Date]],"[$-en-US]mmm yyyy")</f>
        <v>Sep 2024</v>
      </c>
      <c r="K1600" s="13" t="str">
        <f>TEXT(Table1[[#This Row],[Date]],"[$-en-US]ddd")</f>
        <v>Wed</v>
      </c>
    </row>
    <row r="1601" spans="1:11" x14ac:dyDescent="0.25">
      <c r="A1601">
        <v>8</v>
      </c>
      <c r="B1601" t="s">
        <v>9</v>
      </c>
      <c r="C1601">
        <v>32.82</v>
      </c>
      <c r="D1601" t="s">
        <v>10</v>
      </c>
      <c r="E1601" t="s">
        <v>11</v>
      </c>
      <c r="F1601" t="s">
        <v>34</v>
      </c>
      <c r="G1601">
        <v>4</v>
      </c>
      <c r="H1601">
        <v>9</v>
      </c>
      <c r="I1601" s="13">
        <v>45561</v>
      </c>
      <c r="J1601" s="13" t="str">
        <f>TEXT(Table1[[#This Row],[Date]],"[$-en-US]mmm yyyy")</f>
        <v>Sep 2024</v>
      </c>
      <c r="K1601" s="13" t="str">
        <f>TEXT(Table1[[#This Row],[Date]],"[$-en-US]ddd")</f>
        <v>Thu</v>
      </c>
    </row>
    <row r="1602" spans="1:11" x14ac:dyDescent="0.25">
      <c r="A1602">
        <v>10</v>
      </c>
      <c r="B1602" t="s">
        <v>9</v>
      </c>
      <c r="C1602">
        <v>27.92</v>
      </c>
      <c r="D1602" t="s">
        <v>17</v>
      </c>
      <c r="E1602" t="s">
        <v>11</v>
      </c>
      <c r="F1602" t="s">
        <v>34</v>
      </c>
      <c r="G1602">
        <v>4</v>
      </c>
      <c r="H1602">
        <v>9</v>
      </c>
      <c r="I1602" s="13">
        <v>45561</v>
      </c>
      <c r="J1602" s="13" t="str">
        <f>TEXT(Table1[[#This Row],[Date]],"[$-en-US]mmm yyyy")</f>
        <v>Sep 2024</v>
      </c>
      <c r="K1602" s="13" t="str">
        <f>TEXT(Table1[[#This Row],[Date]],"[$-en-US]ddd")</f>
        <v>Thu</v>
      </c>
    </row>
    <row r="1603" spans="1:11" x14ac:dyDescent="0.25">
      <c r="A1603">
        <v>10</v>
      </c>
      <c r="B1603" t="s">
        <v>9</v>
      </c>
      <c r="C1603">
        <v>18.12</v>
      </c>
      <c r="D1603" t="s">
        <v>24</v>
      </c>
      <c r="E1603" t="s">
        <v>11</v>
      </c>
      <c r="F1603" t="s">
        <v>34</v>
      </c>
      <c r="G1603">
        <v>4</v>
      </c>
      <c r="H1603">
        <v>9</v>
      </c>
      <c r="I1603" s="13">
        <v>45561</v>
      </c>
      <c r="J1603" s="13" t="str">
        <f>TEXT(Table1[[#This Row],[Date]],"[$-en-US]mmm yyyy")</f>
        <v>Sep 2024</v>
      </c>
      <c r="K1603" s="13" t="str">
        <f>TEXT(Table1[[#This Row],[Date]],"[$-en-US]ddd")</f>
        <v>Thu</v>
      </c>
    </row>
    <row r="1604" spans="1:11" x14ac:dyDescent="0.25">
      <c r="A1604">
        <v>11</v>
      </c>
      <c r="B1604" t="s">
        <v>9</v>
      </c>
      <c r="C1604">
        <v>32.82</v>
      </c>
      <c r="D1604" t="s">
        <v>27</v>
      </c>
      <c r="E1604" t="s">
        <v>11</v>
      </c>
      <c r="F1604" t="s">
        <v>34</v>
      </c>
      <c r="G1604">
        <v>4</v>
      </c>
      <c r="H1604">
        <v>9</v>
      </c>
      <c r="I1604" s="13">
        <v>45561</v>
      </c>
      <c r="J1604" s="13" t="str">
        <f>TEXT(Table1[[#This Row],[Date]],"[$-en-US]mmm yyyy")</f>
        <v>Sep 2024</v>
      </c>
      <c r="K1604" s="13" t="str">
        <f>TEXT(Table1[[#This Row],[Date]],"[$-en-US]ddd")</f>
        <v>Thu</v>
      </c>
    </row>
    <row r="1605" spans="1:11" x14ac:dyDescent="0.25">
      <c r="A1605">
        <v>12</v>
      </c>
      <c r="B1605" t="s">
        <v>9</v>
      </c>
      <c r="C1605">
        <v>32.82</v>
      </c>
      <c r="D1605" t="s">
        <v>10</v>
      </c>
      <c r="E1605" t="s">
        <v>15</v>
      </c>
      <c r="F1605" t="s">
        <v>34</v>
      </c>
      <c r="G1605">
        <v>4</v>
      </c>
      <c r="H1605">
        <v>9</v>
      </c>
      <c r="I1605" s="13">
        <v>45561</v>
      </c>
      <c r="J1605" s="13" t="str">
        <f>TEXT(Table1[[#This Row],[Date]],"[$-en-US]mmm yyyy")</f>
        <v>Sep 2024</v>
      </c>
      <c r="K1605" s="13" t="str">
        <f>TEXT(Table1[[#This Row],[Date]],"[$-en-US]ddd")</f>
        <v>Thu</v>
      </c>
    </row>
    <row r="1606" spans="1:11" x14ac:dyDescent="0.25">
      <c r="A1606">
        <v>18</v>
      </c>
      <c r="B1606" t="s">
        <v>9</v>
      </c>
      <c r="C1606">
        <v>32.82</v>
      </c>
      <c r="D1606" t="s">
        <v>10</v>
      </c>
      <c r="E1606" t="s">
        <v>18</v>
      </c>
      <c r="F1606" t="s">
        <v>34</v>
      </c>
      <c r="G1606">
        <v>4</v>
      </c>
      <c r="H1606">
        <v>9</v>
      </c>
      <c r="I1606" s="13">
        <v>45561</v>
      </c>
      <c r="J1606" s="13" t="str">
        <f>TEXT(Table1[[#This Row],[Date]],"[$-en-US]mmm yyyy")</f>
        <v>Sep 2024</v>
      </c>
      <c r="K1606" s="13" t="str">
        <f>TEXT(Table1[[#This Row],[Date]],"[$-en-US]ddd")</f>
        <v>Thu</v>
      </c>
    </row>
    <row r="1607" spans="1:11" x14ac:dyDescent="0.25">
      <c r="A1607">
        <v>22</v>
      </c>
      <c r="B1607" t="s">
        <v>9</v>
      </c>
      <c r="C1607">
        <v>32.82</v>
      </c>
      <c r="D1607" t="s">
        <v>10</v>
      </c>
      <c r="E1607" t="s">
        <v>18</v>
      </c>
      <c r="F1607" t="s">
        <v>34</v>
      </c>
      <c r="G1607">
        <v>4</v>
      </c>
      <c r="H1607">
        <v>9</v>
      </c>
      <c r="I1607" s="13">
        <v>45561</v>
      </c>
      <c r="J1607" s="13" t="str">
        <f>TEXT(Table1[[#This Row],[Date]],"[$-en-US]mmm yyyy")</f>
        <v>Sep 2024</v>
      </c>
      <c r="K1607" s="13" t="str">
        <f>TEXT(Table1[[#This Row],[Date]],"[$-en-US]ddd")</f>
        <v>Thu</v>
      </c>
    </row>
    <row r="1608" spans="1:11" x14ac:dyDescent="0.25">
      <c r="A1608">
        <v>22</v>
      </c>
      <c r="B1608" t="s">
        <v>9</v>
      </c>
      <c r="C1608">
        <v>23.02</v>
      </c>
      <c r="D1608" t="s">
        <v>22</v>
      </c>
      <c r="E1608" t="s">
        <v>18</v>
      </c>
      <c r="F1608" t="s">
        <v>34</v>
      </c>
      <c r="G1608">
        <v>4</v>
      </c>
      <c r="H1608">
        <v>9</v>
      </c>
      <c r="I1608" s="13">
        <v>45561</v>
      </c>
      <c r="J1608" s="13" t="str">
        <f>TEXT(Table1[[#This Row],[Date]],"[$-en-US]mmm yyyy")</f>
        <v>Sep 2024</v>
      </c>
      <c r="K1608" s="13" t="str">
        <f>TEXT(Table1[[#This Row],[Date]],"[$-en-US]ddd")</f>
        <v>Thu</v>
      </c>
    </row>
    <row r="1609" spans="1:11" x14ac:dyDescent="0.25">
      <c r="A1609">
        <v>22</v>
      </c>
      <c r="B1609" t="s">
        <v>9</v>
      </c>
      <c r="C1609">
        <v>27.92</v>
      </c>
      <c r="D1609" t="s">
        <v>17</v>
      </c>
      <c r="E1609" t="s">
        <v>18</v>
      </c>
      <c r="F1609" t="s">
        <v>34</v>
      </c>
      <c r="G1609">
        <v>4</v>
      </c>
      <c r="H1609">
        <v>9</v>
      </c>
      <c r="I1609" s="13">
        <v>45561</v>
      </c>
      <c r="J1609" s="13" t="str">
        <f>TEXT(Table1[[#This Row],[Date]],"[$-en-US]mmm yyyy")</f>
        <v>Sep 2024</v>
      </c>
      <c r="K1609" s="13" t="str">
        <f>TEXT(Table1[[#This Row],[Date]],"[$-en-US]ddd")</f>
        <v>Thu</v>
      </c>
    </row>
    <row r="1610" spans="1:11" x14ac:dyDescent="0.25">
      <c r="A1610">
        <v>9</v>
      </c>
      <c r="B1610" t="s">
        <v>9</v>
      </c>
      <c r="C1610">
        <v>27.92</v>
      </c>
      <c r="D1610" t="s">
        <v>17</v>
      </c>
      <c r="E1610" t="s">
        <v>11</v>
      </c>
      <c r="F1610" t="s">
        <v>34</v>
      </c>
      <c r="G1610">
        <v>5</v>
      </c>
      <c r="H1610">
        <v>9</v>
      </c>
      <c r="I1610" s="13">
        <v>45562</v>
      </c>
      <c r="J1610" s="13" t="str">
        <f>TEXT(Table1[[#This Row],[Date]],"[$-en-US]mmm yyyy")</f>
        <v>Sep 2024</v>
      </c>
      <c r="K1610" s="13" t="str">
        <f>TEXT(Table1[[#This Row],[Date]],"[$-en-US]ddd")</f>
        <v>Fri</v>
      </c>
    </row>
    <row r="1611" spans="1:11" x14ac:dyDescent="0.25">
      <c r="A1611">
        <v>9</v>
      </c>
      <c r="B1611" t="s">
        <v>9</v>
      </c>
      <c r="C1611">
        <v>23.02</v>
      </c>
      <c r="D1611" t="s">
        <v>22</v>
      </c>
      <c r="E1611" t="s">
        <v>11</v>
      </c>
      <c r="F1611" t="s">
        <v>34</v>
      </c>
      <c r="G1611">
        <v>5</v>
      </c>
      <c r="H1611">
        <v>9</v>
      </c>
      <c r="I1611" s="13">
        <v>45562</v>
      </c>
      <c r="J1611" s="13" t="str">
        <f>TEXT(Table1[[#This Row],[Date]],"[$-en-US]mmm yyyy")</f>
        <v>Sep 2024</v>
      </c>
      <c r="K1611" s="13" t="str">
        <f>TEXT(Table1[[#This Row],[Date]],"[$-en-US]ddd")</f>
        <v>Fri</v>
      </c>
    </row>
    <row r="1612" spans="1:11" x14ac:dyDescent="0.25">
      <c r="A1612">
        <v>9</v>
      </c>
      <c r="B1612" t="s">
        <v>9</v>
      </c>
      <c r="C1612">
        <v>32.82</v>
      </c>
      <c r="D1612" t="s">
        <v>27</v>
      </c>
      <c r="E1612" t="s">
        <v>11</v>
      </c>
      <c r="F1612" t="s">
        <v>34</v>
      </c>
      <c r="G1612">
        <v>5</v>
      </c>
      <c r="H1612">
        <v>9</v>
      </c>
      <c r="I1612" s="13">
        <v>45562</v>
      </c>
      <c r="J1612" s="13" t="str">
        <f>TEXT(Table1[[#This Row],[Date]],"[$-en-US]mmm yyyy")</f>
        <v>Sep 2024</v>
      </c>
      <c r="K1612" s="13" t="str">
        <f>TEXT(Table1[[#This Row],[Date]],"[$-en-US]ddd")</f>
        <v>Fri</v>
      </c>
    </row>
    <row r="1613" spans="1:11" x14ac:dyDescent="0.25">
      <c r="A1613">
        <v>10</v>
      </c>
      <c r="B1613" t="s">
        <v>9</v>
      </c>
      <c r="C1613">
        <v>27.92</v>
      </c>
      <c r="D1613" t="s">
        <v>17</v>
      </c>
      <c r="E1613" t="s">
        <v>11</v>
      </c>
      <c r="F1613" t="s">
        <v>34</v>
      </c>
      <c r="G1613">
        <v>5</v>
      </c>
      <c r="H1613">
        <v>9</v>
      </c>
      <c r="I1613" s="13">
        <v>45562</v>
      </c>
      <c r="J1613" s="13" t="str">
        <f>TEXT(Table1[[#This Row],[Date]],"[$-en-US]mmm yyyy")</f>
        <v>Sep 2024</v>
      </c>
      <c r="K1613" s="13" t="str">
        <f>TEXT(Table1[[#This Row],[Date]],"[$-en-US]ddd")</f>
        <v>Fri</v>
      </c>
    </row>
    <row r="1614" spans="1:11" x14ac:dyDescent="0.25">
      <c r="A1614">
        <v>11</v>
      </c>
      <c r="B1614" t="s">
        <v>9</v>
      </c>
      <c r="C1614">
        <v>27.92</v>
      </c>
      <c r="D1614" t="s">
        <v>17</v>
      </c>
      <c r="E1614" t="s">
        <v>11</v>
      </c>
      <c r="F1614" t="s">
        <v>34</v>
      </c>
      <c r="G1614">
        <v>5</v>
      </c>
      <c r="H1614">
        <v>9</v>
      </c>
      <c r="I1614" s="13">
        <v>45562</v>
      </c>
      <c r="J1614" s="13" t="str">
        <f>TEXT(Table1[[#This Row],[Date]],"[$-en-US]mmm yyyy")</f>
        <v>Sep 2024</v>
      </c>
      <c r="K1614" s="13" t="str">
        <f>TEXT(Table1[[#This Row],[Date]],"[$-en-US]ddd")</f>
        <v>Fri</v>
      </c>
    </row>
    <row r="1615" spans="1:11" x14ac:dyDescent="0.25">
      <c r="A1615">
        <v>13</v>
      </c>
      <c r="B1615" t="s">
        <v>9</v>
      </c>
      <c r="C1615">
        <v>32.82</v>
      </c>
      <c r="D1615" t="s">
        <v>27</v>
      </c>
      <c r="E1615" t="s">
        <v>15</v>
      </c>
      <c r="F1615" t="s">
        <v>34</v>
      </c>
      <c r="G1615">
        <v>5</v>
      </c>
      <c r="H1615">
        <v>9</v>
      </c>
      <c r="I1615" s="13">
        <v>45562</v>
      </c>
      <c r="J1615" s="13" t="str">
        <f>TEXT(Table1[[#This Row],[Date]],"[$-en-US]mmm yyyy")</f>
        <v>Sep 2024</v>
      </c>
      <c r="K1615" s="13" t="str">
        <f>TEXT(Table1[[#This Row],[Date]],"[$-en-US]ddd")</f>
        <v>Fri</v>
      </c>
    </row>
    <row r="1616" spans="1:11" x14ac:dyDescent="0.25">
      <c r="A1616">
        <v>13</v>
      </c>
      <c r="B1616" t="s">
        <v>9</v>
      </c>
      <c r="C1616">
        <v>32.82</v>
      </c>
      <c r="D1616" t="s">
        <v>27</v>
      </c>
      <c r="E1616" t="s">
        <v>15</v>
      </c>
      <c r="F1616" t="s">
        <v>34</v>
      </c>
      <c r="G1616">
        <v>5</v>
      </c>
      <c r="H1616">
        <v>9</v>
      </c>
      <c r="I1616" s="13">
        <v>45562</v>
      </c>
      <c r="J1616" s="13" t="str">
        <f>TEXT(Table1[[#This Row],[Date]],"[$-en-US]mmm yyyy")</f>
        <v>Sep 2024</v>
      </c>
      <c r="K1616" s="13" t="str">
        <f>TEXT(Table1[[#This Row],[Date]],"[$-en-US]ddd")</f>
        <v>Fri</v>
      </c>
    </row>
    <row r="1617" spans="1:11" x14ac:dyDescent="0.25">
      <c r="A1617">
        <v>13</v>
      </c>
      <c r="B1617" t="s">
        <v>9</v>
      </c>
      <c r="C1617">
        <v>23.02</v>
      </c>
      <c r="D1617" t="s">
        <v>16</v>
      </c>
      <c r="E1617" t="s">
        <v>15</v>
      </c>
      <c r="F1617" t="s">
        <v>34</v>
      </c>
      <c r="G1617">
        <v>5</v>
      </c>
      <c r="H1617">
        <v>9</v>
      </c>
      <c r="I1617" s="13">
        <v>45562</v>
      </c>
      <c r="J1617" s="13" t="str">
        <f>TEXT(Table1[[#This Row],[Date]],"[$-en-US]mmm yyyy")</f>
        <v>Sep 2024</v>
      </c>
      <c r="K1617" s="13" t="str">
        <f>TEXT(Table1[[#This Row],[Date]],"[$-en-US]ddd")</f>
        <v>Fri</v>
      </c>
    </row>
    <row r="1618" spans="1:11" x14ac:dyDescent="0.25">
      <c r="A1618">
        <v>13</v>
      </c>
      <c r="B1618" t="s">
        <v>9</v>
      </c>
      <c r="C1618">
        <v>27.92</v>
      </c>
      <c r="D1618" t="s">
        <v>17</v>
      </c>
      <c r="E1618" t="s">
        <v>15</v>
      </c>
      <c r="F1618" t="s">
        <v>34</v>
      </c>
      <c r="G1618">
        <v>5</v>
      </c>
      <c r="H1618">
        <v>9</v>
      </c>
      <c r="I1618" s="13">
        <v>45562</v>
      </c>
      <c r="J1618" s="13" t="str">
        <f>TEXT(Table1[[#This Row],[Date]],"[$-en-US]mmm yyyy")</f>
        <v>Sep 2024</v>
      </c>
      <c r="K1618" s="13" t="str">
        <f>TEXT(Table1[[#This Row],[Date]],"[$-en-US]ddd")</f>
        <v>Fri</v>
      </c>
    </row>
    <row r="1619" spans="1:11" x14ac:dyDescent="0.25">
      <c r="A1619">
        <v>18</v>
      </c>
      <c r="B1619" t="s">
        <v>9</v>
      </c>
      <c r="C1619">
        <v>32.82</v>
      </c>
      <c r="D1619" t="s">
        <v>10</v>
      </c>
      <c r="E1619" t="s">
        <v>18</v>
      </c>
      <c r="F1619" t="s">
        <v>34</v>
      </c>
      <c r="G1619">
        <v>5</v>
      </c>
      <c r="H1619">
        <v>9</v>
      </c>
      <c r="I1619" s="13">
        <v>45562</v>
      </c>
      <c r="J1619" s="13" t="str">
        <f>TEXT(Table1[[#This Row],[Date]],"[$-en-US]mmm yyyy")</f>
        <v>Sep 2024</v>
      </c>
      <c r="K1619" s="13" t="str">
        <f>TEXT(Table1[[#This Row],[Date]],"[$-en-US]ddd")</f>
        <v>Fri</v>
      </c>
    </row>
    <row r="1620" spans="1:11" x14ac:dyDescent="0.25">
      <c r="A1620">
        <v>18</v>
      </c>
      <c r="B1620" t="s">
        <v>9</v>
      </c>
      <c r="C1620">
        <v>32.82</v>
      </c>
      <c r="D1620" t="s">
        <v>10</v>
      </c>
      <c r="E1620" t="s">
        <v>18</v>
      </c>
      <c r="F1620" t="s">
        <v>34</v>
      </c>
      <c r="G1620">
        <v>5</v>
      </c>
      <c r="H1620">
        <v>9</v>
      </c>
      <c r="I1620" s="13">
        <v>45562</v>
      </c>
      <c r="J1620" s="13" t="str">
        <f>TEXT(Table1[[#This Row],[Date]],"[$-en-US]mmm yyyy")</f>
        <v>Sep 2024</v>
      </c>
      <c r="K1620" s="13" t="str">
        <f>TEXT(Table1[[#This Row],[Date]],"[$-en-US]ddd")</f>
        <v>Fri</v>
      </c>
    </row>
    <row r="1621" spans="1:11" x14ac:dyDescent="0.25">
      <c r="A1621">
        <v>18</v>
      </c>
      <c r="B1621" t="s">
        <v>9</v>
      </c>
      <c r="C1621">
        <v>32.82</v>
      </c>
      <c r="D1621" t="s">
        <v>27</v>
      </c>
      <c r="E1621" t="s">
        <v>18</v>
      </c>
      <c r="F1621" t="s">
        <v>34</v>
      </c>
      <c r="G1621">
        <v>5</v>
      </c>
      <c r="H1621">
        <v>9</v>
      </c>
      <c r="I1621" s="13">
        <v>45562</v>
      </c>
      <c r="J1621" s="13" t="str">
        <f>TEXT(Table1[[#This Row],[Date]],"[$-en-US]mmm yyyy")</f>
        <v>Sep 2024</v>
      </c>
      <c r="K1621" s="13" t="str">
        <f>TEXT(Table1[[#This Row],[Date]],"[$-en-US]ddd")</f>
        <v>Fri</v>
      </c>
    </row>
    <row r="1622" spans="1:11" x14ac:dyDescent="0.25">
      <c r="A1622">
        <v>18</v>
      </c>
      <c r="B1622" t="s">
        <v>9</v>
      </c>
      <c r="C1622">
        <v>32.82</v>
      </c>
      <c r="D1622" t="s">
        <v>27</v>
      </c>
      <c r="E1622" t="s">
        <v>18</v>
      </c>
      <c r="F1622" t="s">
        <v>34</v>
      </c>
      <c r="G1622">
        <v>5</v>
      </c>
      <c r="H1622">
        <v>9</v>
      </c>
      <c r="I1622" s="13">
        <v>45562</v>
      </c>
      <c r="J1622" s="13" t="str">
        <f>TEXT(Table1[[#This Row],[Date]],"[$-en-US]mmm yyyy")</f>
        <v>Sep 2024</v>
      </c>
      <c r="K1622" s="13" t="str">
        <f>TEXT(Table1[[#This Row],[Date]],"[$-en-US]ddd")</f>
        <v>Fri</v>
      </c>
    </row>
    <row r="1623" spans="1:11" x14ac:dyDescent="0.25">
      <c r="A1623">
        <v>20</v>
      </c>
      <c r="B1623" t="s">
        <v>9</v>
      </c>
      <c r="C1623">
        <v>32.82</v>
      </c>
      <c r="D1623" t="s">
        <v>27</v>
      </c>
      <c r="E1623" t="s">
        <v>18</v>
      </c>
      <c r="F1623" t="s">
        <v>34</v>
      </c>
      <c r="G1623">
        <v>5</v>
      </c>
      <c r="H1623">
        <v>9</v>
      </c>
      <c r="I1623" s="13">
        <v>45562</v>
      </c>
      <c r="J1623" s="13" t="str">
        <f>TEXT(Table1[[#This Row],[Date]],"[$-en-US]mmm yyyy")</f>
        <v>Sep 2024</v>
      </c>
      <c r="K1623" s="13" t="str">
        <f>TEXT(Table1[[#This Row],[Date]],"[$-en-US]ddd")</f>
        <v>Fri</v>
      </c>
    </row>
    <row r="1624" spans="1:11" x14ac:dyDescent="0.25">
      <c r="A1624">
        <v>20</v>
      </c>
      <c r="B1624" t="s">
        <v>9</v>
      </c>
      <c r="C1624">
        <v>32.82</v>
      </c>
      <c r="D1624" t="s">
        <v>27</v>
      </c>
      <c r="E1624" t="s">
        <v>18</v>
      </c>
      <c r="F1624" t="s">
        <v>34</v>
      </c>
      <c r="G1624">
        <v>5</v>
      </c>
      <c r="H1624">
        <v>9</v>
      </c>
      <c r="I1624" s="13">
        <v>45562</v>
      </c>
      <c r="J1624" s="13" t="str">
        <f>TEXT(Table1[[#This Row],[Date]],"[$-en-US]mmm yyyy")</f>
        <v>Sep 2024</v>
      </c>
      <c r="K1624" s="13" t="str">
        <f>TEXT(Table1[[#This Row],[Date]],"[$-en-US]ddd")</f>
        <v>Fri</v>
      </c>
    </row>
    <row r="1625" spans="1:11" x14ac:dyDescent="0.25">
      <c r="A1625">
        <v>20</v>
      </c>
      <c r="B1625" t="s">
        <v>9</v>
      </c>
      <c r="C1625">
        <v>27.92</v>
      </c>
      <c r="D1625" t="s">
        <v>17</v>
      </c>
      <c r="E1625" t="s">
        <v>18</v>
      </c>
      <c r="F1625" t="s">
        <v>34</v>
      </c>
      <c r="G1625">
        <v>5</v>
      </c>
      <c r="H1625">
        <v>9</v>
      </c>
      <c r="I1625" s="13">
        <v>45562</v>
      </c>
      <c r="J1625" s="13" t="str">
        <f>TEXT(Table1[[#This Row],[Date]],"[$-en-US]mmm yyyy")</f>
        <v>Sep 2024</v>
      </c>
      <c r="K1625" s="13" t="str">
        <f>TEXT(Table1[[#This Row],[Date]],"[$-en-US]ddd")</f>
        <v>Fri</v>
      </c>
    </row>
    <row r="1626" spans="1:11" x14ac:dyDescent="0.25">
      <c r="A1626">
        <v>8</v>
      </c>
      <c r="B1626" t="s">
        <v>9</v>
      </c>
      <c r="C1626">
        <v>27.92</v>
      </c>
      <c r="D1626" t="s">
        <v>17</v>
      </c>
      <c r="E1626" t="s">
        <v>11</v>
      </c>
      <c r="F1626" t="s">
        <v>34</v>
      </c>
      <c r="G1626">
        <v>6</v>
      </c>
      <c r="H1626">
        <v>9</v>
      </c>
      <c r="I1626" s="13">
        <v>45563</v>
      </c>
      <c r="J1626" s="13" t="str">
        <f>TEXT(Table1[[#This Row],[Date]],"[$-en-US]mmm yyyy")</f>
        <v>Sep 2024</v>
      </c>
      <c r="K1626" s="13" t="str">
        <f>TEXT(Table1[[#This Row],[Date]],"[$-en-US]ddd")</f>
        <v>Sat</v>
      </c>
    </row>
    <row r="1627" spans="1:11" x14ac:dyDescent="0.25">
      <c r="A1627">
        <v>9</v>
      </c>
      <c r="B1627" t="s">
        <v>9</v>
      </c>
      <c r="C1627">
        <v>27.92</v>
      </c>
      <c r="D1627" t="s">
        <v>17</v>
      </c>
      <c r="E1627" t="s">
        <v>11</v>
      </c>
      <c r="F1627" t="s">
        <v>34</v>
      </c>
      <c r="G1627">
        <v>6</v>
      </c>
      <c r="H1627">
        <v>9</v>
      </c>
      <c r="I1627" s="13">
        <v>45563</v>
      </c>
      <c r="J1627" s="13" t="str">
        <f>TEXT(Table1[[#This Row],[Date]],"[$-en-US]mmm yyyy")</f>
        <v>Sep 2024</v>
      </c>
      <c r="K1627" s="13" t="str">
        <f>TEXT(Table1[[#This Row],[Date]],"[$-en-US]ddd")</f>
        <v>Sat</v>
      </c>
    </row>
    <row r="1628" spans="1:11" x14ac:dyDescent="0.25">
      <c r="A1628">
        <v>14</v>
      </c>
      <c r="B1628" t="s">
        <v>9</v>
      </c>
      <c r="C1628">
        <v>35.76</v>
      </c>
      <c r="D1628" t="s">
        <v>10</v>
      </c>
      <c r="E1628" t="s">
        <v>15</v>
      </c>
      <c r="F1628" t="s">
        <v>34</v>
      </c>
      <c r="G1628">
        <v>6</v>
      </c>
      <c r="H1628">
        <v>9</v>
      </c>
      <c r="I1628" s="13">
        <v>45563</v>
      </c>
      <c r="J1628" s="13" t="str">
        <f>TEXT(Table1[[#This Row],[Date]],"[$-en-US]mmm yyyy")</f>
        <v>Sep 2024</v>
      </c>
      <c r="K1628" s="13" t="str">
        <f>TEXT(Table1[[#This Row],[Date]],"[$-en-US]ddd")</f>
        <v>Sat</v>
      </c>
    </row>
    <row r="1629" spans="1:11" x14ac:dyDescent="0.25">
      <c r="A1629">
        <v>16</v>
      </c>
      <c r="B1629" t="s">
        <v>9</v>
      </c>
      <c r="C1629">
        <v>35.76</v>
      </c>
      <c r="D1629" t="s">
        <v>10</v>
      </c>
      <c r="E1629" t="s">
        <v>15</v>
      </c>
      <c r="F1629" t="s">
        <v>34</v>
      </c>
      <c r="G1629">
        <v>6</v>
      </c>
      <c r="H1629">
        <v>9</v>
      </c>
      <c r="I1629" s="13">
        <v>45563</v>
      </c>
      <c r="J1629" s="13" t="str">
        <f>TEXT(Table1[[#This Row],[Date]],"[$-en-US]mmm yyyy")</f>
        <v>Sep 2024</v>
      </c>
      <c r="K1629" s="13" t="str">
        <f>TEXT(Table1[[#This Row],[Date]],"[$-en-US]ddd")</f>
        <v>Sat</v>
      </c>
    </row>
    <row r="1630" spans="1:11" x14ac:dyDescent="0.25">
      <c r="A1630">
        <v>17</v>
      </c>
      <c r="B1630" t="s">
        <v>9</v>
      </c>
      <c r="C1630">
        <v>30.86</v>
      </c>
      <c r="D1630" t="s">
        <v>17</v>
      </c>
      <c r="E1630" t="s">
        <v>18</v>
      </c>
      <c r="F1630" t="s">
        <v>34</v>
      </c>
      <c r="G1630">
        <v>6</v>
      </c>
      <c r="H1630">
        <v>9</v>
      </c>
      <c r="I1630" s="13">
        <v>45563</v>
      </c>
      <c r="J1630" s="13" t="str">
        <f>TEXT(Table1[[#This Row],[Date]],"[$-en-US]mmm yyyy")</f>
        <v>Sep 2024</v>
      </c>
      <c r="K1630" s="13" t="str">
        <f>TEXT(Table1[[#This Row],[Date]],"[$-en-US]ddd")</f>
        <v>Sat</v>
      </c>
    </row>
    <row r="1631" spans="1:11" x14ac:dyDescent="0.25">
      <c r="A1631">
        <v>20</v>
      </c>
      <c r="B1631" t="s">
        <v>9</v>
      </c>
      <c r="C1631">
        <v>35.76</v>
      </c>
      <c r="D1631" t="s">
        <v>10</v>
      </c>
      <c r="E1631" t="s">
        <v>18</v>
      </c>
      <c r="F1631" t="s">
        <v>34</v>
      </c>
      <c r="G1631">
        <v>6</v>
      </c>
      <c r="H1631">
        <v>9</v>
      </c>
      <c r="I1631" s="13">
        <v>45563</v>
      </c>
      <c r="J1631" s="13" t="str">
        <f>TEXT(Table1[[#This Row],[Date]],"[$-en-US]mmm yyyy")</f>
        <v>Sep 2024</v>
      </c>
      <c r="K1631" s="13" t="str">
        <f>TEXT(Table1[[#This Row],[Date]],"[$-en-US]ddd")</f>
        <v>Sat</v>
      </c>
    </row>
    <row r="1632" spans="1:11" x14ac:dyDescent="0.25">
      <c r="A1632">
        <v>20</v>
      </c>
      <c r="B1632" t="s">
        <v>9</v>
      </c>
      <c r="C1632">
        <v>35.76</v>
      </c>
      <c r="D1632" t="s">
        <v>10</v>
      </c>
      <c r="E1632" t="s">
        <v>18</v>
      </c>
      <c r="F1632" t="s">
        <v>34</v>
      </c>
      <c r="G1632">
        <v>6</v>
      </c>
      <c r="H1632">
        <v>9</v>
      </c>
      <c r="I1632" s="13">
        <v>45563</v>
      </c>
      <c r="J1632" s="13" t="str">
        <f>TEXT(Table1[[#This Row],[Date]],"[$-en-US]mmm yyyy")</f>
        <v>Sep 2024</v>
      </c>
      <c r="K1632" s="13" t="str">
        <f>TEXT(Table1[[#This Row],[Date]],"[$-en-US]ddd")</f>
        <v>Sat</v>
      </c>
    </row>
    <row r="1633" spans="1:11" x14ac:dyDescent="0.25">
      <c r="A1633">
        <v>22</v>
      </c>
      <c r="B1633" t="s">
        <v>9</v>
      </c>
      <c r="C1633">
        <v>35.76</v>
      </c>
      <c r="D1633" t="s">
        <v>27</v>
      </c>
      <c r="E1633" t="s">
        <v>18</v>
      </c>
      <c r="F1633" t="s">
        <v>34</v>
      </c>
      <c r="G1633">
        <v>6</v>
      </c>
      <c r="H1633">
        <v>9</v>
      </c>
      <c r="I1633" s="13">
        <v>45563</v>
      </c>
      <c r="J1633" s="13" t="str">
        <f>TEXT(Table1[[#This Row],[Date]],"[$-en-US]mmm yyyy")</f>
        <v>Sep 2024</v>
      </c>
      <c r="K1633" s="13" t="str">
        <f>TEXT(Table1[[#This Row],[Date]],"[$-en-US]ddd")</f>
        <v>Sat</v>
      </c>
    </row>
    <row r="1634" spans="1:11" x14ac:dyDescent="0.25">
      <c r="A1634">
        <v>22</v>
      </c>
      <c r="B1634" t="s">
        <v>9</v>
      </c>
      <c r="C1634">
        <v>35.76</v>
      </c>
      <c r="D1634" t="s">
        <v>19</v>
      </c>
      <c r="E1634" t="s">
        <v>18</v>
      </c>
      <c r="F1634" t="s">
        <v>34</v>
      </c>
      <c r="G1634">
        <v>6</v>
      </c>
      <c r="H1634">
        <v>9</v>
      </c>
      <c r="I1634" s="13">
        <v>45563</v>
      </c>
      <c r="J1634" s="13" t="str">
        <f>TEXT(Table1[[#This Row],[Date]],"[$-en-US]mmm yyyy")</f>
        <v>Sep 2024</v>
      </c>
      <c r="K1634" s="13" t="str">
        <f>TEXT(Table1[[#This Row],[Date]],"[$-en-US]ddd")</f>
        <v>Sat</v>
      </c>
    </row>
    <row r="1635" spans="1:11" x14ac:dyDescent="0.25">
      <c r="A1635">
        <v>22</v>
      </c>
      <c r="B1635" t="s">
        <v>9</v>
      </c>
      <c r="C1635">
        <v>25.96</v>
      </c>
      <c r="D1635" t="s">
        <v>22</v>
      </c>
      <c r="E1635" t="s">
        <v>18</v>
      </c>
      <c r="F1635" t="s">
        <v>34</v>
      </c>
      <c r="G1635">
        <v>6</v>
      </c>
      <c r="H1635">
        <v>9</v>
      </c>
      <c r="I1635" s="13">
        <v>45563</v>
      </c>
      <c r="J1635" s="13" t="str">
        <f>TEXT(Table1[[#This Row],[Date]],"[$-en-US]mmm yyyy")</f>
        <v>Sep 2024</v>
      </c>
      <c r="K1635" s="13" t="str">
        <f>TEXT(Table1[[#This Row],[Date]],"[$-en-US]ddd")</f>
        <v>Sat</v>
      </c>
    </row>
    <row r="1636" spans="1:11" x14ac:dyDescent="0.25">
      <c r="A1636">
        <v>22</v>
      </c>
      <c r="B1636" t="s">
        <v>9</v>
      </c>
      <c r="C1636">
        <v>35.76</v>
      </c>
      <c r="D1636" t="s">
        <v>14</v>
      </c>
      <c r="E1636" t="s">
        <v>18</v>
      </c>
      <c r="F1636" t="s">
        <v>34</v>
      </c>
      <c r="G1636">
        <v>6</v>
      </c>
      <c r="H1636">
        <v>9</v>
      </c>
      <c r="I1636" s="13">
        <v>45563</v>
      </c>
      <c r="J1636" s="13" t="str">
        <f>TEXT(Table1[[#This Row],[Date]],"[$-en-US]mmm yyyy")</f>
        <v>Sep 2024</v>
      </c>
      <c r="K1636" s="13" t="str">
        <f>TEXT(Table1[[#This Row],[Date]],"[$-en-US]ddd")</f>
        <v>Sat</v>
      </c>
    </row>
    <row r="1637" spans="1:11" x14ac:dyDescent="0.25">
      <c r="A1637">
        <v>10</v>
      </c>
      <c r="B1637" t="s">
        <v>9</v>
      </c>
      <c r="C1637">
        <v>25.96</v>
      </c>
      <c r="D1637" t="s">
        <v>16</v>
      </c>
      <c r="E1637" t="s">
        <v>11</v>
      </c>
      <c r="F1637" t="s">
        <v>34</v>
      </c>
      <c r="G1637">
        <v>7</v>
      </c>
      <c r="H1637">
        <v>9</v>
      </c>
      <c r="I1637" s="13">
        <v>45564</v>
      </c>
      <c r="J1637" s="13" t="str">
        <f>TEXT(Table1[[#This Row],[Date]],"[$-en-US]mmm yyyy")</f>
        <v>Sep 2024</v>
      </c>
      <c r="K1637" s="13" t="str">
        <f>TEXT(Table1[[#This Row],[Date]],"[$-en-US]ddd")</f>
        <v>Sun</v>
      </c>
    </row>
    <row r="1638" spans="1:11" x14ac:dyDescent="0.25">
      <c r="A1638">
        <v>10</v>
      </c>
      <c r="B1638" t="s">
        <v>9</v>
      </c>
      <c r="C1638">
        <v>35.76</v>
      </c>
      <c r="D1638" t="s">
        <v>27</v>
      </c>
      <c r="E1638" t="s">
        <v>11</v>
      </c>
      <c r="F1638" t="s">
        <v>34</v>
      </c>
      <c r="G1638">
        <v>7</v>
      </c>
      <c r="H1638">
        <v>9</v>
      </c>
      <c r="I1638" s="13">
        <v>45564</v>
      </c>
      <c r="J1638" s="13" t="str">
        <f>TEXT(Table1[[#This Row],[Date]],"[$-en-US]mmm yyyy")</f>
        <v>Sep 2024</v>
      </c>
      <c r="K1638" s="13" t="str">
        <f>TEXT(Table1[[#This Row],[Date]],"[$-en-US]ddd")</f>
        <v>Sun</v>
      </c>
    </row>
    <row r="1639" spans="1:11" x14ac:dyDescent="0.25">
      <c r="A1639">
        <v>10</v>
      </c>
      <c r="B1639" t="s">
        <v>9</v>
      </c>
      <c r="C1639">
        <v>35.76</v>
      </c>
      <c r="D1639" t="s">
        <v>27</v>
      </c>
      <c r="E1639" t="s">
        <v>11</v>
      </c>
      <c r="F1639" t="s">
        <v>34</v>
      </c>
      <c r="G1639">
        <v>7</v>
      </c>
      <c r="H1639">
        <v>9</v>
      </c>
      <c r="I1639" s="13">
        <v>45564</v>
      </c>
      <c r="J1639" s="13" t="str">
        <f>TEXT(Table1[[#This Row],[Date]],"[$-en-US]mmm yyyy")</f>
        <v>Sep 2024</v>
      </c>
      <c r="K1639" s="13" t="str">
        <f>TEXT(Table1[[#This Row],[Date]],"[$-en-US]ddd")</f>
        <v>Sun</v>
      </c>
    </row>
    <row r="1640" spans="1:11" x14ac:dyDescent="0.25">
      <c r="A1640">
        <v>10</v>
      </c>
      <c r="B1640" t="s">
        <v>9</v>
      </c>
      <c r="C1640">
        <v>35.76</v>
      </c>
      <c r="D1640" t="s">
        <v>27</v>
      </c>
      <c r="E1640" t="s">
        <v>11</v>
      </c>
      <c r="F1640" t="s">
        <v>34</v>
      </c>
      <c r="G1640">
        <v>7</v>
      </c>
      <c r="H1640">
        <v>9</v>
      </c>
      <c r="I1640" s="13">
        <v>45564</v>
      </c>
      <c r="J1640" s="13" t="str">
        <f>TEXT(Table1[[#This Row],[Date]],"[$-en-US]mmm yyyy")</f>
        <v>Sep 2024</v>
      </c>
      <c r="K1640" s="13" t="str">
        <f>TEXT(Table1[[#This Row],[Date]],"[$-en-US]ddd")</f>
        <v>Sun</v>
      </c>
    </row>
    <row r="1641" spans="1:11" x14ac:dyDescent="0.25">
      <c r="A1641">
        <v>10</v>
      </c>
      <c r="B1641" t="s">
        <v>9</v>
      </c>
      <c r="C1641">
        <v>30.86</v>
      </c>
      <c r="D1641" t="s">
        <v>17</v>
      </c>
      <c r="E1641" t="s">
        <v>11</v>
      </c>
      <c r="F1641" t="s">
        <v>34</v>
      </c>
      <c r="G1641">
        <v>7</v>
      </c>
      <c r="H1641">
        <v>9</v>
      </c>
      <c r="I1641" s="13">
        <v>45564</v>
      </c>
      <c r="J1641" s="13" t="str">
        <f>TEXT(Table1[[#This Row],[Date]],"[$-en-US]mmm yyyy")</f>
        <v>Sep 2024</v>
      </c>
      <c r="K1641" s="13" t="str">
        <f>TEXT(Table1[[#This Row],[Date]],"[$-en-US]ddd")</f>
        <v>Sun</v>
      </c>
    </row>
    <row r="1642" spans="1:11" x14ac:dyDescent="0.25">
      <c r="A1642">
        <v>12</v>
      </c>
      <c r="B1642" t="s">
        <v>9</v>
      </c>
      <c r="C1642">
        <v>35.76</v>
      </c>
      <c r="D1642" t="s">
        <v>10</v>
      </c>
      <c r="E1642" t="s">
        <v>15</v>
      </c>
      <c r="F1642" t="s">
        <v>34</v>
      </c>
      <c r="G1642">
        <v>7</v>
      </c>
      <c r="H1642">
        <v>9</v>
      </c>
      <c r="I1642" s="13">
        <v>45564</v>
      </c>
      <c r="J1642" s="13" t="str">
        <f>TEXT(Table1[[#This Row],[Date]],"[$-en-US]mmm yyyy")</f>
        <v>Sep 2024</v>
      </c>
      <c r="K1642" s="13" t="str">
        <f>TEXT(Table1[[#This Row],[Date]],"[$-en-US]ddd")</f>
        <v>Sun</v>
      </c>
    </row>
    <row r="1643" spans="1:11" x14ac:dyDescent="0.25">
      <c r="A1643">
        <v>12</v>
      </c>
      <c r="B1643" t="s">
        <v>9</v>
      </c>
      <c r="C1643">
        <v>25.96</v>
      </c>
      <c r="D1643" t="s">
        <v>22</v>
      </c>
      <c r="E1643" t="s">
        <v>15</v>
      </c>
      <c r="F1643" t="s">
        <v>34</v>
      </c>
      <c r="G1643">
        <v>7</v>
      </c>
      <c r="H1643">
        <v>9</v>
      </c>
      <c r="I1643" s="13">
        <v>45564</v>
      </c>
      <c r="J1643" s="13" t="str">
        <f>TEXT(Table1[[#This Row],[Date]],"[$-en-US]mmm yyyy")</f>
        <v>Sep 2024</v>
      </c>
      <c r="K1643" s="13" t="str">
        <f>TEXT(Table1[[#This Row],[Date]],"[$-en-US]ddd")</f>
        <v>Sun</v>
      </c>
    </row>
    <row r="1644" spans="1:11" x14ac:dyDescent="0.25">
      <c r="A1644">
        <v>12</v>
      </c>
      <c r="B1644" t="s">
        <v>9</v>
      </c>
      <c r="C1644">
        <v>35.76</v>
      </c>
      <c r="D1644" t="s">
        <v>10</v>
      </c>
      <c r="E1644" t="s">
        <v>15</v>
      </c>
      <c r="F1644" t="s">
        <v>34</v>
      </c>
      <c r="G1644">
        <v>7</v>
      </c>
      <c r="H1644">
        <v>9</v>
      </c>
      <c r="I1644" s="13">
        <v>45564</v>
      </c>
      <c r="J1644" s="13" t="str">
        <f>TEXT(Table1[[#This Row],[Date]],"[$-en-US]mmm yyyy")</f>
        <v>Sep 2024</v>
      </c>
      <c r="K1644" s="13" t="str">
        <f>TEXT(Table1[[#This Row],[Date]],"[$-en-US]ddd")</f>
        <v>Sun</v>
      </c>
    </row>
    <row r="1645" spans="1:11" x14ac:dyDescent="0.25">
      <c r="A1645">
        <v>12</v>
      </c>
      <c r="B1645" t="s">
        <v>9</v>
      </c>
      <c r="C1645">
        <v>35.76</v>
      </c>
      <c r="D1645" t="s">
        <v>10</v>
      </c>
      <c r="E1645" t="s">
        <v>15</v>
      </c>
      <c r="F1645" t="s">
        <v>34</v>
      </c>
      <c r="G1645">
        <v>7</v>
      </c>
      <c r="H1645">
        <v>9</v>
      </c>
      <c r="I1645" s="13">
        <v>45564</v>
      </c>
      <c r="J1645" s="13" t="str">
        <f>TEXT(Table1[[#This Row],[Date]],"[$-en-US]mmm yyyy")</f>
        <v>Sep 2024</v>
      </c>
      <c r="K1645" s="13" t="str">
        <f>TEXT(Table1[[#This Row],[Date]],"[$-en-US]ddd")</f>
        <v>Sun</v>
      </c>
    </row>
    <row r="1646" spans="1:11" x14ac:dyDescent="0.25">
      <c r="A1646">
        <v>18</v>
      </c>
      <c r="B1646" t="s">
        <v>9</v>
      </c>
      <c r="C1646">
        <v>35.76</v>
      </c>
      <c r="D1646" t="s">
        <v>27</v>
      </c>
      <c r="E1646" t="s">
        <v>18</v>
      </c>
      <c r="F1646" t="s">
        <v>34</v>
      </c>
      <c r="G1646">
        <v>7</v>
      </c>
      <c r="H1646">
        <v>9</v>
      </c>
      <c r="I1646" s="13">
        <v>45564</v>
      </c>
      <c r="J1646" s="13" t="str">
        <f>TEXT(Table1[[#This Row],[Date]],"[$-en-US]mmm yyyy")</f>
        <v>Sep 2024</v>
      </c>
      <c r="K1646" s="13" t="str">
        <f>TEXT(Table1[[#This Row],[Date]],"[$-en-US]ddd")</f>
        <v>Sun</v>
      </c>
    </row>
    <row r="1647" spans="1:11" x14ac:dyDescent="0.25">
      <c r="A1647">
        <v>22</v>
      </c>
      <c r="B1647" t="s">
        <v>9</v>
      </c>
      <c r="C1647">
        <v>35.76</v>
      </c>
      <c r="D1647" t="s">
        <v>10</v>
      </c>
      <c r="E1647" t="s">
        <v>18</v>
      </c>
      <c r="F1647" t="s">
        <v>34</v>
      </c>
      <c r="G1647">
        <v>7</v>
      </c>
      <c r="H1647">
        <v>9</v>
      </c>
      <c r="I1647" s="13">
        <v>45564</v>
      </c>
      <c r="J1647" s="13" t="str">
        <f>TEXT(Table1[[#This Row],[Date]],"[$-en-US]mmm yyyy")</f>
        <v>Sep 2024</v>
      </c>
      <c r="K1647" s="13" t="str">
        <f>TEXT(Table1[[#This Row],[Date]],"[$-en-US]ddd")</f>
        <v>Sun</v>
      </c>
    </row>
    <row r="1648" spans="1:11" x14ac:dyDescent="0.25">
      <c r="A1648">
        <v>8</v>
      </c>
      <c r="B1648" t="s">
        <v>9</v>
      </c>
      <c r="C1648">
        <v>25.96</v>
      </c>
      <c r="D1648" t="s">
        <v>22</v>
      </c>
      <c r="E1648" t="s">
        <v>11</v>
      </c>
      <c r="F1648" t="s">
        <v>34</v>
      </c>
      <c r="G1648">
        <v>1</v>
      </c>
      <c r="H1648">
        <v>9</v>
      </c>
      <c r="I1648" s="13">
        <v>45565</v>
      </c>
      <c r="J1648" s="13" t="str">
        <f>TEXT(Table1[[#This Row],[Date]],"[$-en-US]mmm yyyy")</f>
        <v>Sep 2024</v>
      </c>
      <c r="K1648" s="13" t="str">
        <f>TEXT(Table1[[#This Row],[Date]],"[$-en-US]ddd")</f>
        <v>Mon</v>
      </c>
    </row>
    <row r="1649" spans="1:11" x14ac:dyDescent="0.25">
      <c r="A1649">
        <v>8</v>
      </c>
      <c r="B1649" t="s">
        <v>9</v>
      </c>
      <c r="C1649">
        <v>25.96</v>
      </c>
      <c r="D1649" t="s">
        <v>22</v>
      </c>
      <c r="E1649" t="s">
        <v>11</v>
      </c>
      <c r="F1649" t="s">
        <v>34</v>
      </c>
      <c r="G1649">
        <v>1</v>
      </c>
      <c r="H1649">
        <v>9</v>
      </c>
      <c r="I1649" s="13">
        <v>45565</v>
      </c>
      <c r="J1649" s="13" t="str">
        <f>TEXT(Table1[[#This Row],[Date]],"[$-en-US]mmm yyyy")</f>
        <v>Sep 2024</v>
      </c>
      <c r="K1649" s="13" t="str">
        <f>TEXT(Table1[[#This Row],[Date]],"[$-en-US]ddd")</f>
        <v>Mon</v>
      </c>
    </row>
    <row r="1650" spans="1:11" x14ac:dyDescent="0.25">
      <c r="A1650">
        <v>9</v>
      </c>
      <c r="B1650" t="s">
        <v>9</v>
      </c>
      <c r="C1650">
        <v>35.76</v>
      </c>
      <c r="D1650" t="s">
        <v>14</v>
      </c>
      <c r="E1650" t="s">
        <v>11</v>
      </c>
      <c r="F1650" t="s">
        <v>34</v>
      </c>
      <c r="G1650">
        <v>1</v>
      </c>
      <c r="H1650">
        <v>9</v>
      </c>
      <c r="I1650" s="13">
        <v>45565</v>
      </c>
      <c r="J1650" s="13" t="str">
        <f>TEXT(Table1[[#This Row],[Date]],"[$-en-US]mmm yyyy")</f>
        <v>Sep 2024</v>
      </c>
      <c r="K1650" s="13" t="str">
        <f>TEXT(Table1[[#This Row],[Date]],"[$-en-US]ddd")</f>
        <v>Mon</v>
      </c>
    </row>
    <row r="1651" spans="1:11" x14ac:dyDescent="0.25">
      <c r="A1651">
        <v>10</v>
      </c>
      <c r="B1651" t="s">
        <v>9</v>
      </c>
      <c r="C1651">
        <v>30.86</v>
      </c>
      <c r="D1651" t="s">
        <v>17</v>
      </c>
      <c r="E1651" t="s">
        <v>11</v>
      </c>
      <c r="F1651" t="s">
        <v>34</v>
      </c>
      <c r="G1651">
        <v>1</v>
      </c>
      <c r="H1651">
        <v>9</v>
      </c>
      <c r="I1651" s="13">
        <v>45565</v>
      </c>
      <c r="J1651" s="13" t="str">
        <f>TEXT(Table1[[#This Row],[Date]],"[$-en-US]mmm yyyy")</f>
        <v>Sep 2024</v>
      </c>
      <c r="K1651" s="13" t="str">
        <f>TEXT(Table1[[#This Row],[Date]],"[$-en-US]ddd")</f>
        <v>Mon</v>
      </c>
    </row>
    <row r="1652" spans="1:11" x14ac:dyDescent="0.25">
      <c r="A1652">
        <v>10</v>
      </c>
      <c r="B1652" t="s">
        <v>9</v>
      </c>
      <c r="C1652">
        <v>25.96</v>
      </c>
      <c r="D1652" t="s">
        <v>22</v>
      </c>
      <c r="E1652" t="s">
        <v>11</v>
      </c>
      <c r="F1652" t="s">
        <v>34</v>
      </c>
      <c r="G1652">
        <v>1</v>
      </c>
      <c r="H1652">
        <v>9</v>
      </c>
      <c r="I1652" s="13">
        <v>45565</v>
      </c>
      <c r="J1652" s="13" t="str">
        <f>TEXT(Table1[[#This Row],[Date]],"[$-en-US]mmm yyyy")</f>
        <v>Sep 2024</v>
      </c>
      <c r="K1652" s="13" t="str">
        <f>TEXT(Table1[[#This Row],[Date]],"[$-en-US]ddd")</f>
        <v>Mon</v>
      </c>
    </row>
    <row r="1653" spans="1:11" x14ac:dyDescent="0.25">
      <c r="A1653">
        <v>11</v>
      </c>
      <c r="B1653" t="s">
        <v>9</v>
      </c>
      <c r="C1653">
        <v>30.86</v>
      </c>
      <c r="D1653" t="s">
        <v>17</v>
      </c>
      <c r="E1653" t="s">
        <v>11</v>
      </c>
      <c r="F1653" t="s">
        <v>34</v>
      </c>
      <c r="G1653">
        <v>1</v>
      </c>
      <c r="H1653">
        <v>9</v>
      </c>
      <c r="I1653" s="13">
        <v>45565</v>
      </c>
      <c r="J1653" s="13" t="str">
        <f>TEXT(Table1[[#This Row],[Date]],"[$-en-US]mmm yyyy")</f>
        <v>Sep 2024</v>
      </c>
      <c r="K1653" s="13" t="str">
        <f>TEXT(Table1[[#This Row],[Date]],"[$-en-US]ddd")</f>
        <v>Mon</v>
      </c>
    </row>
    <row r="1654" spans="1:11" x14ac:dyDescent="0.25">
      <c r="A1654">
        <v>16</v>
      </c>
      <c r="B1654" t="s">
        <v>9</v>
      </c>
      <c r="C1654">
        <v>30.86</v>
      </c>
      <c r="D1654" t="s">
        <v>17</v>
      </c>
      <c r="E1654" t="s">
        <v>15</v>
      </c>
      <c r="F1654" t="s">
        <v>34</v>
      </c>
      <c r="G1654">
        <v>1</v>
      </c>
      <c r="H1654">
        <v>9</v>
      </c>
      <c r="I1654" s="13">
        <v>45565</v>
      </c>
      <c r="J1654" s="13" t="str">
        <f>TEXT(Table1[[#This Row],[Date]],"[$-en-US]mmm yyyy")</f>
        <v>Sep 2024</v>
      </c>
      <c r="K1654" s="13" t="str">
        <f>TEXT(Table1[[#This Row],[Date]],"[$-en-US]ddd")</f>
        <v>Mon</v>
      </c>
    </row>
    <row r="1655" spans="1:11" x14ac:dyDescent="0.25">
      <c r="A1655">
        <v>19</v>
      </c>
      <c r="B1655" t="s">
        <v>9</v>
      </c>
      <c r="C1655">
        <v>35.76</v>
      </c>
      <c r="D1655" t="s">
        <v>10</v>
      </c>
      <c r="E1655" t="s">
        <v>18</v>
      </c>
      <c r="F1655" t="s">
        <v>34</v>
      </c>
      <c r="G1655">
        <v>1</v>
      </c>
      <c r="H1655">
        <v>9</v>
      </c>
      <c r="I1655" s="13">
        <v>45565</v>
      </c>
      <c r="J1655" s="13" t="str">
        <f>TEXT(Table1[[#This Row],[Date]],"[$-en-US]mmm yyyy")</f>
        <v>Sep 2024</v>
      </c>
      <c r="K1655" s="13" t="str">
        <f>TEXT(Table1[[#This Row],[Date]],"[$-en-US]ddd")</f>
        <v>Mon</v>
      </c>
    </row>
    <row r="1656" spans="1:11" x14ac:dyDescent="0.25">
      <c r="A1656">
        <v>19</v>
      </c>
      <c r="B1656" t="s">
        <v>9</v>
      </c>
      <c r="C1656">
        <v>30.86</v>
      </c>
      <c r="D1656" t="s">
        <v>17</v>
      </c>
      <c r="E1656" t="s">
        <v>18</v>
      </c>
      <c r="F1656" t="s">
        <v>34</v>
      </c>
      <c r="G1656">
        <v>1</v>
      </c>
      <c r="H1656">
        <v>9</v>
      </c>
      <c r="I1656" s="13">
        <v>45565</v>
      </c>
      <c r="J1656" s="13" t="str">
        <f>TEXT(Table1[[#This Row],[Date]],"[$-en-US]mmm yyyy")</f>
        <v>Sep 2024</v>
      </c>
      <c r="K1656" s="13" t="str">
        <f>TEXT(Table1[[#This Row],[Date]],"[$-en-US]ddd")</f>
        <v>Mon</v>
      </c>
    </row>
    <row r="1657" spans="1:11" x14ac:dyDescent="0.25">
      <c r="A1657">
        <v>19</v>
      </c>
      <c r="B1657" t="s">
        <v>9</v>
      </c>
      <c r="C1657">
        <v>25.96</v>
      </c>
      <c r="D1657" t="s">
        <v>22</v>
      </c>
      <c r="E1657" t="s">
        <v>18</v>
      </c>
      <c r="F1657" t="s">
        <v>34</v>
      </c>
      <c r="G1657">
        <v>1</v>
      </c>
      <c r="H1657">
        <v>9</v>
      </c>
      <c r="I1657" s="13">
        <v>45565</v>
      </c>
      <c r="J1657" s="13" t="str">
        <f>TEXT(Table1[[#This Row],[Date]],"[$-en-US]mmm yyyy")</f>
        <v>Sep 2024</v>
      </c>
      <c r="K1657" s="13" t="str">
        <f>TEXT(Table1[[#This Row],[Date]],"[$-en-US]ddd")</f>
        <v>Mon</v>
      </c>
    </row>
    <row r="1658" spans="1:11" x14ac:dyDescent="0.25">
      <c r="A1658">
        <v>19</v>
      </c>
      <c r="B1658" t="s">
        <v>9</v>
      </c>
      <c r="C1658">
        <v>35.76</v>
      </c>
      <c r="D1658" t="s">
        <v>10</v>
      </c>
      <c r="E1658" t="s">
        <v>18</v>
      </c>
      <c r="F1658" t="s">
        <v>34</v>
      </c>
      <c r="G1658">
        <v>1</v>
      </c>
      <c r="H1658">
        <v>9</v>
      </c>
      <c r="I1658" s="13">
        <v>45565</v>
      </c>
      <c r="J1658" s="13" t="str">
        <f>TEXT(Table1[[#This Row],[Date]],"[$-en-US]mmm yyyy")</f>
        <v>Sep 2024</v>
      </c>
      <c r="K1658" s="13" t="str">
        <f>TEXT(Table1[[#This Row],[Date]],"[$-en-US]ddd")</f>
        <v>Mon</v>
      </c>
    </row>
    <row r="1659" spans="1:11" x14ac:dyDescent="0.25">
      <c r="A1659">
        <v>20</v>
      </c>
      <c r="B1659" t="s">
        <v>9</v>
      </c>
      <c r="C1659">
        <v>30.86</v>
      </c>
      <c r="D1659" t="s">
        <v>17</v>
      </c>
      <c r="E1659" t="s">
        <v>18</v>
      </c>
      <c r="F1659" t="s">
        <v>34</v>
      </c>
      <c r="G1659">
        <v>1</v>
      </c>
      <c r="H1659">
        <v>9</v>
      </c>
      <c r="I1659" s="13">
        <v>45565</v>
      </c>
      <c r="J1659" s="13" t="str">
        <f>TEXT(Table1[[#This Row],[Date]],"[$-en-US]mmm yyyy")</f>
        <v>Sep 2024</v>
      </c>
      <c r="K1659" s="13" t="str">
        <f>TEXT(Table1[[#This Row],[Date]],"[$-en-US]ddd")</f>
        <v>Mon</v>
      </c>
    </row>
    <row r="1660" spans="1:11" x14ac:dyDescent="0.25">
      <c r="A1660">
        <v>20</v>
      </c>
      <c r="B1660" t="s">
        <v>9</v>
      </c>
      <c r="C1660">
        <v>30.86</v>
      </c>
      <c r="D1660" t="s">
        <v>17</v>
      </c>
      <c r="E1660" t="s">
        <v>18</v>
      </c>
      <c r="F1660" t="s">
        <v>34</v>
      </c>
      <c r="G1660">
        <v>1</v>
      </c>
      <c r="H1660">
        <v>9</v>
      </c>
      <c r="I1660" s="13">
        <v>45565</v>
      </c>
      <c r="J1660" s="13" t="str">
        <f>TEXT(Table1[[#This Row],[Date]],"[$-en-US]mmm yyyy")</f>
        <v>Sep 2024</v>
      </c>
      <c r="K1660" s="13" t="str">
        <f>TEXT(Table1[[#This Row],[Date]],"[$-en-US]ddd")</f>
        <v>Mon</v>
      </c>
    </row>
    <row r="1661" spans="1:11" x14ac:dyDescent="0.25">
      <c r="A1661">
        <v>21</v>
      </c>
      <c r="B1661" t="s">
        <v>9</v>
      </c>
      <c r="C1661">
        <v>30.86</v>
      </c>
      <c r="D1661" t="s">
        <v>17</v>
      </c>
      <c r="E1661" t="s">
        <v>18</v>
      </c>
      <c r="F1661" t="s">
        <v>34</v>
      </c>
      <c r="G1661">
        <v>1</v>
      </c>
      <c r="H1661">
        <v>9</v>
      </c>
      <c r="I1661" s="13">
        <v>45565</v>
      </c>
      <c r="J1661" s="13" t="str">
        <f>TEXT(Table1[[#This Row],[Date]],"[$-en-US]mmm yyyy")</f>
        <v>Sep 2024</v>
      </c>
      <c r="K1661" s="13" t="str">
        <f>TEXT(Table1[[#This Row],[Date]],"[$-en-US]ddd")</f>
        <v>Mon</v>
      </c>
    </row>
    <row r="1662" spans="1:11" x14ac:dyDescent="0.25">
      <c r="A1662">
        <v>7</v>
      </c>
      <c r="B1662" t="s">
        <v>9</v>
      </c>
      <c r="C1662">
        <v>35.76</v>
      </c>
      <c r="D1662" t="s">
        <v>10</v>
      </c>
      <c r="E1662" t="s">
        <v>11</v>
      </c>
      <c r="F1662" t="s">
        <v>35</v>
      </c>
      <c r="G1662">
        <v>2</v>
      </c>
      <c r="H1662">
        <v>10</v>
      </c>
      <c r="I1662" s="13">
        <v>45566</v>
      </c>
      <c r="J1662" s="13" t="str">
        <f>TEXT(Table1[[#This Row],[Date]],"[$-en-US]mmm yyyy")</f>
        <v>Oct 2024</v>
      </c>
      <c r="K1662" s="13" t="str">
        <f>TEXT(Table1[[#This Row],[Date]],"[$-en-US]ddd")</f>
        <v>Tue</v>
      </c>
    </row>
    <row r="1663" spans="1:11" x14ac:dyDescent="0.25">
      <c r="A1663">
        <v>9</v>
      </c>
      <c r="B1663" t="s">
        <v>9</v>
      </c>
      <c r="C1663">
        <v>30.86</v>
      </c>
      <c r="D1663" t="s">
        <v>17</v>
      </c>
      <c r="E1663" t="s">
        <v>11</v>
      </c>
      <c r="F1663" t="s">
        <v>35</v>
      </c>
      <c r="G1663">
        <v>2</v>
      </c>
      <c r="H1663">
        <v>10</v>
      </c>
      <c r="I1663" s="13">
        <v>45566</v>
      </c>
      <c r="J1663" s="13" t="str">
        <f>TEXT(Table1[[#This Row],[Date]],"[$-en-US]mmm yyyy")</f>
        <v>Oct 2024</v>
      </c>
      <c r="K1663" s="13" t="str">
        <f>TEXT(Table1[[#This Row],[Date]],"[$-en-US]ddd")</f>
        <v>Tue</v>
      </c>
    </row>
    <row r="1664" spans="1:11" x14ac:dyDescent="0.25">
      <c r="A1664">
        <v>10</v>
      </c>
      <c r="B1664" t="s">
        <v>9</v>
      </c>
      <c r="C1664">
        <v>30.86</v>
      </c>
      <c r="D1664" t="s">
        <v>17</v>
      </c>
      <c r="E1664" t="s">
        <v>11</v>
      </c>
      <c r="F1664" t="s">
        <v>35</v>
      </c>
      <c r="G1664">
        <v>2</v>
      </c>
      <c r="H1664">
        <v>10</v>
      </c>
      <c r="I1664" s="13">
        <v>45566</v>
      </c>
      <c r="J1664" s="13" t="str">
        <f>TEXT(Table1[[#This Row],[Date]],"[$-en-US]mmm yyyy")</f>
        <v>Oct 2024</v>
      </c>
      <c r="K1664" s="13" t="str">
        <f>TEXT(Table1[[#This Row],[Date]],"[$-en-US]ddd")</f>
        <v>Tue</v>
      </c>
    </row>
    <row r="1665" spans="1:11" x14ac:dyDescent="0.25">
      <c r="A1665">
        <v>10</v>
      </c>
      <c r="B1665" t="s">
        <v>9</v>
      </c>
      <c r="C1665">
        <v>30.86</v>
      </c>
      <c r="D1665" t="s">
        <v>17</v>
      </c>
      <c r="E1665" t="s">
        <v>11</v>
      </c>
      <c r="F1665" t="s">
        <v>35</v>
      </c>
      <c r="G1665">
        <v>2</v>
      </c>
      <c r="H1665">
        <v>10</v>
      </c>
      <c r="I1665" s="13">
        <v>45566</v>
      </c>
      <c r="J1665" s="13" t="str">
        <f>TEXT(Table1[[#This Row],[Date]],"[$-en-US]mmm yyyy")</f>
        <v>Oct 2024</v>
      </c>
      <c r="K1665" s="13" t="str">
        <f>TEXT(Table1[[#This Row],[Date]],"[$-en-US]ddd")</f>
        <v>Tue</v>
      </c>
    </row>
    <row r="1666" spans="1:11" x14ac:dyDescent="0.25">
      <c r="A1666">
        <v>11</v>
      </c>
      <c r="B1666" t="s">
        <v>9</v>
      </c>
      <c r="C1666">
        <v>30.86</v>
      </c>
      <c r="D1666" t="s">
        <v>17</v>
      </c>
      <c r="E1666" t="s">
        <v>11</v>
      </c>
      <c r="F1666" t="s">
        <v>35</v>
      </c>
      <c r="G1666">
        <v>2</v>
      </c>
      <c r="H1666">
        <v>10</v>
      </c>
      <c r="I1666" s="13">
        <v>45566</v>
      </c>
      <c r="J1666" s="13" t="str">
        <f>TEXT(Table1[[#This Row],[Date]],"[$-en-US]mmm yyyy")</f>
        <v>Oct 2024</v>
      </c>
      <c r="K1666" s="13" t="str">
        <f>TEXT(Table1[[#This Row],[Date]],"[$-en-US]ddd")</f>
        <v>Tue</v>
      </c>
    </row>
    <row r="1667" spans="1:11" x14ac:dyDescent="0.25">
      <c r="A1667">
        <v>12</v>
      </c>
      <c r="B1667" t="s">
        <v>9</v>
      </c>
      <c r="C1667">
        <v>30.86</v>
      </c>
      <c r="D1667" t="s">
        <v>17</v>
      </c>
      <c r="E1667" t="s">
        <v>15</v>
      </c>
      <c r="F1667" t="s">
        <v>35</v>
      </c>
      <c r="G1667">
        <v>2</v>
      </c>
      <c r="H1667">
        <v>10</v>
      </c>
      <c r="I1667" s="13">
        <v>45566</v>
      </c>
      <c r="J1667" s="13" t="str">
        <f>TEXT(Table1[[#This Row],[Date]],"[$-en-US]mmm yyyy")</f>
        <v>Oct 2024</v>
      </c>
      <c r="K1667" s="13" t="str">
        <f>TEXT(Table1[[#This Row],[Date]],"[$-en-US]ddd")</f>
        <v>Tue</v>
      </c>
    </row>
    <row r="1668" spans="1:11" x14ac:dyDescent="0.25">
      <c r="A1668">
        <v>12</v>
      </c>
      <c r="B1668" t="s">
        <v>9</v>
      </c>
      <c r="C1668">
        <v>30.86</v>
      </c>
      <c r="D1668" t="s">
        <v>17</v>
      </c>
      <c r="E1668" t="s">
        <v>15</v>
      </c>
      <c r="F1668" t="s">
        <v>35</v>
      </c>
      <c r="G1668">
        <v>2</v>
      </c>
      <c r="H1668">
        <v>10</v>
      </c>
      <c r="I1668" s="13">
        <v>45566</v>
      </c>
      <c r="J1668" s="13" t="str">
        <f>TEXT(Table1[[#This Row],[Date]],"[$-en-US]mmm yyyy")</f>
        <v>Oct 2024</v>
      </c>
      <c r="K1668" s="13" t="str">
        <f>TEXT(Table1[[#This Row],[Date]],"[$-en-US]ddd")</f>
        <v>Tue</v>
      </c>
    </row>
    <row r="1669" spans="1:11" x14ac:dyDescent="0.25">
      <c r="A1669">
        <v>14</v>
      </c>
      <c r="B1669" t="s">
        <v>9</v>
      </c>
      <c r="C1669">
        <v>25.96</v>
      </c>
      <c r="D1669" t="s">
        <v>16</v>
      </c>
      <c r="E1669" t="s">
        <v>15</v>
      </c>
      <c r="F1669" t="s">
        <v>35</v>
      </c>
      <c r="G1669">
        <v>2</v>
      </c>
      <c r="H1669">
        <v>10</v>
      </c>
      <c r="I1669" s="13">
        <v>45566</v>
      </c>
      <c r="J1669" s="13" t="str">
        <f>TEXT(Table1[[#This Row],[Date]],"[$-en-US]mmm yyyy")</f>
        <v>Oct 2024</v>
      </c>
      <c r="K1669" s="13" t="str">
        <f>TEXT(Table1[[#This Row],[Date]],"[$-en-US]ddd")</f>
        <v>Tue</v>
      </c>
    </row>
    <row r="1670" spans="1:11" x14ac:dyDescent="0.25">
      <c r="A1670">
        <v>14</v>
      </c>
      <c r="B1670" t="s">
        <v>9</v>
      </c>
      <c r="C1670">
        <v>30.86</v>
      </c>
      <c r="D1670" t="s">
        <v>17</v>
      </c>
      <c r="E1670" t="s">
        <v>15</v>
      </c>
      <c r="F1670" t="s">
        <v>35</v>
      </c>
      <c r="G1670">
        <v>2</v>
      </c>
      <c r="H1670">
        <v>10</v>
      </c>
      <c r="I1670" s="13">
        <v>45566</v>
      </c>
      <c r="J1670" s="13" t="str">
        <f>TEXT(Table1[[#This Row],[Date]],"[$-en-US]mmm yyyy")</f>
        <v>Oct 2024</v>
      </c>
      <c r="K1670" s="13" t="str">
        <f>TEXT(Table1[[#This Row],[Date]],"[$-en-US]ddd")</f>
        <v>Tue</v>
      </c>
    </row>
    <row r="1671" spans="1:11" x14ac:dyDescent="0.25">
      <c r="A1671">
        <v>16</v>
      </c>
      <c r="B1671" t="s">
        <v>9</v>
      </c>
      <c r="C1671">
        <v>35.76</v>
      </c>
      <c r="D1671" t="s">
        <v>14</v>
      </c>
      <c r="E1671" t="s">
        <v>15</v>
      </c>
      <c r="F1671" t="s">
        <v>35</v>
      </c>
      <c r="G1671">
        <v>2</v>
      </c>
      <c r="H1671">
        <v>10</v>
      </c>
      <c r="I1671" s="13">
        <v>45566</v>
      </c>
      <c r="J1671" s="13" t="str">
        <f>TEXT(Table1[[#This Row],[Date]],"[$-en-US]mmm yyyy")</f>
        <v>Oct 2024</v>
      </c>
      <c r="K1671" s="13" t="str">
        <f>TEXT(Table1[[#This Row],[Date]],"[$-en-US]ddd")</f>
        <v>Tue</v>
      </c>
    </row>
    <row r="1672" spans="1:11" x14ac:dyDescent="0.25">
      <c r="A1672">
        <v>16</v>
      </c>
      <c r="B1672" t="s">
        <v>9</v>
      </c>
      <c r="C1672">
        <v>25.96</v>
      </c>
      <c r="D1672" t="s">
        <v>16</v>
      </c>
      <c r="E1672" t="s">
        <v>15</v>
      </c>
      <c r="F1672" t="s">
        <v>35</v>
      </c>
      <c r="G1672">
        <v>2</v>
      </c>
      <c r="H1672">
        <v>10</v>
      </c>
      <c r="I1672" s="13">
        <v>45566</v>
      </c>
      <c r="J1672" s="13" t="str">
        <f>TEXT(Table1[[#This Row],[Date]],"[$-en-US]mmm yyyy")</f>
        <v>Oct 2024</v>
      </c>
      <c r="K1672" s="13" t="str">
        <f>TEXT(Table1[[#This Row],[Date]],"[$-en-US]ddd")</f>
        <v>Tue</v>
      </c>
    </row>
    <row r="1673" spans="1:11" x14ac:dyDescent="0.25">
      <c r="A1673">
        <v>18</v>
      </c>
      <c r="B1673" t="s">
        <v>9</v>
      </c>
      <c r="C1673">
        <v>35.76</v>
      </c>
      <c r="D1673" t="s">
        <v>10</v>
      </c>
      <c r="E1673" t="s">
        <v>18</v>
      </c>
      <c r="F1673" t="s">
        <v>35</v>
      </c>
      <c r="G1673">
        <v>2</v>
      </c>
      <c r="H1673">
        <v>10</v>
      </c>
      <c r="I1673" s="13">
        <v>45566</v>
      </c>
      <c r="J1673" s="13" t="str">
        <f>TEXT(Table1[[#This Row],[Date]],"[$-en-US]mmm yyyy")</f>
        <v>Oct 2024</v>
      </c>
      <c r="K1673" s="13" t="str">
        <f>TEXT(Table1[[#This Row],[Date]],"[$-en-US]ddd")</f>
        <v>Tue</v>
      </c>
    </row>
    <row r="1674" spans="1:11" x14ac:dyDescent="0.25">
      <c r="A1674">
        <v>18</v>
      </c>
      <c r="B1674" t="s">
        <v>9</v>
      </c>
      <c r="C1674">
        <v>35.76</v>
      </c>
      <c r="D1674" t="s">
        <v>10</v>
      </c>
      <c r="E1674" t="s">
        <v>18</v>
      </c>
      <c r="F1674" t="s">
        <v>35</v>
      </c>
      <c r="G1674">
        <v>2</v>
      </c>
      <c r="H1674">
        <v>10</v>
      </c>
      <c r="I1674" s="13">
        <v>45566</v>
      </c>
      <c r="J1674" s="13" t="str">
        <f>TEXT(Table1[[#This Row],[Date]],"[$-en-US]mmm yyyy")</f>
        <v>Oct 2024</v>
      </c>
      <c r="K1674" s="13" t="str">
        <f>TEXT(Table1[[#This Row],[Date]],"[$-en-US]ddd")</f>
        <v>Tue</v>
      </c>
    </row>
    <row r="1675" spans="1:11" x14ac:dyDescent="0.25">
      <c r="A1675">
        <v>18</v>
      </c>
      <c r="B1675" t="s">
        <v>9</v>
      </c>
      <c r="C1675">
        <v>35.76</v>
      </c>
      <c r="D1675" t="s">
        <v>14</v>
      </c>
      <c r="E1675" t="s">
        <v>18</v>
      </c>
      <c r="F1675" t="s">
        <v>35</v>
      </c>
      <c r="G1675">
        <v>2</v>
      </c>
      <c r="H1675">
        <v>10</v>
      </c>
      <c r="I1675" s="13">
        <v>45566</v>
      </c>
      <c r="J1675" s="13" t="str">
        <f>TEXT(Table1[[#This Row],[Date]],"[$-en-US]mmm yyyy")</f>
        <v>Oct 2024</v>
      </c>
      <c r="K1675" s="13" t="str">
        <f>TEXT(Table1[[#This Row],[Date]],"[$-en-US]ddd")</f>
        <v>Tue</v>
      </c>
    </row>
    <row r="1676" spans="1:11" x14ac:dyDescent="0.25">
      <c r="A1676">
        <v>20</v>
      </c>
      <c r="B1676" t="s">
        <v>9</v>
      </c>
      <c r="C1676">
        <v>35.76</v>
      </c>
      <c r="D1676" t="s">
        <v>14</v>
      </c>
      <c r="E1676" t="s">
        <v>18</v>
      </c>
      <c r="F1676" t="s">
        <v>35</v>
      </c>
      <c r="G1676">
        <v>2</v>
      </c>
      <c r="H1676">
        <v>10</v>
      </c>
      <c r="I1676" s="13">
        <v>45566</v>
      </c>
      <c r="J1676" s="13" t="str">
        <f>TEXT(Table1[[#This Row],[Date]],"[$-en-US]mmm yyyy")</f>
        <v>Oct 2024</v>
      </c>
      <c r="K1676" s="13" t="str">
        <f>TEXT(Table1[[#This Row],[Date]],"[$-en-US]ddd")</f>
        <v>Tue</v>
      </c>
    </row>
    <row r="1677" spans="1:11" x14ac:dyDescent="0.25">
      <c r="A1677">
        <v>7</v>
      </c>
      <c r="B1677" t="s">
        <v>9</v>
      </c>
      <c r="C1677">
        <v>35.76</v>
      </c>
      <c r="D1677" t="s">
        <v>10</v>
      </c>
      <c r="E1677" t="s">
        <v>11</v>
      </c>
      <c r="F1677" t="s">
        <v>35</v>
      </c>
      <c r="G1677">
        <v>3</v>
      </c>
      <c r="H1677">
        <v>10</v>
      </c>
      <c r="I1677" s="13">
        <v>45567</v>
      </c>
      <c r="J1677" s="13" t="str">
        <f>TEXT(Table1[[#This Row],[Date]],"[$-en-US]mmm yyyy")</f>
        <v>Oct 2024</v>
      </c>
      <c r="K1677" s="13" t="str">
        <f>TEXT(Table1[[#This Row],[Date]],"[$-en-US]ddd")</f>
        <v>Wed</v>
      </c>
    </row>
    <row r="1678" spans="1:11" x14ac:dyDescent="0.25">
      <c r="A1678">
        <v>8</v>
      </c>
      <c r="B1678" t="s">
        <v>9</v>
      </c>
      <c r="C1678">
        <v>25.96</v>
      </c>
      <c r="D1678" t="s">
        <v>22</v>
      </c>
      <c r="E1678" t="s">
        <v>11</v>
      </c>
      <c r="F1678" t="s">
        <v>35</v>
      </c>
      <c r="G1678">
        <v>3</v>
      </c>
      <c r="H1678">
        <v>10</v>
      </c>
      <c r="I1678" s="13">
        <v>45567</v>
      </c>
      <c r="J1678" s="13" t="str">
        <f>TEXT(Table1[[#This Row],[Date]],"[$-en-US]mmm yyyy")</f>
        <v>Oct 2024</v>
      </c>
      <c r="K1678" s="13" t="str">
        <f>TEXT(Table1[[#This Row],[Date]],"[$-en-US]ddd")</f>
        <v>Wed</v>
      </c>
    </row>
    <row r="1679" spans="1:11" x14ac:dyDescent="0.25">
      <c r="A1679">
        <v>9</v>
      </c>
      <c r="B1679" t="s">
        <v>9</v>
      </c>
      <c r="C1679">
        <v>30.86</v>
      </c>
      <c r="D1679" t="s">
        <v>17</v>
      </c>
      <c r="E1679" t="s">
        <v>11</v>
      </c>
      <c r="F1679" t="s">
        <v>35</v>
      </c>
      <c r="G1679">
        <v>3</v>
      </c>
      <c r="H1679">
        <v>10</v>
      </c>
      <c r="I1679" s="13">
        <v>45567</v>
      </c>
      <c r="J1679" s="13" t="str">
        <f>TEXT(Table1[[#This Row],[Date]],"[$-en-US]mmm yyyy")</f>
        <v>Oct 2024</v>
      </c>
      <c r="K1679" s="13" t="str">
        <f>TEXT(Table1[[#This Row],[Date]],"[$-en-US]ddd")</f>
        <v>Wed</v>
      </c>
    </row>
    <row r="1680" spans="1:11" x14ac:dyDescent="0.25">
      <c r="A1680">
        <v>10</v>
      </c>
      <c r="B1680" t="s">
        <v>9</v>
      </c>
      <c r="C1680">
        <v>35.76</v>
      </c>
      <c r="D1680" t="s">
        <v>10</v>
      </c>
      <c r="E1680" t="s">
        <v>11</v>
      </c>
      <c r="F1680" t="s">
        <v>35</v>
      </c>
      <c r="G1680">
        <v>3</v>
      </c>
      <c r="H1680">
        <v>10</v>
      </c>
      <c r="I1680" s="13">
        <v>45567</v>
      </c>
      <c r="J1680" s="13" t="str">
        <f>TEXT(Table1[[#This Row],[Date]],"[$-en-US]mmm yyyy")</f>
        <v>Oct 2024</v>
      </c>
      <c r="K1680" s="13" t="str">
        <f>TEXT(Table1[[#This Row],[Date]],"[$-en-US]ddd")</f>
        <v>Wed</v>
      </c>
    </row>
    <row r="1681" spans="1:11" x14ac:dyDescent="0.25">
      <c r="A1681">
        <v>10</v>
      </c>
      <c r="B1681" t="s">
        <v>9</v>
      </c>
      <c r="C1681">
        <v>30.86</v>
      </c>
      <c r="D1681" t="s">
        <v>17</v>
      </c>
      <c r="E1681" t="s">
        <v>11</v>
      </c>
      <c r="F1681" t="s">
        <v>35</v>
      </c>
      <c r="G1681">
        <v>3</v>
      </c>
      <c r="H1681">
        <v>10</v>
      </c>
      <c r="I1681" s="13">
        <v>45567</v>
      </c>
      <c r="J1681" s="13" t="str">
        <f>TEXT(Table1[[#This Row],[Date]],"[$-en-US]mmm yyyy")</f>
        <v>Oct 2024</v>
      </c>
      <c r="K1681" s="13" t="str">
        <f>TEXT(Table1[[#This Row],[Date]],"[$-en-US]ddd")</f>
        <v>Wed</v>
      </c>
    </row>
    <row r="1682" spans="1:11" x14ac:dyDescent="0.25">
      <c r="A1682">
        <v>11</v>
      </c>
      <c r="B1682" t="s">
        <v>9</v>
      </c>
      <c r="C1682">
        <v>35.76</v>
      </c>
      <c r="D1682" t="s">
        <v>27</v>
      </c>
      <c r="E1682" t="s">
        <v>11</v>
      </c>
      <c r="F1682" t="s">
        <v>35</v>
      </c>
      <c r="G1682">
        <v>3</v>
      </c>
      <c r="H1682">
        <v>10</v>
      </c>
      <c r="I1682" s="13">
        <v>45567</v>
      </c>
      <c r="J1682" s="13" t="str">
        <f>TEXT(Table1[[#This Row],[Date]],"[$-en-US]mmm yyyy")</f>
        <v>Oct 2024</v>
      </c>
      <c r="K1682" s="13" t="str">
        <f>TEXT(Table1[[#This Row],[Date]],"[$-en-US]ddd")</f>
        <v>Wed</v>
      </c>
    </row>
    <row r="1683" spans="1:11" x14ac:dyDescent="0.25">
      <c r="A1683">
        <v>15</v>
      </c>
      <c r="B1683" t="s">
        <v>9</v>
      </c>
      <c r="C1683">
        <v>35.76</v>
      </c>
      <c r="D1683" t="s">
        <v>27</v>
      </c>
      <c r="E1683" t="s">
        <v>15</v>
      </c>
      <c r="F1683" t="s">
        <v>35</v>
      </c>
      <c r="G1683">
        <v>3</v>
      </c>
      <c r="H1683">
        <v>10</v>
      </c>
      <c r="I1683" s="13">
        <v>45567</v>
      </c>
      <c r="J1683" s="13" t="str">
        <f>TEXT(Table1[[#This Row],[Date]],"[$-en-US]mmm yyyy")</f>
        <v>Oct 2024</v>
      </c>
      <c r="K1683" s="13" t="str">
        <f>TEXT(Table1[[#This Row],[Date]],"[$-en-US]ddd")</f>
        <v>Wed</v>
      </c>
    </row>
    <row r="1684" spans="1:11" x14ac:dyDescent="0.25">
      <c r="A1684">
        <v>18</v>
      </c>
      <c r="B1684" t="s">
        <v>9</v>
      </c>
      <c r="C1684">
        <v>35.76</v>
      </c>
      <c r="D1684" t="s">
        <v>14</v>
      </c>
      <c r="E1684" t="s">
        <v>18</v>
      </c>
      <c r="F1684" t="s">
        <v>35</v>
      </c>
      <c r="G1684">
        <v>3</v>
      </c>
      <c r="H1684">
        <v>10</v>
      </c>
      <c r="I1684" s="13">
        <v>45567</v>
      </c>
      <c r="J1684" s="13" t="str">
        <f>TEXT(Table1[[#This Row],[Date]],"[$-en-US]mmm yyyy")</f>
        <v>Oct 2024</v>
      </c>
      <c r="K1684" s="13" t="str">
        <f>TEXT(Table1[[#This Row],[Date]],"[$-en-US]ddd")</f>
        <v>Wed</v>
      </c>
    </row>
    <row r="1685" spans="1:11" x14ac:dyDescent="0.25">
      <c r="A1685">
        <v>22</v>
      </c>
      <c r="B1685" t="s">
        <v>9</v>
      </c>
      <c r="C1685">
        <v>35.76</v>
      </c>
      <c r="D1685" t="s">
        <v>14</v>
      </c>
      <c r="E1685" t="s">
        <v>18</v>
      </c>
      <c r="F1685" t="s">
        <v>35</v>
      </c>
      <c r="G1685">
        <v>3</v>
      </c>
      <c r="H1685">
        <v>10</v>
      </c>
      <c r="I1685" s="13">
        <v>45567</v>
      </c>
      <c r="J1685" s="13" t="str">
        <f>TEXT(Table1[[#This Row],[Date]],"[$-en-US]mmm yyyy")</f>
        <v>Oct 2024</v>
      </c>
      <c r="K1685" s="13" t="str">
        <f>TEXT(Table1[[#This Row],[Date]],"[$-en-US]ddd")</f>
        <v>Wed</v>
      </c>
    </row>
    <row r="1686" spans="1:11" x14ac:dyDescent="0.25">
      <c r="A1686">
        <v>22</v>
      </c>
      <c r="B1686" t="s">
        <v>9</v>
      </c>
      <c r="C1686">
        <v>35.76</v>
      </c>
      <c r="D1686" t="s">
        <v>14</v>
      </c>
      <c r="E1686" t="s">
        <v>18</v>
      </c>
      <c r="F1686" t="s">
        <v>35</v>
      </c>
      <c r="G1686">
        <v>3</v>
      </c>
      <c r="H1686">
        <v>10</v>
      </c>
      <c r="I1686" s="13">
        <v>45567</v>
      </c>
      <c r="J1686" s="13" t="str">
        <f>TEXT(Table1[[#This Row],[Date]],"[$-en-US]mmm yyyy")</f>
        <v>Oct 2024</v>
      </c>
      <c r="K1686" s="13" t="str">
        <f>TEXT(Table1[[#This Row],[Date]],"[$-en-US]ddd")</f>
        <v>Wed</v>
      </c>
    </row>
    <row r="1687" spans="1:11" x14ac:dyDescent="0.25">
      <c r="A1687">
        <v>22</v>
      </c>
      <c r="B1687" t="s">
        <v>9</v>
      </c>
      <c r="C1687">
        <v>35.76</v>
      </c>
      <c r="D1687" t="s">
        <v>14</v>
      </c>
      <c r="E1687" t="s">
        <v>18</v>
      </c>
      <c r="F1687" t="s">
        <v>35</v>
      </c>
      <c r="G1687">
        <v>3</v>
      </c>
      <c r="H1687">
        <v>10</v>
      </c>
      <c r="I1687" s="13">
        <v>45567</v>
      </c>
      <c r="J1687" s="13" t="str">
        <f>TEXT(Table1[[#This Row],[Date]],"[$-en-US]mmm yyyy")</f>
        <v>Oct 2024</v>
      </c>
      <c r="K1687" s="13" t="str">
        <f>TEXT(Table1[[#This Row],[Date]],"[$-en-US]ddd")</f>
        <v>Wed</v>
      </c>
    </row>
    <row r="1688" spans="1:11" x14ac:dyDescent="0.25">
      <c r="A1688">
        <v>13</v>
      </c>
      <c r="B1688" t="s">
        <v>9</v>
      </c>
      <c r="C1688">
        <v>35.76</v>
      </c>
      <c r="D1688" t="s">
        <v>19</v>
      </c>
      <c r="E1688" t="s">
        <v>15</v>
      </c>
      <c r="F1688" t="s">
        <v>35</v>
      </c>
      <c r="G1688">
        <v>4</v>
      </c>
      <c r="H1688">
        <v>10</v>
      </c>
      <c r="I1688" s="13">
        <v>45568</v>
      </c>
      <c r="J1688" s="13" t="str">
        <f>TEXT(Table1[[#This Row],[Date]],"[$-en-US]mmm yyyy")</f>
        <v>Oct 2024</v>
      </c>
      <c r="K1688" s="13" t="str">
        <f>TEXT(Table1[[#This Row],[Date]],"[$-en-US]ddd")</f>
        <v>Thu</v>
      </c>
    </row>
    <row r="1689" spans="1:11" x14ac:dyDescent="0.25">
      <c r="A1689">
        <v>15</v>
      </c>
      <c r="B1689" t="s">
        <v>9</v>
      </c>
      <c r="C1689">
        <v>30.86</v>
      </c>
      <c r="D1689" t="s">
        <v>17</v>
      </c>
      <c r="E1689" t="s">
        <v>15</v>
      </c>
      <c r="F1689" t="s">
        <v>35</v>
      </c>
      <c r="G1689">
        <v>4</v>
      </c>
      <c r="H1689">
        <v>10</v>
      </c>
      <c r="I1689" s="13">
        <v>45568</v>
      </c>
      <c r="J1689" s="13" t="str">
        <f>TEXT(Table1[[#This Row],[Date]],"[$-en-US]mmm yyyy")</f>
        <v>Oct 2024</v>
      </c>
      <c r="K1689" s="13" t="str">
        <f>TEXT(Table1[[#This Row],[Date]],"[$-en-US]ddd")</f>
        <v>Thu</v>
      </c>
    </row>
    <row r="1690" spans="1:11" x14ac:dyDescent="0.25">
      <c r="A1690">
        <v>20</v>
      </c>
      <c r="B1690" t="s">
        <v>9</v>
      </c>
      <c r="C1690">
        <v>25.96</v>
      </c>
      <c r="D1690" t="s">
        <v>22</v>
      </c>
      <c r="E1690" t="s">
        <v>18</v>
      </c>
      <c r="F1690" t="s">
        <v>35</v>
      </c>
      <c r="G1690">
        <v>4</v>
      </c>
      <c r="H1690">
        <v>10</v>
      </c>
      <c r="I1690" s="13">
        <v>45568</v>
      </c>
      <c r="J1690" s="13" t="str">
        <f>TEXT(Table1[[#This Row],[Date]],"[$-en-US]mmm yyyy")</f>
        <v>Oct 2024</v>
      </c>
      <c r="K1690" s="13" t="str">
        <f>TEXT(Table1[[#This Row],[Date]],"[$-en-US]ddd")</f>
        <v>Thu</v>
      </c>
    </row>
    <row r="1691" spans="1:11" x14ac:dyDescent="0.25">
      <c r="A1691">
        <v>20</v>
      </c>
      <c r="B1691" t="s">
        <v>9</v>
      </c>
      <c r="C1691">
        <v>35.76</v>
      </c>
      <c r="D1691" t="s">
        <v>14</v>
      </c>
      <c r="E1691" t="s">
        <v>18</v>
      </c>
      <c r="F1691" t="s">
        <v>35</v>
      </c>
      <c r="G1691">
        <v>4</v>
      </c>
      <c r="H1691">
        <v>10</v>
      </c>
      <c r="I1691" s="13">
        <v>45568</v>
      </c>
      <c r="J1691" s="13" t="str">
        <f>TEXT(Table1[[#This Row],[Date]],"[$-en-US]mmm yyyy")</f>
        <v>Oct 2024</v>
      </c>
      <c r="K1691" s="13" t="str">
        <f>TEXT(Table1[[#This Row],[Date]],"[$-en-US]ddd")</f>
        <v>Thu</v>
      </c>
    </row>
    <row r="1692" spans="1:11" x14ac:dyDescent="0.25">
      <c r="A1692">
        <v>21</v>
      </c>
      <c r="B1692" t="s">
        <v>9</v>
      </c>
      <c r="C1692">
        <v>35.76</v>
      </c>
      <c r="D1692" t="s">
        <v>14</v>
      </c>
      <c r="E1692" t="s">
        <v>18</v>
      </c>
      <c r="F1692" t="s">
        <v>35</v>
      </c>
      <c r="G1692">
        <v>4</v>
      </c>
      <c r="H1692">
        <v>10</v>
      </c>
      <c r="I1692" s="13">
        <v>45568</v>
      </c>
      <c r="J1692" s="13" t="str">
        <f>TEXT(Table1[[#This Row],[Date]],"[$-en-US]mmm yyyy")</f>
        <v>Oct 2024</v>
      </c>
      <c r="K1692" s="13" t="str">
        <f>TEXT(Table1[[#This Row],[Date]],"[$-en-US]ddd")</f>
        <v>Thu</v>
      </c>
    </row>
    <row r="1693" spans="1:11" x14ac:dyDescent="0.25">
      <c r="A1693">
        <v>21</v>
      </c>
      <c r="B1693" t="s">
        <v>9</v>
      </c>
      <c r="C1693">
        <v>35.76</v>
      </c>
      <c r="D1693" t="s">
        <v>14</v>
      </c>
      <c r="E1693" t="s">
        <v>18</v>
      </c>
      <c r="F1693" t="s">
        <v>35</v>
      </c>
      <c r="G1693">
        <v>4</v>
      </c>
      <c r="H1693">
        <v>10</v>
      </c>
      <c r="I1693" s="13">
        <v>45568</v>
      </c>
      <c r="J1693" s="13" t="str">
        <f>TEXT(Table1[[#This Row],[Date]],"[$-en-US]mmm yyyy")</f>
        <v>Oct 2024</v>
      </c>
      <c r="K1693" s="13" t="str">
        <f>TEXT(Table1[[#This Row],[Date]],"[$-en-US]ddd")</f>
        <v>Thu</v>
      </c>
    </row>
    <row r="1694" spans="1:11" x14ac:dyDescent="0.25">
      <c r="A1694">
        <v>21</v>
      </c>
      <c r="B1694" t="s">
        <v>9</v>
      </c>
      <c r="C1694">
        <v>35.76</v>
      </c>
      <c r="D1694" t="s">
        <v>27</v>
      </c>
      <c r="E1694" t="s">
        <v>18</v>
      </c>
      <c r="F1694" t="s">
        <v>35</v>
      </c>
      <c r="G1694">
        <v>4</v>
      </c>
      <c r="H1694">
        <v>10</v>
      </c>
      <c r="I1694" s="13">
        <v>45568</v>
      </c>
      <c r="J1694" s="13" t="str">
        <f>TEXT(Table1[[#This Row],[Date]],"[$-en-US]mmm yyyy")</f>
        <v>Oct 2024</v>
      </c>
      <c r="K1694" s="13" t="str">
        <f>TEXT(Table1[[#This Row],[Date]],"[$-en-US]ddd")</f>
        <v>Thu</v>
      </c>
    </row>
    <row r="1695" spans="1:11" x14ac:dyDescent="0.25">
      <c r="A1695">
        <v>21</v>
      </c>
      <c r="B1695" t="s">
        <v>9</v>
      </c>
      <c r="C1695">
        <v>35.76</v>
      </c>
      <c r="D1695" t="s">
        <v>14</v>
      </c>
      <c r="E1695" t="s">
        <v>18</v>
      </c>
      <c r="F1695" t="s">
        <v>35</v>
      </c>
      <c r="G1695">
        <v>4</v>
      </c>
      <c r="H1695">
        <v>10</v>
      </c>
      <c r="I1695" s="13">
        <v>45568</v>
      </c>
      <c r="J1695" s="13" t="str">
        <f>TEXT(Table1[[#This Row],[Date]],"[$-en-US]mmm yyyy")</f>
        <v>Oct 2024</v>
      </c>
      <c r="K1695" s="13" t="str">
        <f>TEXT(Table1[[#This Row],[Date]],"[$-en-US]ddd")</f>
        <v>Thu</v>
      </c>
    </row>
    <row r="1696" spans="1:11" x14ac:dyDescent="0.25">
      <c r="A1696">
        <v>8</v>
      </c>
      <c r="B1696" t="s">
        <v>9</v>
      </c>
      <c r="C1696">
        <v>25.96</v>
      </c>
      <c r="D1696" t="s">
        <v>16</v>
      </c>
      <c r="E1696" t="s">
        <v>11</v>
      </c>
      <c r="F1696" t="s">
        <v>35</v>
      </c>
      <c r="G1696">
        <v>5</v>
      </c>
      <c r="H1696">
        <v>10</v>
      </c>
      <c r="I1696" s="13">
        <v>45569</v>
      </c>
      <c r="J1696" s="13" t="str">
        <f>TEXT(Table1[[#This Row],[Date]],"[$-en-US]mmm yyyy")</f>
        <v>Oct 2024</v>
      </c>
      <c r="K1696" s="13" t="str">
        <f>TEXT(Table1[[#This Row],[Date]],"[$-en-US]ddd")</f>
        <v>Fri</v>
      </c>
    </row>
    <row r="1697" spans="1:11" x14ac:dyDescent="0.25">
      <c r="A1697">
        <v>8</v>
      </c>
      <c r="B1697" t="s">
        <v>9</v>
      </c>
      <c r="C1697">
        <v>25.96</v>
      </c>
      <c r="D1697" t="s">
        <v>16</v>
      </c>
      <c r="E1697" t="s">
        <v>11</v>
      </c>
      <c r="F1697" t="s">
        <v>35</v>
      </c>
      <c r="G1697">
        <v>5</v>
      </c>
      <c r="H1697">
        <v>10</v>
      </c>
      <c r="I1697" s="13">
        <v>45569</v>
      </c>
      <c r="J1697" s="13" t="str">
        <f>TEXT(Table1[[#This Row],[Date]],"[$-en-US]mmm yyyy")</f>
        <v>Oct 2024</v>
      </c>
      <c r="K1697" s="13" t="str">
        <f>TEXT(Table1[[#This Row],[Date]],"[$-en-US]ddd")</f>
        <v>Fri</v>
      </c>
    </row>
    <row r="1698" spans="1:11" x14ac:dyDescent="0.25">
      <c r="A1698">
        <v>9</v>
      </c>
      <c r="B1698" t="s">
        <v>9</v>
      </c>
      <c r="C1698">
        <v>30.86</v>
      </c>
      <c r="D1698" t="s">
        <v>17</v>
      </c>
      <c r="E1698" t="s">
        <v>11</v>
      </c>
      <c r="F1698" t="s">
        <v>35</v>
      </c>
      <c r="G1698">
        <v>5</v>
      </c>
      <c r="H1698">
        <v>10</v>
      </c>
      <c r="I1698" s="13">
        <v>45569</v>
      </c>
      <c r="J1698" s="13" t="str">
        <f>TEXT(Table1[[#This Row],[Date]],"[$-en-US]mmm yyyy")</f>
        <v>Oct 2024</v>
      </c>
      <c r="K1698" s="13" t="str">
        <f>TEXT(Table1[[#This Row],[Date]],"[$-en-US]ddd")</f>
        <v>Fri</v>
      </c>
    </row>
    <row r="1699" spans="1:11" x14ac:dyDescent="0.25">
      <c r="A1699">
        <v>9</v>
      </c>
      <c r="B1699" t="s">
        <v>9</v>
      </c>
      <c r="C1699">
        <v>25.96</v>
      </c>
      <c r="D1699" t="s">
        <v>16</v>
      </c>
      <c r="E1699" t="s">
        <v>11</v>
      </c>
      <c r="F1699" t="s">
        <v>35</v>
      </c>
      <c r="G1699">
        <v>5</v>
      </c>
      <c r="H1699">
        <v>10</v>
      </c>
      <c r="I1699" s="13">
        <v>45569</v>
      </c>
      <c r="J1699" s="13" t="str">
        <f>TEXT(Table1[[#This Row],[Date]],"[$-en-US]mmm yyyy")</f>
        <v>Oct 2024</v>
      </c>
      <c r="K1699" s="13" t="str">
        <f>TEXT(Table1[[#This Row],[Date]],"[$-en-US]ddd")</f>
        <v>Fri</v>
      </c>
    </row>
    <row r="1700" spans="1:11" x14ac:dyDescent="0.25">
      <c r="A1700">
        <v>9</v>
      </c>
      <c r="B1700" t="s">
        <v>9</v>
      </c>
      <c r="C1700">
        <v>25.96</v>
      </c>
      <c r="D1700" t="s">
        <v>22</v>
      </c>
      <c r="E1700" t="s">
        <v>11</v>
      </c>
      <c r="F1700" t="s">
        <v>35</v>
      </c>
      <c r="G1700">
        <v>5</v>
      </c>
      <c r="H1700">
        <v>10</v>
      </c>
      <c r="I1700" s="13">
        <v>45569</v>
      </c>
      <c r="J1700" s="13" t="str">
        <f>TEXT(Table1[[#This Row],[Date]],"[$-en-US]mmm yyyy")</f>
        <v>Oct 2024</v>
      </c>
      <c r="K1700" s="13" t="str">
        <f>TEXT(Table1[[#This Row],[Date]],"[$-en-US]ddd")</f>
        <v>Fri</v>
      </c>
    </row>
    <row r="1701" spans="1:11" x14ac:dyDescent="0.25">
      <c r="A1701">
        <v>9</v>
      </c>
      <c r="B1701" t="s">
        <v>9</v>
      </c>
      <c r="C1701">
        <v>25.96</v>
      </c>
      <c r="D1701" t="s">
        <v>22</v>
      </c>
      <c r="E1701" t="s">
        <v>11</v>
      </c>
      <c r="F1701" t="s">
        <v>35</v>
      </c>
      <c r="G1701">
        <v>5</v>
      </c>
      <c r="H1701">
        <v>10</v>
      </c>
      <c r="I1701" s="13">
        <v>45569</v>
      </c>
      <c r="J1701" s="13" t="str">
        <f>TEXT(Table1[[#This Row],[Date]],"[$-en-US]mmm yyyy")</f>
        <v>Oct 2024</v>
      </c>
      <c r="K1701" s="13" t="str">
        <f>TEXT(Table1[[#This Row],[Date]],"[$-en-US]ddd")</f>
        <v>Fri</v>
      </c>
    </row>
    <row r="1702" spans="1:11" x14ac:dyDescent="0.25">
      <c r="A1702">
        <v>17</v>
      </c>
      <c r="B1702" t="s">
        <v>9</v>
      </c>
      <c r="C1702">
        <v>35.76</v>
      </c>
      <c r="D1702" t="s">
        <v>10</v>
      </c>
      <c r="E1702" t="s">
        <v>18</v>
      </c>
      <c r="F1702" t="s">
        <v>35</v>
      </c>
      <c r="G1702">
        <v>5</v>
      </c>
      <c r="H1702">
        <v>10</v>
      </c>
      <c r="I1702" s="13">
        <v>45569</v>
      </c>
      <c r="J1702" s="13" t="str">
        <f>TEXT(Table1[[#This Row],[Date]],"[$-en-US]mmm yyyy")</f>
        <v>Oct 2024</v>
      </c>
      <c r="K1702" s="13" t="str">
        <f>TEXT(Table1[[#This Row],[Date]],"[$-en-US]ddd")</f>
        <v>Fri</v>
      </c>
    </row>
    <row r="1703" spans="1:11" x14ac:dyDescent="0.25">
      <c r="A1703">
        <v>17</v>
      </c>
      <c r="B1703" t="s">
        <v>9</v>
      </c>
      <c r="C1703">
        <v>35.76</v>
      </c>
      <c r="D1703" t="s">
        <v>14</v>
      </c>
      <c r="E1703" t="s">
        <v>18</v>
      </c>
      <c r="F1703" t="s">
        <v>35</v>
      </c>
      <c r="G1703">
        <v>5</v>
      </c>
      <c r="H1703">
        <v>10</v>
      </c>
      <c r="I1703" s="13">
        <v>45569</v>
      </c>
      <c r="J1703" s="13" t="str">
        <f>TEXT(Table1[[#This Row],[Date]],"[$-en-US]mmm yyyy")</f>
        <v>Oct 2024</v>
      </c>
      <c r="K1703" s="13" t="str">
        <f>TEXT(Table1[[#This Row],[Date]],"[$-en-US]ddd")</f>
        <v>Fri</v>
      </c>
    </row>
    <row r="1704" spans="1:11" x14ac:dyDescent="0.25">
      <c r="A1704">
        <v>17</v>
      </c>
      <c r="B1704" t="s">
        <v>9</v>
      </c>
      <c r="C1704">
        <v>35.76</v>
      </c>
      <c r="D1704" t="s">
        <v>19</v>
      </c>
      <c r="E1704" t="s">
        <v>18</v>
      </c>
      <c r="F1704" t="s">
        <v>35</v>
      </c>
      <c r="G1704">
        <v>5</v>
      </c>
      <c r="H1704">
        <v>10</v>
      </c>
      <c r="I1704" s="13">
        <v>45569</v>
      </c>
      <c r="J1704" s="13" t="str">
        <f>TEXT(Table1[[#This Row],[Date]],"[$-en-US]mmm yyyy")</f>
        <v>Oct 2024</v>
      </c>
      <c r="K1704" s="13" t="str">
        <f>TEXT(Table1[[#This Row],[Date]],"[$-en-US]ddd")</f>
        <v>Fri</v>
      </c>
    </row>
    <row r="1705" spans="1:11" x14ac:dyDescent="0.25">
      <c r="A1705">
        <v>9</v>
      </c>
      <c r="B1705" t="s">
        <v>9</v>
      </c>
      <c r="C1705">
        <v>25.96</v>
      </c>
      <c r="D1705" t="s">
        <v>22</v>
      </c>
      <c r="E1705" t="s">
        <v>11</v>
      </c>
      <c r="F1705" t="s">
        <v>35</v>
      </c>
      <c r="G1705">
        <v>6</v>
      </c>
      <c r="H1705">
        <v>10</v>
      </c>
      <c r="I1705" s="13">
        <v>45570</v>
      </c>
      <c r="J1705" s="13" t="str">
        <f>TEXT(Table1[[#This Row],[Date]],"[$-en-US]mmm yyyy")</f>
        <v>Oct 2024</v>
      </c>
      <c r="K1705" s="13" t="str">
        <f>TEXT(Table1[[#This Row],[Date]],"[$-en-US]ddd")</f>
        <v>Sat</v>
      </c>
    </row>
    <row r="1706" spans="1:11" x14ac:dyDescent="0.25">
      <c r="A1706">
        <v>9</v>
      </c>
      <c r="B1706" t="s">
        <v>9</v>
      </c>
      <c r="C1706">
        <v>25.96</v>
      </c>
      <c r="D1706" t="s">
        <v>22</v>
      </c>
      <c r="E1706" t="s">
        <v>11</v>
      </c>
      <c r="F1706" t="s">
        <v>35</v>
      </c>
      <c r="G1706">
        <v>6</v>
      </c>
      <c r="H1706">
        <v>10</v>
      </c>
      <c r="I1706" s="13">
        <v>45570</v>
      </c>
      <c r="J1706" s="13" t="str">
        <f>TEXT(Table1[[#This Row],[Date]],"[$-en-US]mmm yyyy")</f>
        <v>Oct 2024</v>
      </c>
      <c r="K1706" s="13" t="str">
        <f>TEXT(Table1[[#This Row],[Date]],"[$-en-US]ddd")</f>
        <v>Sat</v>
      </c>
    </row>
    <row r="1707" spans="1:11" x14ac:dyDescent="0.25">
      <c r="A1707">
        <v>9</v>
      </c>
      <c r="B1707" t="s">
        <v>9</v>
      </c>
      <c r="C1707">
        <v>35.76</v>
      </c>
      <c r="D1707" t="s">
        <v>19</v>
      </c>
      <c r="E1707" t="s">
        <v>11</v>
      </c>
      <c r="F1707" t="s">
        <v>35</v>
      </c>
      <c r="G1707">
        <v>6</v>
      </c>
      <c r="H1707">
        <v>10</v>
      </c>
      <c r="I1707" s="13">
        <v>45570</v>
      </c>
      <c r="J1707" s="13" t="str">
        <f>TEXT(Table1[[#This Row],[Date]],"[$-en-US]mmm yyyy")</f>
        <v>Oct 2024</v>
      </c>
      <c r="K1707" s="13" t="str">
        <f>TEXT(Table1[[#This Row],[Date]],"[$-en-US]ddd")</f>
        <v>Sat</v>
      </c>
    </row>
    <row r="1708" spans="1:11" x14ac:dyDescent="0.25">
      <c r="A1708">
        <v>13</v>
      </c>
      <c r="B1708" t="s">
        <v>9</v>
      </c>
      <c r="C1708">
        <v>35.76</v>
      </c>
      <c r="D1708" t="s">
        <v>27</v>
      </c>
      <c r="E1708" t="s">
        <v>15</v>
      </c>
      <c r="F1708" t="s">
        <v>35</v>
      </c>
      <c r="G1708">
        <v>6</v>
      </c>
      <c r="H1708">
        <v>10</v>
      </c>
      <c r="I1708" s="13">
        <v>45570</v>
      </c>
      <c r="J1708" s="13" t="str">
        <f>TEXT(Table1[[#This Row],[Date]],"[$-en-US]mmm yyyy")</f>
        <v>Oct 2024</v>
      </c>
      <c r="K1708" s="13" t="str">
        <f>TEXT(Table1[[#This Row],[Date]],"[$-en-US]ddd")</f>
        <v>Sat</v>
      </c>
    </row>
    <row r="1709" spans="1:11" x14ac:dyDescent="0.25">
      <c r="A1709">
        <v>20</v>
      </c>
      <c r="B1709" t="s">
        <v>9</v>
      </c>
      <c r="C1709">
        <v>25.96</v>
      </c>
      <c r="D1709" t="s">
        <v>16</v>
      </c>
      <c r="E1709" t="s">
        <v>18</v>
      </c>
      <c r="F1709" t="s">
        <v>35</v>
      </c>
      <c r="G1709">
        <v>6</v>
      </c>
      <c r="H1709">
        <v>10</v>
      </c>
      <c r="I1709" s="13">
        <v>45570</v>
      </c>
      <c r="J1709" s="13" t="str">
        <f>TEXT(Table1[[#This Row],[Date]],"[$-en-US]mmm yyyy")</f>
        <v>Oct 2024</v>
      </c>
      <c r="K1709" s="13" t="str">
        <f>TEXT(Table1[[#This Row],[Date]],"[$-en-US]ddd")</f>
        <v>Sat</v>
      </c>
    </row>
    <row r="1710" spans="1:11" x14ac:dyDescent="0.25">
      <c r="A1710">
        <v>20</v>
      </c>
      <c r="B1710" t="s">
        <v>9</v>
      </c>
      <c r="C1710">
        <v>25.96</v>
      </c>
      <c r="D1710" t="s">
        <v>16</v>
      </c>
      <c r="E1710" t="s">
        <v>18</v>
      </c>
      <c r="F1710" t="s">
        <v>35</v>
      </c>
      <c r="G1710">
        <v>6</v>
      </c>
      <c r="H1710">
        <v>10</v>
      </c>
      <c r="I1710" s="13">
        <v>45570</v>
      </c>
      <c r="J1710" s="13" t="str">
        <f>TEXT(Table1[[#This Row],[Date]],"[$-en-US]mmm yyyy")</f>
        <v>Oct 2024</v>
      </c>
      <c r="K1710" s="13" t="str">
        <f>TEXT(Table1[[#This Row],[Date]],"[$-en-US]ddd")</f>
        <v>Sat</v>
      </c>
    </row>
    <row r="1711" spans="1:11" x14ac:dyDescent="0.25">
      <c r="A1711">
        <v>8</v>
      </c>
      <c r="B1711" t="s">
        <v>9</v>
      </c>
      <c r="C1711">
        <v>25.96</v>
      </c>
      <c r="D1711" t="s">
        <v>22</v>
      </c>
      <c r="E1711" t="s">
        <v>11</v>
      </c>
      <c r="F1711" t="s">
        <v>35</v>
      </c>
      <c r="G1711">
        <v>7</v>
      </c>
      <c r="H1711">
        <v>10</v>
      </c>
      <c r="I1711" s="13">
        <v>45571</v>
      </c>
      <c r="J1711" s="13" t="str">
        <f>TEXT(Table1[[#This Row],[Date]],"[$-en-US]mmm yyyy")</f>
        <v>Oct 2024</v>
      </c>
      <c r="K1711" s="13" t="str">
        <f>TEXT(Table1[[#This Row],[Date]],"[$-en-US]ddd")</f>
        <v>Sun</v>
      </c>
    </row>
    <row r="1712" spans="1:11" x14ac:dyDescent="0.25">
      <c r="A1712">
        <v>10</v>
      </c>
      <c r="B1712" t="s">
        <v>9</v>
      </c>
      <c r="C1712">
        <v>35.76</v>
      </c>
      <c r="D1712" t="s">
        <v>27</v>
      </c>
      <c r="E1712" t="s">
        <v>11</v>
      </c>
      <c r="F1712" t="s">
        <v>35</v>
      </c>
      <c r="G1712">
        <v>7</v>
      </c>
      <c r="H1712">
        <v>10</v>
      </c>
      <c r="I1712" s="13">
        <v>45571</v>
      </c>
      <c r="J1712" s="13" t="str">
        <f>TEXT(Table1[[#This Row],[Date]],"[$-en-US]mmm yyyy")</f>
        <v>Oct 2024</v>
      </c>
      <c r="K1712" s="13" t="str">
        <f>TEXT(Table1[[#This Row],[Date]],"[$-en-US]ddd")</f>
        <v>Sun</v>
      </c>
    </row>
    <row r="1713" spans="1:11" x14ac:dyDescent="0.25">
      <c r="A1713">
        <v>10</v>
      </c>
      <c r="B1713" t="s">
        <v>9</v>
      </c>
      <c r="C1713">
        <v>25.96</v>
      </c>
      <c r="D1713" t="s">
        <v>22</v>
      </c>
      <c r="E1713" t="s">
        <v>11</v>
      </c>
      <c r="F1713" t="s">
        <v>35</v>
      </c>
      <c r="G1713">
        <v>7</v>
      </c>
      <c r="H1713">
        <v>10</v>
      </c>
      <c r="I1713" s="13">
        <v>45571</v>
      </c>
      <c r="J1713" s="13" t="str">
        <f>TEXT(Table1[[#This Row],[Date]],"[$-en-US]mmm yyyy")</f>
        <v>Oct 2024</v>
      </c>
      <c r="K1713" s="13" t="str">
        <f>TEXT(Table1[[#This Row],[Date]],"[$-en-US]ddd")</f>
        <v>Sun</v>
      </c>
    </row>
    <row r="1714" spans="1:11" x14ac:dyDescent="0.25">
      <c r="A1714">
        <v>11</v>
      </c>
      <c r="B1714" t="s">
        <v>9</v>
      </c>
      <c r="C1714">
        <v>35.76</v>
      </c>
      <c r="D1714" t="s">
        <v>10</v>
      </c>
      <c r="E1714" t="s">
        <v>11</v>
      </c>
      <c r="F1714" t="s">
        <v>35</v>
      </c>
      <c r="G1714">
        <v>7</v>
      </c>
      <c r="H1714">
        <v>10</v>
      </c>
      <c r="I1714" s="13">
        <v>45571</v>
      </c>
      <c r="J1714" s="13" t="str">
        <f>TEXT(Table1[[#This Row],[Date]],"[$-en-US]mmm yyyy")</f>
        <v>Oct 2024</v>
      </c>
      <c r="K1714" s="13" t="str">
        <f>TEXT(Table1[[#This Row],[Date]],"[$-en-US]ddd")</f>
        <v>Sun</v>
      </c>
    </row>
    <row r="1715" spans="1:11" x14ac:dyDescent="0.25">
      <c r="A1715">
        <v>12</v>
      </c>
      <c r="B1715" t="s">
        <v>9</v>
      </c>
      <c r="C1715">
        <v>35.76</v>
      </c>
      <c r="D1715" t="s">
        <v>10</v>
      </c>
      <c r="E1715" t="s">
        <v>15</v>
      </c>
      <c r="F1715" t="s">
        <v>35</v>
      </c>
      <c r="G1715">
        <v>7</v>
      </c>
      <c r="H1715">
        <v>10</v>
      </c>
      <c r="I1715" s="13">
        <v>45571</v>
      </c>
      <c r="J1715" s="13" t="str">
        <f>TEXT(Table1[[#This Row],[Date]],"[$-en-US]mmm yyyy")</f>
        <v>Oct 2024</v>
      </c>
      <c r="K1715" s="13" t="str">
        <f>TEXT(Table1[[#This Row],[Date]],"[$-en-US]ddd")</f>
        <v>Sun</v>
      </c>
    </row>
    <row r="1716" spans="1:11" x14ac:dyDescent="0.25">
      <c r="A1716">
        <v>12</v>
      </c>
      <c r="B1716" t="s">
        <v>9</v>
      </c>
      <c r="C1716">
        <v>35.76</v>
      </c>
      <c r="D1716" t="s">
        <v>27</v>
      </c>
      <c r="E1716" t="s">
        <v>15</v>
      </c>
      <c r="F1716" t="s">
        <v>35</v>
      </c>
      <c r="G1716">
        <v>7</v>
      </c>
      <c r="H1716">
        <v>10</v>
      </c>
      <c r="I1716" s="13">
        <v>45571</v>
      </c>
      <c r="J1716" s="13" t="str">
        <f>TEXT(Table1[[#This Row],[Date]],"[$-en-US]mmm yyyy")</f>
        <v>Oct 2024</v>
      </c>
      <c r="K1716" s="13" t="str">
        <f>TEXT(Table1[[#This Row],[Date]],"[$-en-US]ddd")</f>
        <v>Sun</v>
      </c>
    </row>
    <row r="1717" spans="1:11" x14ac:dyDescent="0.25">
      <c r="A1717">
        <v>12</v>
      </c>
      <c r="B1717" t="s">
        <v>9</v>
      </c>
      <c r="C1717">
        <v>30.86</v>
      </c>
      <c r="D1717" t="s">
        <v>17</v>
      </c>
      <c r="E1717" t="s">
        <v>15</v>
      </c>
      <c r="F1717" t="s">
        <v>35</v>
      </c>
      <c r="G1717">
        <v>7</v>
      </c>
      <c r="H1717">
        <v>10</v>
      </c>
      <c r="I1717" s="13">
        <v>45571</v>
      </c>
      <c r="J1717" s="13" t="str">
        <f>TEXT(Table1[[#This Row],[Date]],"[$-en-US]mmm yyyy")</f>
        <v>Oct 2024</v>
      </c>
      <c r="K1717" s="13" t="str">
        <f>TEXT(Table1[[#This Row],[Date]],"[$-en-US]ddd")</f>
        <v>Sun</v>
      </c>
    </row>
    <row r="1718" spans="1:11" x14ac:dyDescent="0.25">
      <c r="A1718">
        <v>13</v>
      </c>
      <c r="B1718" t="s">
        <v>9</v>
      </c>
      <c r="C1718">
        <v>25.96</v>
      </c>
      <c r="D1718" t="s">
        <v>16</v>
      </c>
      <c r="E1718" t="s">
        <v>15</v>
      </c>
      <c r="F1718" t="s">
        <v>35</v>
      </c>
      <c r="G1718">
        <v>7</v>
      </c>
      <c r="H1718">
        <v>10</v>
      </c>
      <c r="I1718" s="13">
        <v>45571</v>
      </c>
      <c r="J1718" s="13" t="str">
        <f>TEXT(Table1[[#This Row],[Date]],"[$-en-US]mmm yyyy")</f>
        <v>Oct 2024</v>
      </c>
      <c r="K1718" s="13" t="str">
        <f>TEXT(Table1[[#This Row],[Date]],"[$-en-US]ddd")</f>
        <v>Sun</v>
      </c>
    </row>
    <row r="1719" spans="1:11" x14ac:dyDescent="0.25">
      <c r="A1719">
        <v>13</v>
      </c>
      <c r="B1719" t="s">
        <v>9</v>
      </c>
      <c r="C1719">
        <v>35.76</v>
      </c>
      <c r="D1719" t="s">
        <v>27</v>
      </c>
      <c r="E1719" t="s">
        <v>15</v>
      </c>
      <c r="F1719" t="s">
        <v>35</v>
      </c>
      <c r="G1719">
        <v>7</v>
      </c>
      <c r="H1719">
        <v>10</v>
      </c>
      <c r="I1719" s="13">
        <v>45571</v>
      </c>
      <c r="J1719" s="13" t="str">
        <f>TEXT(Table1[[#This Row],[Date]],"[$-en-US]mmm yyyy")</f>
        <v>Oct 2024</v>
      </c>
      <c r="K1719" s="13" t="str">
        <f>TEXT(Table1[[#This Row],[Date]],"[$-en-US]ddd")</f>
        <v>Sun</v>
      </c>
    </row>
    <row r="1720" spans="1:11" x14ac:dyDescent="0.25">
      <c r="A1720">
        <v>13</v>
      </c>
      <c r="B1720" t="s">
        <v>9</v>
      </c>
      <c r="C1720">
        <v>30.86</v>
      </c>
      <c r="D1720" t="s">
        <v>17</v>
      </c>
      <c r="E1720" t="s">
        <v>15</v>
      </c>
      <c r="F1720" t="s">
        <v>35</v>
      </c>
      <c r="G1720">
        <v>7</v>
      </c>
      <c r="H1720">
        <v>10</v>
      </c>
      <c r="I1720" s="13">
        <v>45571</v>
      </c>
      <c r="J1720" s="13" t="str">
        <f>TEXT(Table1[[#This Row],[Date]],"[$-en-US]mmm yyyy")</f>
        <v>Oct 2024</v>
      </c>
      <c r="K1720" s="13" t="str">
        <f>TEXT(Table1[[#This Row],[Date]],"[$-en-US]ddd")</f>
        <v>Sun</v>
      </c>
    </row>
    <row r="1721" spans="1:11" x14ac:dyDescent="0.25">
      <c r="A1721">
        <v>13</v>
      </c>
      <c r="B1721" t="s">
        <v>9</v>
      </c>
      <c r="C1721">
        <v>35.76</v>
      </c>
      <c r="D1721" t="s">
        <v>10</v>
      </c>
      <c r="E1721" t="s">
        <v>15</v>
      </c>
      <c r="F1721" t="s">
        <v>35</v>
      </c>
      <c r="G1721">
        <v>7</v>
      </c>
      <c r="H1721">
        <v>10</v>
      </c>
      <c r="I1721" s="13">
        <v>45571</v>
      </c>
      <c r="J1721" s="13" t="str">
        <f>TEXT(Table1[[#This Row],[Date]],"[$-en-US]mmm yyyy")</f>
        <v>Oct 2024</v>
      </c>
      <c r="K1721" s="13" t="str">
        <f>TEXT(Table1[[#This Row],[Date]],"[$-en-US]ddd")</f>
        <v>Sun</v>
      </c>
    </row>
    <row r="1722" spans="1:11" x14ac:dyDescent="0.25">
      <c r="A1722">
        <v>13</v>
      </c>
      <c r="B1722" t="s">
        <v>9</v>
      </c>
      <c r="C1722">
        <v>35.76</v>
      </c>
      <c r="D1722" t="s">
        <v>27</v>
      </c>
      <c r="E1722" t="s">
        <v>15</v>
      </c>
      <c r="F1722" t="s">
        <v>35</v>
      </c>
      <c r="G1722">
        <v>7</v>
      </c>
      <c r="H1722">
        <v>10</v>
      </c>
      <c r="I1722" s="13">
        <v>45571</v>
      </c>
      <c r="J1722" s="13" t="str">
        <f>TEXT(Table1[[#This Row],[Date]],"[$-en-US]mmm yyyy")</f>
        <v>Oct 2024</v>
      </c>
      <c r="K1722" s="13" t="str">
        <f>TEXT(Table1[[#This Row],[Date]],"[$-en-US]ddd")</f>
        <v>Sun</v>
      </c>
    </row>
    <row r="1723" spans="1:11" x14ac:dyDescent="0.25">
      <c r="A1723">
        <v>16</v>
      </c>
      <c r="B1723" t="s">
        <v>9</v>
      </c>
      <c r="C1723">
        <v>35.76</v>
      </c>
      <c r="D1723" t="s">
        <v>27</v>
      </c>
      <c r="E1723" t="s">
        <v>15</v>
      </c>
      <c r="F1723" t="s">
        <v>35</v>
      </c>
      <c r="G1723">
        <v>7</v>
      </c>
      <c r="H1723">
        <v>10</v>
      </c>
      <c r="I1723" s="13">
        <v>45571</v>
      </c>
      <c r="J1723" s="13" t="str">
        <f>TEXT(Table1[[#This Row],[Date]],"[$-en-US]mmm yyyy")</f>
        <v>Oct 2024</v>
      </c>
      <c r="K1723" s="13" t="str">
        <f>TEXT(Table1[[#This Row],[Date]],"[$-en-US]ddd")</f>
        <v>Sun</v>
      </c>
    </row>
    <row r="1724" spans="1:11" x14ac:dyDescent="0.25">
      <c r="A1724">
        <v>16</v>
      </c>
      <c r="B1724" t="s">
        <v>9</v>
      </c>
      <c r="C1724">
        <v>21.06</v>
      </c>
      <c r="D1724" t="s">
        <v>24</v>
      </c>
      <c r="E1724" t="s">
        <v>15</v>
      </c>
      <c r="F1724" t="s">
        <v>35</v>
      </c>
      <c r="G1724">
        <v>7</v>
      </c>
      <c r="H1724">
        <v>10</v>
      </c>
      <c r="I1724" s="13">
        <v>45571</v>
      </c>
      <c r="J1724" s="13" t="str">
        <f>TEXT(Table1[[#This Row],[Date]],"[$-en-US]mmm yyyy")</f>
        <v>Oct 2024</v>
      </c>
      <c r="K1724" s="13" t="str">
        <f>TEXT(Table1[[#This Row],[Date]],"[$-en-US]ddd")</f>
        <v>Sun</v>
      </c>
    </row>
    <row r="1725" spans="1:11" x14ac:dyDescent="0.25">
      <c r="A1725">
        <v>18</v>
      </c>
      <c r="B1725" t="s">
        <v>9</v>
      </c>
      <c r="C1725">
        <v>30.86</v>
      </c>
      <c r="D1725" t="s">
        <v>17</v>
      </c>
      <c r="E1725" t="s">
        <v>18</v>
      </c>
      <c r="F1725" t="s">
        <v>35</v>
      </c>
      <c r="G1725">
        <v>7</v>
      </c>
      <c r="H1725">
        <v>10</v>
      </c>
      <c r="I1725" s="13">
        <v>45571</v>
      </c>
      <c r="J1725" s="13" t="str">
        <f>TEXT(Table1[[#This Row],[Date]],"[$-en-US]mmm yyyy")</f>
        <v>Oct 2024</v>
      </c>
      <c r="K1725" s="13" t="str">
        <f>TEXT(Table1[[#This Row],[Date]],"[$-en-US]ddd")</f>
        <v>Sun</v>
      </c>
    </row>
    <row r="1726" spans="1:11" x14ac:dyDescent="0.25">
      <c r="A1726">
        <v>18</v>
      </c>
      <c r="B1726" t="s">
        <v>9</v>
      </c>
      <c r="C1726">
        <v>35.76</v>
      </c>
      <c r="D1726" t="s">
        <v>14</v>
      </c>
      <c r="E1726" t="s">
        <v>18</v>
      </c>
      <c r="F1726" t="s">
        <v>35</v>
      </c>
      <c r="G1726">
        <v>7</v>
      </c>
      <c r="H1726">
        <v>10</v>
      </c>
      <c r="I1726" s="13">
        <v>45571</v>
      </c>
      <c r="J1726" s="13" t="str">
        <f>TEXT(Table1[[#This Row],[Date]],"[$-en-US]mmm yyyy")</f>
        <v>Oct 2024</v>
      </c>
      <c r="K1726" s="13" t="str">
        <f>TEXT(Table1[[#This Row],[Date]],"[$-en-US]ddd")</f>
        <v>Sun</v>
      </c>
    </row>
    <row r="1727" spans="1:11" x14ac:dyDescent="0.25">
      <c r="A1727">
        <v>21</v>
      </c>
      <c r="B1727" t="s">
        <v>9</v>
      </c>
      <c r="C1727">
        <v>35.76</v>
      </c>
      <c r="D1727" t="s">
        <v>14</v>
      </c>
      <c r="E1727" t="s">
        <v>18</v>
      </c>
      <c r="F1727" t="s">
        <v>35</v>
      </c>
      <c r="G1727">
        <v>7</v>
      </c>
      <c r="H1727">
        <v>10</v>
      </c>
      <c r="I1727" s="13">
        <v>45571</v>
      </c>
      <c r="J1727" s="13" t="str">
        <f>TEXT(Table1[[#This Row],[Date]],"[$-en-US]mmm yyyy")</f>
        <v>Oct 2024</v>
      </c>
      <c r="K1727" s="13" t="str">
        <f>TEXT(Table1[[#This Row],[Date]],"[$-en-US]ddd")</f>
        <v>Sun</v>
      </c>
    </row>
    <row r="1728" spans="1:11" x14ac:dyDescent="0.25">
      <c r="A1728">
        <v>21</v>
      </c>
      <c r="B1728" t="s">
        <v>9</v>
      </c>
      <c r="C1728">
        <v>35.76</v>
      </c>
      <c r="D1728" t="s">
        <v>14</v>
      </c>
      <c r="E1728" t="s">
        <v>18</v>
      </c>
      <c r="F1728" t="s">
        <v>35</v>
      </c>
      <c r="G1728">
        <v>7</v>
      </c>
      <c r="H1728">
        <v>10</v>
      </c>
      <c r="I1728" s="13">
        <v>45571</v>
      </c>
      <c r="J1728" s="13" t="str">
        <f>TEXT(Table1[[#This Row],[Date]],"[$-en-US]mmm yyyy")</f>
        <v>Oct 2024</v>
      </c>
      <c r="K1728" s="13" t="str">
        <f>TEXT(Table1[[#This Row],[Date]],"[$-en-US]ddd")</f>
        <v>Sun</v>
      </c>
    </row>
    <row r="1729" spans="1:11" x14ac:dyDescent="0.25">
      <c r="A1729">
        <v>21</v>
      </c>
      <c r="B1729" t="s">
        <v>9</v>
      </c>
      <c r="C1729">
        <v>35.76</v>
      </c>
      <c r="D1729" t="s">
        <v>14</v>
      </c>
      <c r="E1729" t="s">
        <v>18</v>
      </c>
      <c r="F1729" t="s">
        <v>35</v>
      </c>
      <c r="G1729">
        <v>7</v>
      </c>
      <c r="H1729">
        <v>10</v>
      </c>
      <c r="I1729" s="13">
        <v>45571</v>
      </c>
      <c r="J1729" s="13" t="str">
        <f>TEXT(Table1[[#This Row],[Date]],"[$-en-US]mmm yyyy")</f>
        <v>Oct 2024</v>
      </c>
      <c r="K1729" s="13" t="str">
        <f>TEXT(Table1[[#This Row],[Date]],"[$-en-US]ddd")</f>
        <v>Sun</v>
      </c>
    </row>
    <row r="1730" spans="1:11" x14ac:dyDescent="0.25">
      <c r="A1730">
        <v>21</v>
      </c>
      <c r="B1730" t="s">
        <v>9</v>
      </c>
      <c r="C1730">
        <v>35.76</v>
      </c>
      <c r="D1730" t="s">
        <v>10</v>
      </c>
      <c r="E1730" t="s">
        <v>18</v>
      </c>
      <c r="F1730" t="s">
        <v>35</v>
      </c>
      <c r="G1730">
        <v>7</v>
      </c>
      <c r="H1730">
        <v>10</v>
      </c>
      <c r="I1730" s="13">
        <v>45571</v>
      </c>
      <c r="J1730" s="13" t="str">
        <f>TEXT(Table1[[#This Row],[Date]],"[$-en-US]mmm yyyy")</f>
        <v>Oct 2024</v>
      </c>
      <c r="K1730" s="13" t="str">
        <f>TEXT(Table1[[#This Row],[Date]],"[$-en-US]ddd")</f>
        <v>Sun</v>
      </c>
    </row>
    <row r="1731" spans="1:11" x14ac:dyDescent="0.25">
      <c r="A1731">
        <v>8</v>
      </c>
      <c r="B1731" t="s">
        <v>9</v>
      </c>
      <c r="C1731">
        <v>35.76</v>
      </c>
      <c r="D1731" t="s">
        <v>10</v>
      </c>
      <c r="E1731" t="s">
        <v>11</v>
      </c>
      <c r="F1731" t="s">
        <v>35</v>
      </c>
      <c r="G1731">
        <v>1</v>
      </c>
      <c r="H1731">
        <v>10</v>
      </c>
      <c r="I1731" s="13">
        <v>45572</v>
      </c>
      <c r="J1731" s="13" t="str">
        <f>TEXT(Table1[[#This Row],[Date]],"[$-en-US]mmm yyyy")</f>
        <v>Oct 2024</v>
      </c>
      <c r="K1731" s="13" t="str">
        <f>TEXT(Table1[[#This Row],[Date]],"[$-en-US]ddd")</f>
        <v>Mon</v>
      </c>
    </row>
    <row r="1732" spans="1:11" x14ac:dyDescent="0.25">
      <c r="A1732">
        <v>8</v>
      </c>
      <c r="B1732" t="s">
        <v>9</v>
      </c>
      <c r="C1732">
        <v>35.76</v>
      </c>
      <c r="D1732" t="s">
        <v>10</v>
      </c>
      <c r="E1732" t="s">
        <v>11</v>
      </c>
      <c r="F1732" t="s">
        <v>35</v>
      </c>
      <c r="G1732">
        <v>1</v>
      </c>
      <c r="H1732">
        <v>10</v>
      </c>
      <c r="I1732" s="13">
        <v>45572</v>
      </c>
      <c r="J1732" s="13" t="str">
        <f>TEXT(Table1[[#This Row],[Date]],"[$-en-US]mmm yyyy")</f>
        <v>Oct 2024</v>
      </c>
      <c r="K1732" s="13" t="str">
        <f>TEXT(Table1[[#This Row],[Date]],"[$-en-US]ddd")</f>
        <v>Mon</v>
      </c>
    </row>
    <row r="1733" spans="1:11" x14ac:dyDescent="0.25">
      <c r="A1733">
        <v>8</v>
      </c>
      <c r="B1733" t="s">
        <v>9</v>
      </c>
      <c r="C1733">
        <v>30.86</v>
      </c>
      <c r="D1733" t="s">
        <v>17</v>
      </c>
      <c r="E1733" t="s">
        <v>11</v>
      </c>
      <c r="F1733" t="s">
        <v>35</v>
      </c>
      <c r="G1733">
        <v>1</v>
      </c>
      <c r="H1733">
        <v>10</v>
      </c>
      <c r="I1733" s="13">
        <v>45572</v>
      </c>
      <c r="J1733" s="13" t="str">
        <f>TEXT(Table1[[#This Row],[Date]],"[$-en-US]mmm yyyy")</f>
        <v>Oct 2024</v>
      </c>
      <c r="K1733" s="13" t="str">
        <f>TEXT(Table1[[#This Row],[Date]],"[$-en-US]ddd")</f>
        <v>Mon</v>
      </c>
    </row>
    <row r="1734" spans="1:11" x14ac:dyDescent="0.25">
      <c r="A1734">
        <v>9</v>
      </c>
      <c r="B1734" t="s">
        <v>9</v>
      </c>
      <c r="C1734">
        <v>35.76</v>
      </c>
      <c r="D1734" t="s">
        <v>19</v>
      </c>
      <c r="E1734" t="s">
        <v>11</v>
      </c>
      <c r="F1734" t="s">
        <v>35</v>
      </c>
      <c r="G1734">
        <v>1</v>
      </c>
      <c r="H1734">
        <v>10</v>
      </c>
      <c r="I1734" s="13">
        <v>45572</v>
      </c>
      <c r="J1734" s="13" t="str">
        <f>TEXT(Table1[[#This Row],[Date]],"[$-en-US]mmm yyyy")</f>
        <v>Oct 2024</v>
      </c>
      <c r="K1734" s="13" t="str">
        <f>TEXT(Table1[[#This Row],[Date]],"[$-en-US]ddd")</f>
        <v>Mon</v>
      </c>
    </row>
    <row r="1735" spans="1:11" x14ac:dyDescent="0.25">
      <c r="A1735">
        <v>9</v>
      </c>
      <c r="B1735" t="s">
        <v>9</v>
      </c>
      <c r="C1735">
        <v>35.76</v>
      </c>
      <c r="D1735" t="s">
        <v>10</v>
      </c>
      <c r="E1735" t="s">
        <v>11</v>
      </c>
      <c r="F1735" t="s">
        <v>35</v>
      </c>
      <c r="G1735">
        <v>1</v>
      </c>
      <c r="H1735">
        <v>10</v>
      </c>
      <c r="I1735" s="13">
        <v>45572</v>
      </c>
      <c r="J1735" s="13" t="str">
        <f>TEXT(Table1[[#This Row],[Date]],"[$-en-US]mmm yyyy")</f>
        <v>Oct 2024</v>
      </c>
      <c r="K1735" s="13" t="str">
        <f>TEXT(Table1[[#This Row],[Date]],"[$-en-US]ddd")</f>
        <v>Mon</v>
      </c>
    </row>
    <row r="1736" spans="1:11" x14ac:dyDescent="0.25">
      <c r="A1736">
        <v>12</v>
      </c>
      <c r="B1736" t="s">
        <v>9</v>
      </c>
      <c r="C1736">
        <v>30.86</v>
      </c>
      <c r="D1736" t="s">
        <v>17</v>
      </c>
      <c r="E1736" t="s">
        <v>15</v>
      </c>
      <c r="F1736" t="s">
        <v>35</v>
      </c>
      <c r="G1736">
        <v>1</v>
      </c>
      <c r="H1736">
        <v>10</v>
      </c>
      <c r="I1736" s="13">
        <v>45572</v>
      </c>
      <c r="J1736" s="13" t="str">
        <f>TEXT(Table1[[#This Row],[Date]],"[$-en-US]mmm yyyy")</f>
        <v>Oct 2024</v>
      </c>
      <c r="K1736" s="13" t="str">
        <f>TEXT(Table1[[#This Row],[Date]],"[$-en-US]ddd")</f>
        <v>Mon</v>
      </c>
    </row>
    <row r="1737" spans="1:11" x14ac:dyDescent="0.25">
      <c r="A1737">
        <v>14</v>
      </c>
      <c r="B1737" t="s">
        <v>9</v>
      </c>
      <c r="C1737">
        <v>25.96</v>
      </c>
      <c r="D1737" t="s">
        <v>16</v>
      </c>
      <c r="E1737" t="s">
        <v>15</v>
      </c>
      <c r="F1737" t="s">
        <v>35</v>
      </c>
      <c r="G1737">
        <v>1</v>
      </c>
      <c r="H1737">
        <v>10</v>
      </c>
      <c r="I1737" s="13">
        <v>45572</v>
      </c>
      <c r="J1737" s="13" t="str">
        <f>TEXT(Table1[[#This Row],[Date]],"[$-en-US]mmm yyyy")</f>
        <v>Oct 2024</v>
      </c>
      <c r="K1737" s="13" t="str">
        <f>TEXT(Table1[[#This Row],[Date]],"[$-en-US]ddd")</f>
        <v>Mon</v>
      </c>
    </row>
    <row r="1738" spans="1:11" x14ac:dyDescent="0.25">
      <c r="A1738">
        <v>14</v>
      </c>
      <c r="B1738" t="s">
        <v>9</v>
      </c>
      <c r="C1738">
        <v>25.96</v>
      </c>
      <c r="D1738" t="s">
        <v>16</v>
      </c>
      <c r="E1738" t="s">
        <v>15</v>
      </c>
      <c r="F1738" t="s">
        <v>35</v>
      </c>
      <c r="G1738">
        <v>1</v>
      </c>
      <c r="H1738">
        <v>10</v>
      </c>
      <c r="I1738" s="13">
        <v>45572</v>
      </c>
      <c r="J1738" s="13" t="str">
        <f>TEXT(Table1[[#This Row],[Date]],"[$-en-US]mmm yyyy")</f>
        <v>Oct 2024</v>
      </c>
      <c r="K1738" s="13" t="str">
        <f>TEXT(Table1[[#This Row],[Date]],"[$-en-US]ddd")</f>
        <v>Mon</v>
      </c>
    </row>
    <row r="1739" spans="1:11" x14ac:dyDescent="0.25">
      <c r="A1739">
        <v>17</v>
      </c>
      <c r="B1739" t="s">
        <v>9</v>
      </c>
      <c r="C1739">
        <v>35.76</v>
      </c>
      <c r="D1739" t="s">
        <v>10</v>
      </c>
      <c r="E1739" t="s">
        <v>18</v>
      </c>
      <c r="F1739" t="s">
        <v>35</v>
      </c>
      <c r="G1739">
        <v>1</v>
      </c>
      <c r="H1739">
        <v>10</v>
      </c>
      <c r="I1739" s="13">
        <v>45572</v>
      </c>
      <c r="J1739" s="13" t="str">
        <f>TEXT(Table1[[#This Row],[Date]],"[$-en-US]mmm yyyy")</f>
        <v>Oct 2024</v>
      </c>
      <c r="K1739" s="13" t="str">
        <f>TEXT(Table1[[#This Row],[Date]],"[$-en-US]ddd")</f>
        <v>Mon</v>
      </c>
    </row>
    <row r="1740" spans="1:11" x14ac:dyDescent="0.25">
      <c r="A1740">
        <v>21</v>
      </c>
      <c r="B1740" t="s">
        <v>9</v>
      </c>
      <c r="C1740">
        <v>35.76</v>
      </c>
      <c r="D1740" t="s">
        <v>14</v>
      </c>
      <c r="E1740" t="s">
        <v>18</v>
      </c>
      <c r="F1740" t="s">
        <v>35</v>
      </c>
      <c r="G1740">
        <v>1</v>
      </c>
      <c r="H1740">
        <v>10</v>
      </c>
      <c r="I1740" s="13">
        <v>45572</v>
      </c>
      <c r="J1740" s="13" t="str">
        <f>TEXT(Table1[[#This Row],[Date]],"[$-en-US]mmm yyyy")</f>
        <v>Oct 2024</v>
      </c>
      <c r="K1740" s="13" t="str">
        <f>TEXT(Table1[[#This Row],[Date]],"[$-en-US]ddd")</f>
        <v>Mon</v>
      </c>
    </row>
    <row r="1741" spans="1:11" x14ac:dyDescent="0.25">
      <c r="A1741">
        <v>21</v>
      </c>
      <c r="B1741" t="s">
        <v>9</v>
      </c>
      <c r="C1741">
        <v>35.76</v>
      </c>
      <c r="D1741" t="s">
        <v>14</v>
      </c>
      <c r="E1741" t="s">
        <v>18</v>
      </c>
      <c r="F1741" t="s">
        <v>35</v>
      </c>
      <c r="G1741">
        <v>1</v>
      </c>
      <c r="H1741">
        <v>10</v>
      </c>
      <c r="I1741" s="13">
        <v>45572</v>
      </c>
      <c r="J1741" s="13" t="str">
        <f>TEXT(Table1[[#This Row],[Date]],"[$-en-US]mmm yyyy")</f>
        <v>Oct 2024</v>
      </c>
      <c r="K1741" s="13" t="str">
        <f>TEXT(Table1[[#This Row],[Date]],"[$-en-US]ddd")</f>
        <v>Mon</v>
      </c>
    </row>
    <row r="1742" spans="1:11" x14ac:dyDescent="0.25">
      <c r="A1742">
        <v>21</v>
      </c>
      <c r="B1742" t="s">
        <v>9</v>
      </c>
      <c r="C1742">
        <v>35.76</v>
      </c>
      <c r="D1742" t="s">
        <v>10</v>
      </c>
      <c r="E1742" t="s">
        <v>18</v>
      </c>
      <c r="F1742" t="s">
        <v>35</v>
      </c>
      <c r="G1742">
        <v>1</v>
      </c>
      <c r="H1742">
        <v>10</v>
      </c>
      <c r="I1742" s="13">
        <v>45572</v>
      </c>
      <c r="J1742" s="13" t="str">
        <f>TEXT(Table1[[#This Row],[Date]],"[$-en-US]mmm yyyy")</f>
        <v>Oct 2024</v>
      </c>
      <c r="K1742" s="13" t="str">
        <f>TEXT(Table1[[#This Row],[Date]],"[$-en-US]ddd")</f>
        <v>Mon</v>
      </c>
    </row>
    <row r="1743" spans="1:11" x14ac:dyDescent="0.25">
      <c r="A1743">
        <v>8</v>
      </c>
      <c r="B1743" t="s">
        <v>9</v>
      </c>
      <c r="C1743">
        <v>35.76</v>
      </c>
      <c r="D1743" t="s">
        <v>10</v>
      </c>
      <c r="E1743" t="s">
        <v>11</v>
      </c>
      <c r="F1743" t="s">
        <v>35</v>
      </c>
      <c r="G1743">
        <v>2</v>
      </c>
      <c r="H1743">
        <v>10</v>
      </c>
      <c r="I1743" s="13">
        <v>45573</v>
      </c>
      <c r="J1743" s="13" t="str">
        <f>TEXT(Table1[[#This Row],[Date]],"[$-en-US]mmm yyyy")</f>
        <v>Oct 2024</v>
      </c>
      <c r="K1743" s="13" t="str">
        <f>TEXT(Table1[[#This Row],[Date]],"[$-en-US]ddd")</f>
        <v>Tue</v>
      </c>
    </row>
    <row r="1744" spans="1:11" x14ac:dyDescent="0.25">
      <c r="A1744">
        <v>9</v>
      </c>
      <c r="B1744" t="s">
        <v>9</v>
      </c>
      <c r="C1744">
        <v>30.86</v>
      </c>
      <c r="D1744" t="s">
        <v>17</v>
      </c>
      <c r="E1744" t="s">
        <v>11</v>
      </c>
      <c r="F1744" t="s">
        <v>35</v>
      </c>
      <c r="G1744">
        <v>2</v>
      </c>
      <c r="H1744">
        <v>10</v>
      </c>
      <c r="I1744" s="13">
        <v>45573</v>
      </c>
      <c r="J1744" s="13" t="str">
        <f>TEXT(Table1[[#This Row],[Date]],"[$-en-US]mmm yyyy")</f>
        <v>Oct 2024</v>
      </c>
      <c r="K1744" s="13" t="str">
        <f>TEXT(Table1[[#This Row],[Date]],"[$-en-US]ddd")</f>
        <v>Tue</v>
      </c>
    </row>
    <row r="1745" spans="1:11" x14ac:dyDescent="0.25">
      <c r="A1745">
        <v>10</v>
      </c>
      <c r="B1745" t="s">
        <v>9</v>
      </c>
      <c r="C1745">
        <v>25.96</v>
      </c>
      <c r="D1745" t="s">
        <v>16</v>
      </c>
      <c r="E1745" t="s">
        <v>11</v>
      </c>
      <c r="F1745" t="s">
        <v>35</v>
      </c>
      <c r="G1745">
        <v>2</v>
      </c>
      <c r="H1745">
        <v>10</v>
      </c>
      <c r="I1745" s="13">
        <v>45573</v>
      </c>
      <c r="J1745" s="13" t="str">
        <f>TEXT(Table1[[#This Row],[Date]],"[$-en-US]mmm yyyy")</f>
        <v>Oct 2024</v>
      </c>
      <c r="K1745" s="13" t="str">
        <f>TEXT(Table1[[#This Row],[Date]],"[$-en-US]ddd")</f>
        <v>Tue</v>
      </c>
    </row>
    <row r="1746" spans="1:11" x14ac:dyDescent="0.25">
      <c r="A1746">
        <v>10</v>
      </c>
      <c r="B1746" t="s">
        <v>9</v>
      </c>
      <c r="C1746">
        <v>35.76</v>
      </c>
      <c r="D1746" t="s">
        <v>10</v>
      </c>
      <c r="E1746" t="s">
        <v>11</v>
      </c>
      <c r="F1746" t="s">
        <v>35</v>
      </c>
      <c r="G1746">
        <v>2</v>
      </c>
      <c r="H1746">
        <v>10</v>
      </c>
      <c r="I1746" s="13">
        <v>45573</v>
      </c>
      <c r="J1746" s="13" t="str">
        <f>TEXT(Table1[[#This Row],[Date]],"[$-en-US]mmm yyyy")</f>
        <v>Oct 2024</v>
      </c>
      <c r="K1746" s="13" t="str">
        <f>TEXT(Table1[[#This Row],[Date]],"[$-en-US]ddd")</f>
        <v>Tue</v>
      </c>
    </row>
    <row r="1747" spans="1:11" x14ac:dyDescent="0.25">
      <c r="A1747">
        <v>11</v>
      </c>
      <c r="B1747" t="s">
        <v>9</v>
      </c>
      <c r="C1747">
        <v>35.76</v>
      </c>
      <c r="D1747" t="s">
        <v>10</v>
      </c>
      <c r="E1747" t="s">
        <v>11</v>
      </c>
      <c r="F1747" t="s">
        <v>35</v>
      </c>
      <c r="G1747">
        <v>2</v>
      </c>
      <c r="H1747">
        <v>10</v>
      </c>
      <c r="I1747" s="13">
        <v>45573</v>
      </c>
      <c r="J1747" s="13" t="str">
        <f>TEXT(Table1[[#This Row],[Date]],"[$-en-US]mmm yyyy")</f>
        <v>Oct 2024</v>
      </c>
      <c r="K1747" s="13" t="str">
        <f>TEXT(Table1[[#This Row],[Date]],"[$-en-US]ddd")</f>
        <v>Tue</v>
      </c>
    </row>
    <row r="1748" spans="1:11" x14ac:dyDescent="0.25">
      <c r="A1748">
        <v>12</v>
      </c>
      <c r="B1748" t="s">
        <v>9</v>
      </c>
      <c r="C1748">
        <v>25.96</v>
      </c>
      <c r="D1748" t="s">
        <v>16</v>
      </c>
      <c r="E1748" t="s">
        <v>15</v>
      </c>
      <c r="F1748" t="s">
        <v>35</v>
      </c>
      <c r="G1748">
        <v>2</v>
      </c>
      <c r="H1748">
        <v>10</v>
      </c>
      <c r="I1748" s="13">
        <v>45573</v>
      </c>
      <c r="J1748" s="13" t="str">
        <f>TEXT(Table1[[#This Row],[Date]],"[$-en-US]mmm yyyy")</f>
        <v>Oct 2024</v>
      </c>
      <c r="K1748" s="13" t="str">
        <f>TEXT(Table1[[#This Row],[Date]],"[$-en-US]ddd")</f>
        <v>Tue</v>
      </c>
    </row>
    <row r="1749" spans="1:11" x14ac:dyDescent="0.25">
      <c r="A1749">
        <v>12</v>
      </c>
      <c r="B1749" t="s">
        <v>9</v>
      </c>
      <c r="C1749">
        <v>25.96</v>
      </c>
      <c r="D1749" t="s">
        <v>16</v>
      </c>
      <c r="E1749" t="s">
        <v>15</v>
      </c>
      <c r="F1749" t="s">
        <v>35</v>
      </c>
      <c r="G1749">
        <v>2</v>
      </c>
      <c r="H1749">
        <v>10</v>
      </c>
      <c r="I1749" s="13">
        <v>45573</v>
      </c>
      <c r="J1749" s="13" t="str">
        <f>TEXT(Table1[[#This Row],[Date]],"[$-en-US]mmm yyyy")</f>
        <v>Oct 2024</v>
      </c>
      <c r="K1749" s="13" t="str">
        <f>TEXT(Table1[[#This Row],[Date]],"[$-en-US]ddd")</f>
        <v>Tue</v>
      </c>
    </row>
    <row r="1750" spans="1:11" x14ac:dyDescent="0.25">
      <c r="A1750">
        <v>13</v>
      </c>
      <c r="B1750" t="s">
        <v>9</v>
      </c>
      <c r="C1750">
        <v>35.76</v>
      </c>
      <c r="D1750" t="s">
        <v>10</v>
      </c>
      <c r="E1750" t="s">
        <v>15</v>
      </c>
      <c r="F1750" t="s">
        <v>35</v>
      </c>
      <c r="G1750">
        <v>2</v>
      </c>
      <c r="H1750">
        <v>10</v>
      </c>
      <c r="I1750" s="13">
        <v>45573</v>
      </c>
      <c r="J1750" s="13" t="str">
        <f>TEXT(Table1[[#This Row],[Date]],"[$-en-US]mmm yyyy")</f>
        <v>Oct 2024</v>
      </c>
      <c r="K1750" s="13" t="str">
        <f>TEXT(Table1[[#This Row],[Date]],"[$-en-US]ddd")</f>
        <v>Tue</v>
      </c>
    </row>
    <row r="1751" spans="1:11" x14ac:dyDescent="0.25">
      <c r="A1751">
        <v>13</v>
      </c>
      <c r="B1751" t="s">
        <v>9</v>
      </c>
      <c r="C1751">
        <v>35.76</v>
      </c>
      <c r="D1751" t="s">
        <v>10</v>
      </c>
      <c r="E1751" t="s">
        <v>15</v>
      </c>
      <c r="F1751" t="s">
        <v>35</v>
      </c>
      <c r="G1751">
        <v>2</v>
      </c>
      <c r="H1751">
        <v>10</v>
      </c>
      <c r="I1751" s="13">
        <v>45573</v>
      </c>
      <c r="J1751" s="13" t="str">
        <f>TEXT(Table1[[#This Row],[Date]],"[$-en-US]mmm yyyy")</f>
        <v>Oct 2024</v>
      </c>
      <c r="K1751" s="13" t="str">
        <f>TEXT(Table1[[#This Row],[Date]],"[$-en-US]ddd")</f>
        <v>Tue</v>
      </c>
    </row>
    <row r="1752" spans="1:11" x14ac:dyDescent="0.25">
      <c r="A1752">
        <v>14</v>
      </c>
      <c r="B1752" t="s">
        <v>9</v>
      </c>
      <c r="C1752">
        <v>35.76</v>
      </c>
      <c r="D1752" t="s">
        <v>10</v>
      </c>
      <c r="E1752" t="s">
        <v>15</v>
      </c>
      <c r="F1752" t="s">
        <v>35</v>
      </c>
      <c r="G1752">
        <v>2</v>
      </c>
      <c r="H1752">
        <v>10</v>
      </c>
      <c r="I1752" s="13">
        <v>45573</v>
      </c>
      <c r="J1752" s="13" t="str">
        <f>TEXT(Table1[[#This Row],[Date]],"[$-en-US]mmm yyyy")</f>
        <v>Oct 2024</v>
      </c>
      <c r="K1752" s="13" t="str">
        <f>TEXT(Table1[[#This Row],[Date]],"[$-en-US]ddd")</f>
        <v>Tue</v>
      </c>
    </row>
    <row r="1753" spans="1:11" x14ac:dyDescent="0.25">
      <c r="A1753">
        <v>15</v>
      </c>
      <c r="B1753" t="s">
        <v>9</v>
      </c>
      <c r="C1753">
        <v>35.76</v>
      </c>
      <c r="D1753" t="s">
        <v>10</v>
      </c>
      <c r="E1753" t="s">
        <v>15</v>
      </c>
      <c r="F1753" t="s">
        <v>35</v>
      </c>
      <c r="G1753">
        <v>2</v>
      </c>
      <c r="H1753">
        <v>10</v>
      </c>
      <c r="I1753" s="13">
        <v>45573</v>
      </c>
      <c r="J1753" s="13" t="str">
        <f>TEXT(Table1[[#This Row],[Date]],"[$-en-US]mmm yyyy")</f>
        <v>Oct 2024</v>
      </c>
      <c r="K1753" s="13" t="str">
        <f>TEXT(Table1[[#This Row],[Date]],"[$-en-US]ddd")</f>
        <v>Tue</v>
      </c>
    </row>
    <row r="1754" spans="1:11" x14ac:dyDescent="0.25">
      <c r="A1754">
        <v>15</v>
      </c>
      <c r="B1754" t="s">
        <v>9</v>
      </c>
      <c r="C1754">
        <v>25.96</v>
      </c>
      <c r="D1754" t="s">
        <v>16</v>
      </c>
      <c r="E1754" t="s">
        <v>15</v>
      </c>
      <c r="F1754" t="s">
        <v>35</v>
      </c>
      <c r="G1754">
        <v>2</v>
      </c>
      <c r="H1754">
        <v>10</v>
      </c>
      <c r="I1754" s="13">
        <v>45573</v>
      </c>
      <c r="J1754" s="13" t="str">
        <f>TEXT(Table1[[#This Row],[Date]],"[$-en-US]mmm yyyy")</f>
        <v>Oct 2024</v>
      </c>
      <c r="K1754" s="13" t="str">
        <f>TEXT(Table1[[#This Row],[Date]],"[$-en-US]ddd")</f>
        <v>Tue</v>
      </c>
    </row>
    <row r="1755" spans="1:11" x14ac:dyDescent="0.25">
      <c r="A1755">
        <v>15</v>
      </c>
      <c r="B1755" t="s">
        <v>9</v>
      </c>
      <c r="C1755">
        <v>30.86</v>
      </c>
      <c r="D1755" t="s">
        <v>17</v>
      </c>
      <c r="E1755" t="s">
        <v>15</v>
      </c>
      <c r="F1755" t="s">
        <v>35</v>
      </c>
      <c r="G1755">
        <v>2</v>
      </c>
      <c r="H1755">
        <v>10</v>
      </c>
      <c r="I1755" s="13">
        <v>45573</v>
      </c>
      <c r="J1755" s="13" t="str">
        <f>TEXT(Table1[[#This Row],[Date]],"[$-en-US]mmm yyyy")</f>
        <v>Oct 2024</v>
      </c>
      <c r="K1755" s="13" t="str">
        <f>TEXT(Table1[[#This Row],[Date]],"[$-en-US]ddd")</f>
        <v>Tue</v>
      </c>
    </row>
    <row r="1756" spans="1:11" x14ac:dyDescent="0.25">
      <c r="A1756">
        <v>20</v>
      </c>
      <c r="B1756" t="s">
        <v>9</v>
      </c>
      <c r="C1756">
        <v>35.76</v>
      </c>
      <c r="D1756" t="s">
        <v>14</v>
      </c>
      <c r="E1756" t="s">
        <v>18</v>
      </c>
      <c r="F1756" t="s">
        <v>35</v>
      </c>
      <c r="G1756">
        <v>2</v>
      </c>
      <c r="H1756">
        <v>10</v>
      </c>
      <c r="I1756" s="13">
        <v>45573</v>
      </c>
      <c r="J1756" s="13" t="str">
        <f>TEXT(Table1[[#This Row],[Date]],"[$-en-US]mmm yyyy")</f>
        <v>Oct 2024</v>
      </c>
      <c r="K1756" s="13" t="str">
        <f>TEXT(Table1[[#This Row],[Date]],"[$-en-US]ddd")</f>
        <v>Tue</v>
      </c>
    </row>
    <row r="1757" spans="1:11" x14ac:dyDescent="0.25">
      <c r="A1757">
        <v>20</v>
      </c>
      <c r="B1757" t="s">
        <v>9</v>
      </c>
      <c r="C1757">
        <v>35.76</v>
      </c>
      <c r="D1757" t="s">
        <v>27</v>
      </c>
      <c r="E1757" t="s">
        <v>18</v>
      </c>
      <c r="F1757" t="s">
        <v>35</v>
      </c>
      <c r="G1757">
        <v>2</v>
      </c>
      <c r="H1757">
        <v>10</v>
      </c>
      <c r="I1757" s="13">
        <v>45573</v>
      </c>
      <c r="J1757" s="13" t="str">
        <f>TEXT(Table1[[#This Row],[Date]],"[$-en-US]mmm yyyy")</f>
        <v>Oct 2024</v>
      </c>
      <c r="K1757" s="13" t="str">
        <f>TEXT(Table1[[#This Row],[Date]],"[$-en-US]ddd")</f>
        <v>Tue</v>
      </c>
    </row>
    <row r="1758" spans="1:11" x14ac:dyDescent="0.25">
      <c r="A1758">
        <v>20</v>
      </c>
      <c r="B1758" t="s">
        <v>9</v>
      </c>
      <c r="C1758">
        <v>35.76</v>
      </c>
      <c r="D1758" t="s">
        <v>10</v>
      </c>
      <c r="E1758" t="s">
        <v>18</v>
      </c>
      <c r="F1758" t="s">
        <v>35</v>
      </c>
      <c r="G1758">
        <v>2</v>
      </c>
      <c r="H1758">
        <v>10</v>
      </c>
      <c r="I1758" s="13">
        <v>45573</v>
      </c>
      <c r="J1758" s="13" t="str">
        <f>TEXT(Table1[[#This Row],[Date]],"[$-en-US]mmm yyyy")</f>
        <v>Oct 2024</v>
      </c>
      <c r="K1758" s="13" t="str">
        <f>TEXT(Table1[[#This Row],[Date]],"[$-en-US]ddd")</f>
        <v>Tue</v>
      </c>
    </row>
    <row r="1759" spans="1:11" x14ac:dyDescent="0.25">
      <c r="A1759">
        <v>21</v>
      </c>
      <c r="B1759" t="s">
        <v>9</v>
      </c>
      <c r="C1759">
        <v>30.86</v>
      </c>
      <c r="D1759" t="s">
        <v>17</v>
      </c>
      <c r="E1759" t="s">
        <v>18</v>
      </c>
      <c r="F1759" t="s">
        <v>35</v>
      </c>
      <c r="G1759">
        <v>2</v>
      </c>
      <c r="H1759">
        <v>10</v>
      </c>
      <c r="I1759" s="13">
        <v>45573</v>
      </c>
      <c r="J1759" s="13" t="str">
        <f>TEXT(Table1[[#This Row],[Date]],"[$-en-US]mmm yyyy")</f>
        <v>Oct 2024</v>
      </c>
      <c r="K1759" s="13" t="str">
        <f>TEXT(Table1[[#This Row],[Date]],"[$-en-US]ddd")</f>
        <v>Tue</v>
      </c>
    </row>
    <row r="1760" spans="1:11" x14ac:dyDescent="0.25">
      <c r="A1760">
        <v>21</v>
      </c>
      <c r="B1760" t="s">
        <v>9</v>
      </c>
      <c r="C1760">
        <v>30.86</v>
      </c>
      <c r="D1760" t="s">
        <v>17</v>
      </c>
      <c r="E1760" t="s">
        <v>18</v>
      </c>
      <c r="F1760" t="s">
        <v>35</v>
      </c>
      <c r="G1760">
        <v>2</v>
      </c>
      <c r="H1760">
        <v>10</v>
      </c>
      <c r="I1760" s="13">
        <v>45573</v>
      </c>
      <c r="J1760" s="13" t="str">
        <f>TEXT(Table1[[#This Row],[Date]],"[$-en-US]mmm yyyy")</f>
        <v>Oct 2024</v>
      </c>
      <c r="K1760" s="13" t="str">
        <f>TEXT(Table1[[#This Row],[Date]],"[$-en-US]ddd")</f>
        <v>Tue</v>
      </c>
    </row>
    <row r="1761" spans="1:11" x14ac:dyDescent="0.25">
      <c r="A1761">
        <v>7</v>
      </c>
      <c r="B1761" t="s">
        <v>9</v>
      </c>
      <c r="C1761">
        <v>35.76</v>
      </c>
      <c r="D1761" t="s">
        <v>10</v>
      </c>
      <c r="E1761" t="s">
        <v>11</v>
      </c>
      <c r="F1761" t="s">
        <v>35</v>
      </c>
      <c r="G1761">
        <v>3</v>
      </c>
      <c r="H1761">
        <v>10</v>
      </c>
      <c r="I1761" s="13">
        <v>45574</v>
      </c>
      <c r="J1761" s="13" t="str">
        <f>TEXT(Table1[[#This Row],[Date]],"[$-en-US]mmm yyyy")</f>
        <v>Oct 2024</v>
      </c>
      <c r="K1761" s="13" t="str">
        <f>TEXT(Table1[[#This Row],[Date]],"[$-en-US]ddd")</f>
        <v>Wed</v>
      </c>
    </row>
    <row r="1762" spans="1:11" x14ac:dyDescent="0.25">
      <c r="A1762">
        <v>8</v>
      </c>
      <c r="B1762" t="s">
        <v>9</v>
      </c>
      <c r="C1762">
        <v>30.86</v>
      </c>
      <c r="D1762" t="s">
        <v>17</v>
      </c>
      <c r="E1762" t="s">
        <v>11</v>
      </c>
      <c r="F1762" t="s">
        <v>35</v>
      </c>
      <c r="G1762">
        <v>3</v>
      </c>
      <c r="H1762">
        <v>10</v>
      </c>
      <c r="I1762" s="13">
        <v>45574</v>
      </c>
      <c r="J1762" s="13" t="str">
        <f>TEXT(Table1[[#This Row],[Date]],"[$-en-US]mmm yyyy")</f>
        <v>Oct 2024</v>
      </c>
      <c r="K1762" s="13" t="str">
        <f>TEXT(Table1[[#This Row],[Date]],"[$-en-US]ddd")</f>
        <v>Wed</v>
      </c>
    </row>
    <row r="1763" spans="1:11" x14ac:dyDescent="0.25">
      <c r="A1763">
        <v>9</v>
      </c>
      <c r="B1763" t="s">
        <v>9</v>
      </c>
      <c r="C1763">
        <v>30.86</v>
      </c>
      <c r="D1763" t="s">
        <v>17</v>
      </c>
      <c r="E1763" t="s">
        <v>11</v>
      </c>
      <c r="F1763" t="s">
        <v>35</v>
      </c>
      <c r="G1763">
        <v>3</v>
      </c>
      <c r="H1763">
        <v>10</v>
      </c>
      <c r="I1763" s="13">
        <v>45574</v>
      </c>
      <c r="J1763" s="13" t="str">
        <f>TEXT(Table1[[#This Row],[Date]],"[$-en-US]mmm yyyy")</f>
        <v>Oct 2024</v>
      </c>
      <c r="K1763" s="13" t="str">
        <f>TEXT(Table1[[#This Row],[Date]],"[$-en-US]ddd")</f>
        <v>Wed</v>
      </c>
    </row>
    <row r="1764" spans="1:11" x14ac:dyDescent="0.25">
      <c r="A1764">
        <v>9</v>
      </c>
      <c r="B1764" t="s">
        <v>9</v>
      </c>
      <c r="C1764">
        <v>35.76</v>
      </c>
      <c r="D1764" t="s">
        <v>10</v>
      </c>
      <c r="E1764" t="s">
        <v>11</v>
      </c>
      <c r="F1764" t="s">
        <v>35</v>
      </c>
      <c r="G1764">
        <v>3</v>
      </c>
      <c r="H1764">
        <v>10</v>
      </c>
      <c r="I1764" s="13">
        <v>45574</v>
      </c>
      <c r="J1764" s="13" t="str">
        <f>TEXT(Table1[[#This Row],[Date]],"[$-en-US]mmm yyyy")</f>
        <v>Oct 2024</v>
      </c>
      <c r="K1764" s="13" t="str">
        <f>TEXT(Table1[[#This Row],[Date]],"[$-en-US]ddd")</f>
        <v>Wed</v>
      </c>
    </row>
    <row r="1765" spans="1:11" x14ac:dyDescent="0.25">
      <c r="A1765">
        <v>10</v>
      </c>
      <c r="B1765" t="s">
        <v>9</v>
      </c>
      <c r="C1765">
        <v>21.06</v>
      </c>
      <c r="D1765" t="s">
        <v>24</v>
      </c>
      <c r="E1765" t="s">
        <v>11</v>
      </c>
      <c r="F1765" t="s">
        <v>35</v>
      </c>
      <c r="G1765">
        <v>3</v>
      </c>
      <c r="H1765">
        <v>10</v>
      </c>
      <c r="I1765" s="13">
        <v>45574</v>
      </c>
      <c r="J1765" s="13" t="str">
        <f>TEXT(Table1[[#This Row],[Date]],"[$-en-US]mmm yyyy")</f>
        <v>Oct 2024</v>
      </c>
      <c r="K1765" s="13" t="str">
        <f>TEXT(Table1[[#This Row],[Date]],"[$-en-US]ddd")</f>
        <v>Wed</v>
      </c>
    </row>
    <row r="1766" spans="1:11" x14ac:dyDescent="0.25">
      <c r="A1766">
        <v>11</v>
      </c>
      <c r="B1766" t="s">
        <v>9</v>
      </c>
      <c r="C1766">
        <v>25.96</v>
      </c>
      <c r="D1766" t="s">
        <v>16</v>
      </c>
      <c r="E1766" t="s">
        <v>11</v>
      </c>
      <c r="F1766" t="s">
        <v>35</v>
      </c>
      <c r="G1766">
        <v>3</v>
      </c>
      <c r="H1766">
        <v>10</v>
      </c>
      <c r="I1766" s="13">
        <v>45574</v>
      </c>
      <c r="J1766" s="13" t="str">
        <f>TEXT(Table1[[#This Row],[Date]],"[$-en-US]mmm yyyy")</f>
        <v>Oct 2024</v>
      </c>
      <c r="K1766" s="13" t="str">
        <f>TEXT(Table1[[#This Row],[Date]],"[$-en-US]ddd")</f>
        <v>Wed</v>
      </c>
    </row>
    <row r="1767" spans="1:11" x14ac:dyDescent="0.25">
      <c r="A1767">
        <v>13</v>
      </c>
      <c r="B1767" t="s">
        <v>9</v>
      </c>
      <c r="C1767">
        <v>35.76</v>
      </c>
      <c r="D1767" t="s">
        <v>10</v>
      </c>
      <c r="E1767" t="s">
        <v>15</v>
      </c>
      <c r="F1767" t="s">
        <v>35</v>
      </c>
      <c r="G1767">
        <v>3</v>
      </c>
      <c r="H1767">
        <v>10</v>
      </c>
      <c r="I1767" s="13">
        <v>45574</v>
      </c>
      <c r="J1767" s="13" t="str">
        <f>TEXT(Table1[[#This Row],[Date]],"[$-en-US]mmm yyyy")</f>
        <v>Oct 2024</v>
      </c>
      <c r="K1767" s="13" t="str">
        <f>TEXT(Table1[[#This Row],[Date]],"[$-en-US]ddd")</f>
        <v>Wed</v>
      </c>
    </row>
    <row r="1768" spans="1:11" x14ac:dyDescent="0.25">
      <c r="A1768">
        <v>13</v>
      </c>
      <c r="B1768" t="s">
        <v>9</v>
      </c>
      <c r="C1768">
        <v>30.86</v>
      </c>
      <c r="D1768" t="s">
        <v>17</v>
      </c>
      <c r="E1768" t="s">
        <v>15</v>
      </c>
      <c r="F1768" t="s">
        <v>35</v>
      </c>
      <c r="G1768">
        <v>3</v>
      </c>
      <c r="H1768">
        <v>10</v>
      </c>
      <c r="I1768" s="13">
        <v>45574</v>
      </c>
      <c r="J1768" s="13" t="str">
        <f>TEXT(Table1[[#This Row],[Date]],"[$-en-US]mmm yyyy")</f>
        <v>Oct 2024</v>
      </c>
      <c r="K1768" s="13" t="str">
        <f>TEXT(Table1[[#This Row],[Date]],"[$-en-US]ddd")</f>
        <v>Wed</v>
      </c>
    </row>
    <row r="1769" spans="1:11" x14ac:dyDescent="0.25">
      <c r="A1769">
        <v>17</v>
      </c>
      <c r="B1769" t="s">
        <v>9</v>
      </c>
      <c r="C1769">
        <v>35.76</v>
      </c>
      <c r="D1769" t="s">
        <v>27</v>
      </c>
      <c r="E1769" t="s">
        <v>18</v>
      </c>
      <c r="F1769" t="s">
        <v>35</v>
      </c>
      <c r="G1769">
        <v>3</v>
      </c>
      <c r="H1769">
        <v>10</v>
      </c>
      <c r="I1769" s="13">
        <v>45574</v>
      </c>
      <c r="J1769" s="13" t="str">
        <f>TEXT(Table1[[#This Row],[Date]],"[$-en-US]mmm yyyy")</f>
        <v>Oct 2024</v>
      </c>
      <c r="K1769" s="13" t="str">
        <f>TEXT(Table1[[#This Row],[Date]],"[$-en-US]ddd")</f>
        <v>Wed</v>
      </c>
    </row>
    <row r="1770" spans="1:11" x14ac:dyDescent="0.25">
      <c r="A1770">
        <v>17</v>
      </c>
      <c r="B1770" t="s">
        <v>9</v>
      </c>
      <c r="C1770">
        <v>25.96</v>
      </c>
      <c r="D1770" t="s">
        <v>16</v>
      </c>
      <c r="E1770" t="s">
        <v>18</v>
      </c>
      <c r="F1770" t="s">
        <v>35</v>
      </c>
      <c r="G1770">
        <v>3</v>
      </c>
      <c r="H1770">
        <v>10</v>
      </c>
      <c r="I1770" s="13">
        <v>45574</v>
      </c>
      <c r="J1770" s="13" t="str">
        <f>TEXT(Table1[[#This Row],[Date]],"[$-en-US]mmm yyyy")</f>
        <v>Oct 2024</v>
      </c>
      <c r="K1770" s="13" t="str">
        <f>TEXT(Table1[[#This Row],[Date]],"[$-en-US]ddd")</f>
        <v>Wed</v>
      </c>
    </row>
    <row r="1771" spans="1:11" x14ac:dyDescent="0.25">
      <c r="A1771">
        <v>17</v>
      </c>
      <c r="B1771" t="s">
        <v>9</v>
      </c>
      <c r="C1771">
        <v>21.06</v>
      </c>
      <c r="D1771" t="s">
        <v>24</v>
      </c>
      <c r="E1771" t="s">
        <v>18</v>
      </c>
      <c r="F1771" t="s">
        <v>35</v>
      </c>
      <c r="G1771">
        <v>3</v>
      </c>
      <c r="H1771">
        <v>10</v>
      </c>
      <c r="I1771" s="13">
        <v>45574</v>
      </c>
      <c r="J1771" s="13" t="str">
        <f>TEXT(Table1[[#This Row],[Date]],"[$-en-US]mmm yyyy")</f>
        <v>Oct 2024</v>
      </c>
      <c r="K1771" s="13" t="str">
        <f>TEXT(Table1[[#This Row],[Date]],"[$-en-US]ddd")</f>
        <v>Wed</v>
      </c>
    </row>
    <row r="1772" spans="1:11" x14ac:dyDescent="0.25">
      <c r="A1772">
        <v>20</v>
      </c>
      <c r="B1772" t="s">
        <v>9</v>
      </c>
      <c r="C1772">
        <v>35.76</v>
      </c>
      <c r="D1772" t="s">
        <v>27</v>
      </c>
      <c r="E1772" t="s">
        <v>18</v>
      </c>
      <c r="F1772" t="s">
        <v>35</v>
      </c>
      <c r="G1772">
        <v>3</v>
      </c>
      <c r="H1772">
        <v>10</v>
      </c>
      <c r="I1772" s="13">
        <v>45574</v>
      </c>
      <c r="J1772" s="13" t="str">
        <f>TEXT(Table1[[#This Row],[Date]],"[$-en-US]mmm yyyy")</f>
        <v>Oct 2024</v>
      </c>
      <c r="K1772" s="13" t="str">
        <f>TEXT(Table1[[#This Row],[Date]],"[$-en-US]ddd")</f>
        <v>Wed</v>
      </c>
    </row>
    <row r="1773" spans="1:11" x14ac:dyDescent="0.25">
      <c r="A1773">
        <v>8</v>
      </c>
      <c r="B1773" t="s">
        <v>9</v>
      </c>
      <c r="C1773">
        <v>25.96</v>
      </c>
      <c r="D1773" t="s">
        <v>16</v>
      </c>
      <c r="E1773" t="s">
        <v>11</v>
      </c>
      <c r="F1773" t="s">
        <v>35</v>
      </c>
      <c r="G1773">
        <v>4</v>
      </c>
      <c r="H1773">
        <v>10</v>
      </c>
      <c r="I1773" s="13">
        <v>45575</v>
      </c>
      <c r="J1773" s="13" t="str">
        <f>TEXT(Table1[[#This Row],[Date]],"[$-en-US]mmm yyyy")</f>
        <v>Oct 2024</v>
      </c>
      <c r="K1773" s="13" t="str">
        <f>TEXT(Table1[[#This Row],[Date]],"[$-en-US]ddd")</f>
        <v>Thu</v>
      </c>
    </row>
    <row r="1774" spans="1:11" x14ac:dyDescent="0.25">
      <c r="A1774">
        <v>9</v>
      </c>
      <c r="B1774" t="s">
        <v>9</v>
      </c>
      <c r="C1774">
        <v>30.86</v>
      </c>
      <c r="D1774" t="s">
        <v>17</v>
      </c>
      <c r="E1774" t="s">
        <v>11</v>
      </c>
      <c r="F1774" t="s">
        <v>35</v>
      </c>
      <c r="G1774">
        <v>4</v>
      </c>
      <c r="H1774">
        <v>10</v>
      </c>
      <c r="I1774" s="13">
        <v>45575</v>
      </c>
      <c r="J1774" s="13" t="str">
        <f>TEXT(Table1[[#This Row],[Date]],"[$-en-US]mmm yyyy")</f>
        <v>Oct 2024</v>
      </c>
      <c r="K1774" s="13" t="str">
        <f>TEXT(Table1[[#This Row],[Date]],"[$-en-US]ddd")</f>
        <v>Thu</v>
      </c>
    </row>
    <row r="1775" spans="1:11" x14ac:dyDescent="0.25">
      <c r="A1775">
        <v>9</v>
      </c>
      <c r="B1775" t="s">
        <v>9</v>
      </c>
      <c r="C1775">
        <v>35.76</v>
      </c>
      <c r="D1775" t="s">
        <v>14</v>
      </c>
      <c r="E1775" t="s">
        <v>11</v>
      </c>
      <c r="F1775" t="s">
        <v>35</v>
      </c>
      <c r="G1775">
        <v>4</v>
      </c>
      <c r="H1775">
        <v>10</v>
      </c>
      <c r="I1775" s="13">
        <v>45575</v>
      </c>
      <c r="J1775" s="13" t="str">
        <f>TEXT(Table1[[#This Row],[Date]],"[$-en-US]mmm yyyy")</f>
        <v>Oct 2024</v>
      </c>
      <c r="K1775" s="13" t="str">
        <f>TEXT(Table1[[#This Row],[Date]],"[$-en-US]ddd")</f>
        <v>Thu</v>
      </c>
    </row>
    <row r="1776" spans="1:11" x14ac:dyDescent="0.25">
      <c r="A1776">
        <v>10</v>
      </c>
      <c r="B1776" t="s">
        <v>9</v>
      </c>
      <c r="C1776">
        <v>35.76</v>
      </c>
      <c r="D1776" t="s">
        <v>10</v>
      </c>
      <c r="E1776" t="s">
        <v>11</v>
      </c>
      <c r="F1776" t="s">
        <v>35</v>
      </c>
      <c r="G1776">
        <v>4</v>
      </c>
      <c r="H1776">
        <v>10</v>
      </c>
      <c r="I1776" s="13">
        <v>45575</v>
      </c>
      <c r="J1776" s="13" t="str">
        <f>TEXT(Table1[[#This Row],[Date]],"[$-en-US]mmm yyyy")</f>
        <v>Oct 2024</v>
      </c>
      <c r="K1776" s="13" t="str">
        <f>TEXT(Table1[[#This Row],[Date]],"[$-en-US]ddd")</f>
        <v>Thu</v>
      </c>
    </row>
    <row r="1777" spans="1:11" x14ac:dyDescent="0.25">
      <c r="A1777">
        <v>10</v>
      </c>
      <c r="B1777" t="s">
        <v>9</v>
      </c>
      <c r="C1777">
        <v>25.96</v>
      </c>
      <c r="D1777" t="s">
        <v>22</v>
      </c>
      <c r="E1777" t="s">
        <v>11</v>
      </c>
      <c r="F1777" t="s">
        <v>35</v>
      </c>
      <c r="G1777">
        <v>4</v>
      </c>
      <c r="H1777">
        <v>10</v>
      </c>
      <c r="I1777" s="13">
        <v>45575</v>
      </c>
      <c r="J1777" s="13" t="str">
        <f>TEXT(Table1[[#This Row],[Date]],"[$-en-US]mmm yyyy")</f>
        <v>Oct 2024</v>
      </c>
      <c r="K1777" s="13" t="str">
        <f>TEXT(Table1[[#This Row],[Date]],"[$-en-US]ddd")</f>
        <v>Thu</v>
      </c>
    </row>
    <row r="1778" spans="1:11" x14ac:dyDescent="0.25">
      <c r="A1778">
        <v>10</v>
      </c>
      <c r="B1778" t="s">
        <v>9</v>
      </c>
      <c r="C1778">
        <v>25.96</v>
      </c>
      <c r="D1778" t="s">
        <v>22</v>
      </c>
      <c r="E1778" t="s">
        <v>11</v>
      </c>
      <c r="F1778" t="s">
        <v>35</v>
      </c>
      <c r="G1778">
        <v>4</v>
      </c>
      <c r="H1778">
        <v>10</v>
      </c>
      <c r="I1778" s="13">
        <v>45575</v>
      </c>
      <c r="J1778" s="13" t="str">
        <f>TEXT(Table1[[#This Row],[Date]],"[$-en-US]mmm yyyy")</f>
        <v>Oct 2024</v>
      </c>
      <c r="K1778" s="13" t="str">
        <f>TEXT(Table1[[#This Row],[Date]],"[$-en-US]ddd")</f>
        <v>Thu</v>
      </c>
    </row>
    <row r="1779" spans="1:11" x14ac:dyDescent="0.25">
      <c r="A1779">
        <v>10</v>
      </c>
      <c r="B1779" t="s">
        <v>9</v>
      </c>
      <c r="C1779">
        <v>35.76</v>
      </c>
      <c r="D1779" t="s">
        <v>10</v>
      </c>
      <c r="E1779" t="s">
        <v>11</v>
      </c>
      <c r="F1779" t="s">
        <v>35</v>
      </c>
      <c r="G1779">
        <v>4</v>
      </c>
      <c r="H1779">
        <v>10</v>
      </c>
      <c r="I1779" s="13">
        <v>45575</v>
      </c>
      <c r="J1779" s="13" t="str">
        <f>TEXT(Table1[[#This Row],[Date]],"[$-en-US]mmm yyyy")</f>
        <v>Oct 2024</v>
      </c>
      <c r="K1779" s="13" t="str">
        <f>TEXT(Table1[[#This Row],[Date]],"[$-en-US]ddd")</f>
        <v>Thu</v>
      </c>
    </row>
    <row r="1780" spans="1:11" x14ac:dyDescent="0.25">
      <c r="A1780">
        <v>11</v>
      </c>
      <c r="B1780" t="s">
        <v>9</v>
      </c>
      <c r="C1780">
        <v>35.76</v>
      </c>
      <c r="D1780" t="s">
        <v>10</v>
      </c>
      <c r="E1780" t="s">
        <v>11</v>
      </c>
      <c r="F1780" t="s">
        <v>35</v>
      </c>
      <c r="G1780">
        <v>4</v>
      </c>
      <c r="H1780">
        <v>10</v>
      </c>
      <c r="I1780" s="13">
        <v>45575</v>
      </c>
      <c r="J1780" s="13" t="str">
        <f>TEXT(Table1[[#This Row],[Date]],"[$-en-US]mmm yyyy")</f>
        <v>Oct 2024</v>
      </c>
      <c r="K1780" s="13" t="str">
        <f>TEXT(Table1[[#This Row],[Date]],"[$-en-US]ddd")</f>
        <v>Thu</v>
      </c>
    </row>
    <row r="1781" spans="1:11" x14ac:dyDescent="0.25">
      <c r="A1781">
        <v>15</v>
      </c>
      <c r="B1781" t="s">
        <v>9</v>
      </c>
      <c r="C1781">
        <v>35.76</v>
      </c>
      <c r="D1781" t="s">
        <v>27</v>
      </c>
      <c r="E1781" t="s">
        <v>15</v>
      </c>
      <c r="F1781" t="s">
        <v>35</v>
      </c>
      <c r="G1781">
        <v>4</v>
      </c>
      <c r="H1781">
        <v>10</v>
      </c>
      <c r="I1781" s="13">
        <v>45575</v>
      </c>
      <c r="J1781" s="13" t="str">
        <f>TEXT(Table1[[#This Row],[Date]],"[$-en-US]mmm yyyy")</f>
        <v>Oct 2024</v>
      </c>
      <c r="K1781" s="13" t="str">
        <f>TEXT(Table1[[#This Row],[Date]],"[$-en-US]ddd")</f>
        <v>Thu</v>
      </c>
    </row>
    <row r="1782" spans="1:11" x14ac:dyDescent="0.25">
      <c r="A1782">
        <v>17</v>
      </c>
      <c r="B1782" t="s">
        <v>9</v>
      </c>
      <c r="C1782">
        <v>35.76</v>
      </c>
      <c r="D1782" t="s">
        <v>10</v>
      </c>
      <c r="E1782" t="s">
        <v>18</v>
      </c>
      <c r="F1782" t="s">
        <v>35</v>
      </c>
      <c r="G1782">
        <v>4</v>
      </c>
      <c r="H1782">
        <v>10</v>
      </c>
      <c r="I1782" s="13">
        <v>45575</v>
      </c>
      <c r="J1782" s="13" t="str">
        <f>TEXT(Table1[[#This Row],[Date]],"[$-en-US]mmm yyyy")</f>
        <v>Oct 2024</v>
      </c>
      <c r="K1782" s="13" t="str">
        <f>TEXT(Table1[[#This Row],[Date]],"[$-en-US]ddd")</f>
        <v>Thu</v>
      </c>
    </row>
    <row r="1783" spans="1:11" x14ac:dyDescent="0.25">
      <c r="A1783">
        <v>18</v>
      </c>
      <c r="B1783" t="s">
        <v>9</v>
      </c>
      <c r="C1783">
        <v>25.96</v>
      </c>
      <c r="D1783" t="s">
        <v>16</v>
      </c>
      <c r="E1783" t="s">
        <v>18</v>
      </c>
      <c r="F1783" t="s">
        <v>35</v>
      </c>
      <c r="G1783">
        <v>4</v>
      </c>
      <c r="H1783">
        <v>10</v>
      </c>
      <c r="I1783" s="13">
        <v>45575</v>
      </c>
      <c r="J1783" s="13" t="str">
        <f>TEXT(Table1[[#This Row],[Date]],"[$-en-US]mmm yyyy")</f>
        <v>Oct 2024</v>
      </c>
      <c r="K1783" s="13" t="str">
        <f>TEXT(Table1[[#This Row],[Date]],"[$-en-US]ddd")</f>
        <v>Thu</v>
      </c>
    </row>
    <row r="1784" spans="1:11" x14ac:dyDescent="0.25">
      <c r="A1784">
        <v>18</v>
      </c>
      <c r="B1784" t="s">
        <v>9</v>
      </c>
      <c r="C1784">
        <v>30.86</v>
      </c>
      <c r="D1784" t="s">
        <v>17</v>
      </c>
      <c r="E1784" t="s">
        <v>18</v>
      </c>
      <c r="F1784" t="s">
        <v>35</v>
      </c>
      <c r="G1784">
        <v>4</v>
      </c>
      <c r="H1784">
        <v>10</v>
      </c>
      <c r="I1784" s="13">
        <v>45575</v>
      </c>
      <c r="J1784" s="13" t="str">
        <f>TEXT(Table1[[#This Row],[Date]],"[$-en-US]mmm yyyy")</f>
        <v>Oct 2024</v>
      </c>
      <c r="K1784" s="13" t="str">
        <f>TEXT(Table1[[#This Row],[Date]],"[$-en-US]ddd")</f>
        <v>Thu</v>
      </c>
    </row>
    <row r="1785" spans="1:11" x14ac:dyDescent="0.25">
      <c r="A1785">
        <v>18</v>
      </c>
      <c r="B1785" t="s">
        <v>9</v>
      </c>
      <c r="C1785">
        <v>35.76</v>
      </c>
      <c r="D1785" t="s">
        <v>10</v>
      </c>
      <c r="E1785" t="s">
        <v>18</v>
      </c>
      <c r="F1785" t="s">
        <v>35</v>
      </c>
      <c r="G1785">
        <v>4</v>
      </c>
      <c r="H1785">
        <v>10</v>
      </c>
      <c r="I1785" s="13">
        <v>45575</v>
      </c>
      <c r="J1785" s="13" t="str">
        <f>TEXT(Table1[[#This Row],[Date]],"[$-en-US]mmm yyyy")</f>
        <v>Oct 2024</v>
      </c>
      <c r="K1785" s="13" t="str">
        <f>TEXT(Table1[[#This Row],[Date]],"[$-en-US]ddd")</f>
        <v>Thu</v>
      </c>
    </row>
    <row r="1786" spans="1:11" x14ac:dyDescent="0.25">
      <c r="A1786">
        <v>22</v>
      </c>
      <c r="B1786" t="s">
        <v>9</v>
      </c>
      <c r="C1786">
        <v>35.76</v>
      </c>
      <c r="D1786" t="s">
        <v>14</v>
      </c>
      <c r="E1786" t="s">
        <v>18</v>
      </c>
      <c r="F1786" t="s">
        <v>35</v>
      </c>
      <c r="G1786">
        <v>4</v>
      </c>
      <c r="H1786">
        <v>10</v>
      </c>
      <c r="I1786" s="13">
        <v>45575</v>
      </c>
      <c r="J1786" s="13" t="str">
        <f>TEXT(Table1[[#This Row],[Date]],"[$-en-US]mmm yyyy")</f>
        <v>Oct 2024</v>
      </c>
      <c r="K1786" s="13" t="str">
        <f>TEXT(Table1[[#This Row],[Date]],"[$-en-US]ddd")</f>
        <v>Thu</v>
      </c>
    </row>
    <row r="1787" spans="1:11" x14ac:dyDescent="0.25">
      <c r="A1787">
        <v>22</v>
      </c>
      <c r="B1787" t="s">
        <v>9</v>
      </c>
      <c r="C1787">
        <v>35.76</v>
      </c>
      <c r="D1787" t="s">
        <v>14</v>
      </c>
      <c r="E1787" t="s">
        <v>18</v>
      </c>
      <c r="F1787" t="s">
        <v>35</v>
      </c>
      <c r="G1787">
        <v>4</v>
      </c>
      <c r="H1787">
        <v>10</v>
      </c>
      <c r="I1787" s="13">
        <v>45575</v>
      </c>
      <c r="J1787" s="13" t="str">
        <f>TEXT(Table1[[#This Row],[Date]],"[$-en-US]mmm yyyy")</f>
        <v>Oct 2024</v>
      </c>
      <c r="K1787" s="13" t="str">
        <f>TEXT(Table1[[#This Row],[Date]],"[$-en-US]ddd")</f>
        <v>Thu</v>
      </c>
    </row>
    <row r="1788" spans="1:11" x14ac:dyDescent="0.25">
      <c r="A1788">
        <v>7</v>
      </c>
      <c r="B1788" t="s">
        <v>9</v>
      </c>
      <c r="C1788">
        <v>30.86</v>
      </c>
      <c r="D1788" t="s">
        <v>17</v>
      </c>
      <c r="E1788" t="s">
        <v>11</v>
      </c>
      <c r="F1788" t="s">
        <v>35</v>
      </c>
      <c r="G1788">
        <v>5</v>
      </c>
      <c r="H1788">
        <v>10</v>
      </c>
      <c r="I1788" s="13">
        <v>45576</v>
      </c>
      <c r="J1788" s="13" t="str">
        <f>TEXT(Table1[[#This Row],[Date]],"[$-en-US]mmm yyyy")</f>
        <v>Oct 2024</v>
      </c>
      <c r="K1788" s="13" t="str">
        <f>TEXT(Table1[[#This Row],[Date]],"[$-en-US]ddd")</f>
        <v>Fri</v>
      </c>
    </row>
    <row r="1789" spans="1:11" x14ac:dyDescent="0.25">
      <c r="A1789">
        <v>8</v>
      </c>
      <c r="B1789" t="s">
        <v>9</v>
      </c>
      <c r="C1789">
        <v>35.76</v>
      </c>
      <c r="D1789" t="s">
        <v>10</v>
      </c>
      <c r="E1789" t="s">
        <v>11</v>
      </c>
      <c r="F1789" t="s">
        <v>35</v>
      </c>
      <c r="G1789">
        <v>5</v>
      </c>
      <c r="H1789">
        <v>10</v>
      </c>
      <c r="I1789" s="13">
        <v>45576</v>
      </c>
      <c r="J1789" s="13" t="str">
        <f>TEXT(Table1[[#This Row],[Date]],"[$-en-US]mmm yyyy")</f>
        <v>Oct 2024</v>
      </c>
      <c r="K1789" s="13" t="str">
        <f>TEXT(Table1[[#This Row],[Date]],"[$-en-US]ddd")</f>
        <v>Fri</v>
      </c>
    </row>
    <row r="1790" spans="1:11" x14ac:dyDescent="0.25">
      <c r="A1790">
        <v>8</v>
      </c>
      <c r="B1790" t="s">
        <v>9</v>
      </c>
      <c r="C1790">
        <v>25.96</v>
      </c>
      <c r="D1790" t="s">
        <v>22</v>
      </c>
      <c r="E1790" t="s">
        <v>11</v>
      </c>
      <c r="F1790" t="s">
        <v>35</v>
      </c>
      <c r="G1790">
        <v>5</v>
      </c>
      <c r="H1790">
        <v>10</v>
      </c>
      <c r="I1790" s="13">
        <v>45576</v>
      </c>
      <c r="J1790" s="13" t="str">
        <f>TEXT(Table1[[#This Row],[Date]],"[$-en-US]mmm yyyy")</f>
        <v>Oct 2024</v>
      </c>
      <c r="K1790" s="13" t="str">
        <f>TEXT(Table1[[#This Row],[Date]],"[$-en-US]ddd")</f>
        <v>Fri</v>
      </c>
    </row>
    <row r="1791" spans="1:11" x14ac:dyDescent="0.25">
      <c r="A1791">
        <v>8</v>
      </c>
      <c r="B1791" t="s">
        <v>9</v>
      </c>
      <c r="C1791">
        <v>35.76</v>
      </c>
      <c r="D1791" t="s">
        <v>10</v>
      </c>
      <c r="E1791" t="s">
        <v>11</v>
      </c>
      <c r="F1791" t="s">
        <v>35</v>
      </c>
      <c r="G1791">
        <v>5</v>
      </c>
      <c r="H1791">
        <v>10</v>
      </c>
      <c r="I1791" s="13">
        <v>45576</v>
      </c>
      <c r="J1791" s="13" t="str">
        <f>TEXT(Table1[[#This Row],[Date]],"[$-en-US]mmm yyyy")</f>
        <v>Oct 2024</v>
      </c>
      <c r="K1791" s="13" t="str">
        <f>TEXT(Table1[[#This Row],[Date]],"[$-en-US]ddd")</f>
        <v>Fri</v>
      </c>
    </row>
    <row r="1792" spans="1:11" x14ac:dyDescent="0.25">
      <c r="A1792">
        <v>8</v>
      </c>
      <c r="B1792" t="s">
        <v>9</v>
      </c>
      <c r="C1792">
        <v>35.76</v>
      </c>
      <c r="D1792" t="s">
        <v>19</v>
      </c>
      <c r="E1792" t="s">
        <v>11</v>
      </c>
      <c r="F1792" t="s">
        <v>35</v>
      </c>
      <c r="G1792">
        <v>5</v>
      </c>
      <c r="H1792">
        <v>10</v>
      </c>
      <c r="I1792" s="13">
        <v>45576</v>
      </c>
      <c r="J1792" s="13" t="str">
        <f>TEXT(Table1[[#This Row],[Date]],"[$-en-US]mmm yyyy")</f>
        <v>Oct 2024</v>
      </c>
      <c r="K1792" s="13" t="str">
        <f>TEXT(Table1[[#This Row],[Date]],"[$-en-US]ddd")</f>
        <v>Fri</v>
      </c>
    </row>
    <row r="1793" spans="1:11" x14ac:dyDescent="0.25">
      <c r="A1793">
        <v>8</v>
      </c>
      <c r="B1793" t="s">
        <v>9</v>
      </c>
      <c r="C1793">
        <v>35.76</v>
      </c>
      <c r="D1793" t="s">
        <v>19</v>
      </c>
      <c r="E1793" t="s">
        <v>11</v>
      </c>
      <c r="F1793" t="s">
        <v>35</v>
      </c>
      <c r="G1793">
        <v>5</v>
      </c>
      <c r="H1793">
        <v>10</v>
      </c>
      <c r="I1793" s="13">
        <v>45576</v>
      </c>
      <c r="J1793" s="13" t="str">
        <f>TEXT(Table1[[#This Row],[Date]],"[$-en-US]mmm yyyy")</f>
        <v>Oct 2024</v>
      </c>
      <c r="K1793" s="13" t="str">
        <f>TEXT(Table1[[#This Row],[Date]],"[$-en-US]ddd")</f>
        <v>Fri</v>
      </c>
    </row>
    <row r="1794" spans="1:11" x14ac:dyDescent="0.25">
      <c r="A1794">
        <v>8</v>
      </c>
      <c r="B1794" t="s">
        <v>9</v>
      </c>
      <c r="C1794">
        <v>30.86</v>
      </c>
      <c r="D1794" t="s">
        <v>17</v>
      </c>
      <c r="E1794" t="s">
        <v>11</v>
      </c>
      <c r="F1794" t="s">
        <v>35</v>
      </c>
      <c r="G1794">
        <v>5</v>
      </c>
      <c r="H1794">
        <v>10</v>
      </c>
      <c r="I1794" s="13">
        <v>45576</v>
      </c>
      <c r="J1794" s="13" t="str">
        <f>TEXT(Table1[[#This Row],[Date]],"[$-en-US]mmm yyyy")</f>
        <v>Oct 2024</v>
      </c>
      <c r="K1794" s="13" t="str">
        <f>TEXT(Table1[[#This Row],[Date]],"[$-en-US]ddd")</f>
        <v>Fri</v>
      </c>
    </row>
    <row r="1795" spans="1:11" x14ac:dyDescent="0.25">
      <c r="A1795">
        <v>8</v>
      </c>
      <c r="B1795" t="s">
        <v>9</v>
      </c>
      <c r="C1795">
        <v>35.76</v>
      </c>
      <c r="D1795" t="s">
        <v>14</v>
      </c>
      <c r="E1795" t="s">
        <v>11</v>
      </c>
      <c r="F1795" t="s">
        <v>35</v>
      </c>
      <c r="G1795">
        <v>5</v>
      </c>
      <c r="H1795">
        <v>10</v>
      </c>
      <c r="I1795" s="13">
        <v>45576</v>
      </c>
      <c r="J1795" s="13" t="str">
        <f>TEXT(Table1[[#This Row],[Date]],"[$-en-US]mmm yyyy")</f>
        <v>Oct 2024</v>
      </c>
      <c r="K1795" s="13" t="str">
        <f>TEXT(Table1[[#This Row],[Date]],"[$-en-US]ddd")</f>
        <v>Fri</v>
      </c>
    </row>
    <row r="1796" spans="1:11" x14ac:dyDescent="0.25">
      <c r="A1796">
        <v>9</v>
      </c>
      <c r="B1796" t="s">
        <v>9</v>
      </c>
      <c r="C1796">
        <v>30.86</v>
      </c>
      <c r="D1796" t="s">
        <v>17</v>
      </c>
      <c r="E1796" t="s">
        <v>11</v>
      </c>
      <c r="F1796" t="s">
        <v>35</v>
      </c>
      <c r="G1796">
        <v>5</v>
      </c>
      <c r="H1796">
        <v>10</v>
      </c>
      <c r="I1796" s="13">
        <v>45576</v>
      </c>
      <c r="J1796" s="13" t="str">
        <f>TEXT(Table1[[#This Row],[Date]],"[$-en-US]mmm yyyy")</f>
        <v>Oct 2024</v>
      </c>
      <c r="K1796" s="13" t="str">
        <f>TEXT(Table1[[#This Row],[Date]],"[$-en-US]ddd")</f>
        <v>Fri</v>
      </c>
    </row>
    <row r="1797" spans="1:11" x14ac:dyDescent="0.25">
      <c r="A1797">
        <v>9</v>
      </c>
      <c r="B1797" t="s">
        <v>9</v>
      </c>
      <c r="C1797">
        <v>25.96</v>
      </c>
      <c r="D1797" t="s">
        <v>22</v>
      </c>
      <c r="E1797" t="s">
        <v>11</v>
      </c>
      <c r="F1797" t="s">
        <v>35</v>
      </c>
      <c r="G1797">
        <v>5</v>
      </c>
      <c r="H1797">
        <v>10</v>
      </c>
      <c r="I1797" s="13">
        <v>45576</v>
      </c>
      <c r="J1797" s="13" t="str">
        <f>TEXT(Table1[[#This Row],[Date]],"[$-en-US]mmm yyyy")</f>
        <v>Oct 2024</v>
      </c>
      <c r="K1797" s="13" t="str">
        <f>TEXT(Table1[[#This Row],[Date]],"[$-en-US]ddd")</f>
        <v>Fri</v>
      </c>
    </row>
    <row r="1798" spans="1:11" x14ac:dyDescent="0.25">
      <c r="A1798">
        <v>10</v>
      </c>
      <c r="B1798" t="s">
        <v>9</v>
      </c>
      <c r="C1798">
        <v>25.96</v>
      </c>
      <c r="D1798" t="s">
        <v>16</v>
      </c>
      <c r="E1798" t="s">
        <v>11</v>
      </c>
      <c r="F1798" t="s">
        <v>35</v>
      </c>
      <c r="G1798">
        <v>5</v>
      </c>
      <c r="H1798">
        <v>10</v>
      </c>
      <c r="I1798" s="13">
        <v>45576</v>
      </c>
      <c r="J1798" s="13" t="str">
        <f>TEXT(Table1[[#This Row],[Date]],"[$-en-US]mmm yyyy")</f>
        <v>Oct 2024</v>
      </c>
      <c r="K1798" s="13" t="str">
        <f>TEXT(Table1[[#This Row],[Date]],"[$-en-US]ddd")</f>
        <v>Fri</v>
      </c>
    </row>
    <row r="1799" spans="1:11" x14ac:dyDescent="0.25">
      <c r="A1799">
        <v>10</v>
      </c>
      <c r="B1799" t="s">
        <v>9</v>
      </c>
      <c r="C1799">
        <v>25.96</v>
      </c>
      <c r="D1799" t="s">
        <v>16</v>
      </c>
      <c r="E1799" t="s">
        <v>11</v>
      </c>
      <c r="F1799" t="s">
        <v>35</v>
      </c>
      <c r="G1799">
        <v>5</v>
      </c>
      <c r="H1799">
        <v>10</v>
      </c>
      <c r="I1799" s="13">
        <v>45576</v>
      </c>
      <c r="J1799" s="13" t="str">
        <f>TEXT(Table1[[#This Row],[Date]],"[$-en-US]mmm yyyy")</f>
        <v>Oct 2024</v>
      </c>
      <c r="K1799" s="13" t="str">
        <f>TEXT(Table1[[#This Row],[Date]],"[$-en-US]ddd")</f>
        <v>Fri</v>
      </c>
    </row>
    <row r="1800" spans="1:11" x14ac:dyDescent="0.25">
      <c r="A1800">
        <v>10</v>
      </c>
      <c r="B1800" t="s">
        <v>9</v>
      </c>
      <c r="C1800">
        <v>30.86</v>
      </c>
      <c r="D1800" t="s">
        <v>17</v>
      </c>
      <c r="E1800" t="s">
        <v>11</v>
      </c>
      <c r="F1800" t="s">
        <v>35</v>
      </c>
      <c r="G1800">
        <v>5</v>
      </c>
      <c r="H1800">
        <v>10</v>
      </c>
      <c r="I1800" s="13">
        <v>45576</v>
      </c>
      <c r="J1800" s="13" t="str">
        <f>TEXT(Table1[[#This Row],[Date]],"[$-en-US]mmm yyyy")</f>
        <v>Oct 2024</v>
      </c>
      <c r="K1800" s="13" t="str">
        <f>TEXT(Table1[[#This Row],[Date]],"[$-en-US]ddd")</f>
        <v>Fri</v>
      </c>
    </row>
    <row r="1801" spans="1:11" x14ac:dyDescent="0.25">
      <c r="A1801">
        <v>13</v>
      </c>
      <c r="B1801" t="s">
        <v>9</v>
      </c>
      <c r="C1801">
        <v>35.76</v>
      </c>
      <c r="D1801" t="s">
        <v>10</v>
      </c>
      <c r="E1801" t="s">
        <v>15</v>
      </c>
      <c r="F1801" t="s">
        <v>35</v>
      </c>
      <c r="G1801">
        <v>5</v>
      </c>
      <c r="H1801">
        <v>10</v>
      </c>
      <c r="I1801" s="13">
        <v>45576</v>
      </c>
      <c r="J1801" s="13" t="str">
        <f>TEXT(Table1[[#This Row],[Date]],"[$-en-US]mmm yyyy")</f>
        <v>Oct 2024</v>
      </c>
      <c r="K1801" s="13" t="str">
        <f>TEXT(Table1[[#This Row],[Date]],"[$-en-US]ddd")</f>
        <v>Fri</v>
      </c>
    </row>
    <row r="1802" spans="1:11" x14ac:dyDescent="0.25">
      <c r="A1802">
        <v>13</v>
      </c>
      <c r="B1802" t="s">
        <v>9</v>
      </c>
      <c r="C1802">
        <v>25.96</v>
      </c>
      <c r="D1802" t="s">
        <v>16</v>
      </c>
      <c r="E1802" t="s">
        <v>15</v>
      </c>
      <c r="F1802" t="s">
        <v>35</v>
      </c>
      <c r="G1802">
        <v>5</v>
      </c>
      <c r="H1802">
        <v>10</v>
      </c>
      <c r="I1802" s="13">
        <v>45576</v>
      </c>
      <c r="J1802" s="13" t="str">
        <f>TEXT(Table1[[#This Row],[Date]],"[$-en-US]mmm yyyy")</f>
        <v>Oct 2024</v>
      </c>
      <c r="K1802" s="13" t="str">
        <f>TEXT(Table1[[#This Row],[Date]],"[$-en-US]ddd")</f>
        <v>Fri</v>
      </c>
    </row>
    <row r="1803" spans="1:11" x14ac:dyDescent="0.25">
      <c r="A1803">
        <v>13</v>
      </c>
      <c r="B1803" t="s">
        <v>9</v>
      </c>
      <c r="C1803">
        <v>25.96</v>
      </c>
      <c r="D1803" t="s">
        <v>16</v>
      </c>
      <c r="E1803" t="s">
        <v>15</v>
      </c>
      <c r="F1803" t="s">
        <v>35</v>
      </c>
      <c r="G1803">
        <v>5</v>
      </c>
      <c r="H1803">
        <v>10</v>
      </c>
      <c r="I1803" s="13">
        <v>45576</v>
      </c>
      <c r="J1803" s="13" t="str">
        <f>TEXT(Table1[[#This Row],[Date]],"[$-en-US]mmm yyyy")</f>
        <v>Oct 2024</v>
      </c>
      <c r="K1803" s="13" t="str">
        <f>TEXT(Table1[[#This Row],[Date]],"[$-en-US]ddd")</f>
        <v>Fri</v>
      </c>
    </row>
    <row r="1804" spans="1:11" x14ac:dyDescent="0.25">
      <c r="A1804">
        <v>14</v>
      </c>
      <c r="B1804" t="s">
        <v>9</v>
      </c>
      <c r="C1804">
        <v>35.76</v>
      </c>
      <c r="D1804" t="s">
        <v>19</v>
      </c>
      <c r="E1804" t="s">
        <v>15</v>
      </c>
      <c r="F1804" t="s">
        <v>35</v>
      </c>
      <c r="G1804">
        <v>5</v>
      </c>
      <c r="H1804">
        <v>10</v>
      </c>
      <c r="I1804" s="13">
        <v>45576</v>
      </c>
      <c r="J1804" s="13" t="str">
        <f>TEXT(Table1[[#This Row],[Date]],"[$-en-US]mmm yyyy")</f>
        <v>Oct 2024</v>
      </c>
      <c r="K1804" s="13" t="str">
        <f>TEXT(Table1[[#This Row],[Date]],"[$-en-US]ddd")</f>
        <v>Fri</v>
      </c>
    </row>
    <row r="1805" spans="1:11" x14ac:dyDescent="0.25">
      <c r="A1805">
        <v>14</v>
      </c>
      <c r="B1805" t="s">
        <v>9</v>
      </c>
      <c r="C1805">
        <v>25.96</v>
      </c>
      <c r="D1805" t="s">
        <v>16</v>
      </c>
      <c r="E1805" t="s">
        <v>15</v>
      </c>
      <c r="F1805" t="s">
        <v>35</v>
      </c>
      <c r="G1805">
        <v>5</v>
      </c>
      <c r="H1805">
        <v>10</v>
      </c>
      <c r="I1805" s="13">
        <v>45576</v>
      </c>
      <c r="J1805" s="13" t="str">
        <f>TEXT(Table1[[#This Row],[Date]],"[$-en-US]mmm yyyy")</f>
        <v>Oct 2024</v>
      </c>
      <c r="K1805" s="13" t="str">
        <f>TEXT(Table1[[#This Row],[Date]],"[$-en-US]ddd")</f>
        <v>Fri</v>
      </c>
    </row>
    <row r="1806" spans="1:11" x14ac:dyDescent="0.25">
      <c r="A1806">
        <v>14</v>
      </c>
      <c r="B1806" t="s">
        <v>9</v>
      </c>
      <c r="C1806">
        <v>35.76</v>
      </c>
      <c r="D1806" t="s">
        <v>27</v>
      </c>
      <c r="E1806" t="s">
        <v>15</v>
      </c>
      <c r="F1806" t="s">
        <v>35</v>
      </c>
      <c r="G1806">
        <v>5</v>
      </c>
      <c r="H1806">
        <v>10</v>
      </c>
      <c r="I1806" s="13">
        <v>45576</v>
      </c>
      <c r="J1806" s="13" t="str">
        <f>TEXT(Table1[[#This Row],[Date]],"[$-en-US]mmm yyyy")</f>
        <v>Oct 2024</v>
      </c>
      <c r="K1806" s="13" t="str">
        <f>TEXT(Table1[[#This Row],[Date]],"[$-en-US]ddd")</f>
        <v>Fri</v>
      </c>
    </row>
    <row r="1807" spans="1:11" x14ac:dyDescent="0.25">
      <c r="A1807">
        <v>17</v>
      </c>
      <c r="B1807" t="s">
        <v>9</v>
      </c>
      <c r="C1807">
        <v>35.76</v>
      </c>
      <c r="D1807" t="s">
        <v>10</v>
      </c>
      <c r="E1807" t="s">
        <v>18</v>
      </c>
      <c r="F1807" t="s">
        <v>35</v>
      </c>
      <c r="G1807">
        <v>5</v>
      </c>
      <c r="H1807">
        <v>10</v>
      </c>
      <c r="I1807" s="13">
        <v>45576</v>
      </c>
      <c r="J1807" s="13" t="str">
        <f>TEXT(Table1[[#This Row],[Date]],"[$-en-US]mmm yyyy")</f>
        <v>Oct 2024</v>
      </c>
      <c r="K1807" s="13" t="str">
        <f>TEXT(Table1[[#This Row],[Date]],"[$-en-US]ddd")</f>
        <v>Fri</v>
      </c>
    </row>
    <row r="1808" spans="1:11" x14ac:dyDescent="0.25">
      <c r="A1808">
        <v>17</v>
      </c>
      <c r="B1808" t="s">
        <v>9</v>
      </c>
      <c r="C1808">
        <v>35.76</v>
      </c>
      <c r="D1808" t="s">
        <v>14</v>
      </c>
      <c r="E1808" t="s">
        <v>18</v>
      </c>
      <c r="F1808" t="s">
        <v>35</v>
      </c>
      <c r="G1808">
        <v>5</v>
      </c>
      <c r="H1808">
        <v>10</v>
      </c>
      <c r="I1808" s="13">
        <v>45576</v>
      </c>
      <c r="J1808" s="13" t="str">
        <f>TEXT(Table1[[#This Row],[Date]],"[$-en-US]mmm yyyy")</f>
        <v>Oct 2024</v>
      </c>
      <c r="K1808" s="13" t="str">
        <f>TEXT(Table1[[#This Row],[Date]],"[$-en-US]ddd")</f>
        <v>Fri</v>
      </c>
    </row>
    <row r="1809" spans="1:11" x14ac:dyDescent="0.25">
      <c r="A1809">
        <v>17</v>
      </c>
      <c r="B1809" t="s">
        <v>9</v>
      </c>
      <c r="C1809">
        <v>35.76</v>
      </c>
      <c r="D1809" t="s">
        <v>14</v>
      </c>
      <c r="E1809" t="s">
        <v>18</v>
      </c>
      <c r="F1809" t="s">
        <v>35</v>
      </c>
      <c r="G1809">
        <v>5</v>
      </c>
      <c r="H1809">
        <v>10</v>
      </c>
      <c r="I1809" s="13">
        <v>45576</v>
      </c>
      <c r="J1809" s="13" t="str">
        <f>TEXT(Table1[[#This Row],[Date]],"[$-en-US]mmm yyyy")</f>
        <v>Oct 2024</v>
      </c>
      <c r="K1809" s="13" t="str">
        <f>TEXT(Table1[[#This Row],[Date]],"[$-en-US]ddd")</f>
        <v>Fri</v>
      </c>
    </row>
    <row r="1810" spans="1:11" x14ac:dyDescent="0.25">
      <c r="A1810">
        <v>21</v>
      </c>
      <c r="B1810" t="s">
        <v>9</v>
      </c>
      <c r="C1810">
        <v>35.76</v>
      </c>
      <c r="D1810" t="s">
        <v>10</v>
      </c>
      <c r="E1810" t="s">
        <v>18</v>
      </c>
      <c r="F1810" t="s">
        <v>35</v>
      </c>
      <c r="G1810">
        <v>5</v>
      </c>
      <c r="H1810">
        <v>10</v>
      </c>
      <c r="I1810" s="13">
        <v>45576</v>
      </c>
      <c r="J1810" s="13" t="str">
        <f>TEXT(Table1[[#This Row],[Date]],"[$-en-US]mmm yyyy")</f>
        <v>Oct 2024</v>
      </c>
      <c r="K1810" s="13" t="str">
        <f>TEXT(Table1[[#This Row],[Date]],"[$-en-US]ddd")</f>
        <v>Fri</v>
      </c>
    </row>
    <row r="1811" spans="1:11" x14ac:dyDescent="0.25">
      <c r="A1811">
        <v>21</v>
      </c>
      <c r="B1811" t="s">
        <v>9</v>
      </c>
      <c r="C1811">
        <v>30.86</v>
      </c>
      <c r="D1811" t="s">
        <v>17</v>
      </c>
      <c r="E1811" t="s">
        <v>18</v>
      </c>
      <c r="F1811" t="s">
        <v>35</v>
      </c>
      <c r="G1811">
        <v>5</v>
      </c>
      <c r="H1811">
        <v>10</v>
      </c>
      <c r="I1811" s="13">
        <v>45576</v>
      </c>
      <c r="J1811" s="13" t="str">
        <f>TEXT(Table1[[#This Row],[Date]],"[$-en-US]mmm yyyy")</f>
        <v>Oct 2024</v>
      </c>
      <c r="K1811" s="13" t="str">
        <f>TEXT(Table1[[#This Row],[Date]],"[$-en-US]ddd")</f>
        <v>Fri</v>
      </c>
    </row>
    <row r="1812" spans="1:11" x14ac:dyDescent="0.25">
      <c r="A1812">
        <v>22</v>
      </c>
      <c r="B1812" t="s">
        <v>9</v>
      </c>
      <c r="C1812">
        <v>35.76</v>
      </c>
      <c r="D1812" t="s">
        <v>14</v>
      </c>
      <c r="E1812" t="s">
        <v>18</v>
      </c>
      <c r="F1812" t="s">
        <v>35</v>
      </c>
      <c r="G1812">
        <v>5</v>
      </c>
      <c r="H1812">
        <v>10</v>
      </c>
      <c r="I1812" s="13">
        <v>45576</v>
      </c>
      <c r="J1812" s="13" t="str">
        <f>TEXT(Table1[[#This Row],[Date]],"[$-en-US]mmm yyyy")</f>
        <v>Oct 2024</v>
      </c>
      <c r="K1812" s="13" t="str">
        <f>TEXT(Table1[[#This Row],[Date]],"[$-en-US]ddd")</f>
        <v>Fri</v>
      </c>
    </row>
    <row r="1813" spans="1:11" x14ac:dyDescent="0.25">
      <c r="A1813">
        <v>22</v>
      </c>
      <c r="B1813" t="s">
        <v>9</v>
      </c>
      <c r="C1813">
        <v>35.76</v>
      </c>
      <c r="D1813" t="s">
        <v>14</v>
      </c>
      <c r="E1813" t="s">
        <v>18</v>
      </c>
      <c r="F1813" t="s">
        <v>35</v>
      </c>
      <c r="G1813">
        <v>5</v>
      </c>
      <c r="H1813">
        <v>10</v>
      </c>
      <c r="I1813" s="13">
        <v>45576</v>
      </c>
      <c r="J1813" s="13" t="str">
        <f>TEXT(Table1[[#This Row],[Date]],"[$-en-US]mmm yyyy")</f>
        <v>Oct 2024</v>
      </c>
      <c r="K1813" s="13" t="str">
        <f>TEXT(Table1[[#This Row],[Date]],"[$-en-US]ddd")</f>
        <v>Fri</v>
      </c>
    </row>
    <row r="1814" spans="1:11" x14ac:dyDescent="0.25">
      <c r="A1814">
        <v>8</v>
      </c>
      <c r="B1814" t="s">
        <v>9</v>
      </c>
      <c r="C1814">
        <v>25.96</v>
      </c>
      <c r="D1814" t="s">
        <v>22</v>
      </c>
      <c r="E1814" t="s">
        <v>11</v>
      </c>
      <c r="F1814" t="s">
        <v>35</v>
      </c>
      <c r="G1814">
        <v>6</v>
      </c>
      <c r="H1814">
        <v>10</v>
      </c>
      <c r="I1814" s="13">
        <v>45577</v>
      </c>
      <c r="J1814" s="13" t="str">
        <f>TEXT(Table1[[#This Row],[Date]],"[$-en-US]mmm yyyy")</f>
        <v>Oct 2024</v>
      </c>
      <c r="K1814" s="13" t="str">
        <f>TEXT(Table1[[#This Row],[Date]],"[$-en-US]ddd")</f>
        <v>Sat</v>
      </c>
    </row>
    <row r="1815" spans="1:11" x14ac:dyDescent="0.25">
      <c r="A1815">
        <v>10</v>
      </c>
      <c r="B1815" t="s">
        <v>9</v>
      </c>
      <c r="C1815">
        <v>25.96</v>
      </c>
      <c r="D1815" t="s">
        <v>22</v>
      </c>
      <c r="E1815" t="s">
        <v>11</v>
      </c>
      <c r="F1815" t="s">
        <v>35</v>
      </c>
      <c r="G1815">
        <v>6</v>
      </c>
      <c r="H1815">
        <v>10</v>
      </c>
      <c r="I1815" s="13">
        <v>45577</v>
      </c>
      <c r="J1815" s="13" t="str">
        <f>TEXT(Table1[[#This Row],[Date]],"[$-en-US]mmm yyyy")</f>
        <v>Oct 2024</v>
      </c>
      <c r="K1815" s="13" t="str">
        <f>TEXT(Table1[[#This Row],[Date]],"[$-en-US]ddd")</f>
        <v>Sat</v>
      </c>
    </row>
    <row r="1816" spans="1:11" x14ac:dyDescent="0.25">
      <c r="A1816">
        <v>10</v>
      </c>
      <c r="B1816" t="s">
        <v>9</v>
      </c>
      <c r="C1816">
        <v>25.96</v>
      </c>
      <c r="D1816" t="s">
        <v>22</v>
      </c>
      <c r="E1816" t="s">
        <v>11</v>
      </c>
      <c r="F1816" t="s">
        <v>35</v>
      </c>
      <c r="G1816">
        <v>6</v>
      </c>
      <c r="H1816">
        <v>10</v>
      </c>
      <c r="I1816" s="13">
        <v>45577</v>
      </c>
      <c r="J1816" s="13" t="str">
        <f>TEXT(Table1[[#This Row],[Date]],"[$-en-US]mmm yyyy")</f>
        <v>Oct 2024</v>
      </c>
      <c r="K1816" s="13" t="str">
        <f>TEXT(Table1[[#This Row],[Date]],"[$-en-US]ddd")</f>
        <v>Sat</v>
      </c>
    </row>
    <row r="1817" spans="1:11" x14ac:dyDescent="0.25">
      <c r="A1817">
        <v>11</v>
      </c>
      <c r="B1817" t="s">
        <v>9</v>
      </c>
      <c r="C1817">
        <v>35.76</v>
      </c>
      <c r="D1817" t="s">
        <v>10</v>
      </c>
      <c r="E1817" t="s">
        <v>11</v>
      </c>
      <c r="F1817" t="s">
        <v>35</v>
      </c>
      <c r="G1817">
        <v>6</v>
      </c>
      <c r="H1817">
        <v>10</v>
      </c>
      <c r="I1817" s="13">
        <v>45577</v>
      </c>
      <c r="J1817" s="13" t="str">
        <f>TEXT(Table1[[#This Row],[Date]],"[$-en-US]mmm yyyy")</f>
        <v>Oct 2024</v>
      </c>
      <c r="K1817" s="13" t="str">
        <f>TEXT(Table1[[#This Row],[Date]],"[$-en-US]ddd")</f>
        <v>Sat</v>
      </c>
    </row>
    <row r="1818" spans="1:11" x14ac:dyDescent="0.25">
      <c r="A1818">
        <v>11</v>
      </c>
      <c r="B1818" t="s">
        <v>9</v>
      </c>
      <c r="C1818">
        <v>30.86</v>
      </c>
      <c r="D1818" t="s">
        <v>17</v>
      </c>
      <c r="E1818" t="s">
        <v>11</v>
      </c>
      <c r="F1818" t="s">
        <v>35</v>
      </c>
      <c r="G1818">
        <v>6</v>
      </c>
      <c r="H1818">
        <v>10</v>
      </c>
      <c r="I1818" s="13">
        <v>45577</v>
      </c>
      <c r="J1818" s="13" t="str">
        <f>TEXT(Table1[[#This Row],[Date]],"[$-en-US]mmm yyyy")</f>
        <v>Oct 2024</v>
      </c>
      <c r="K1818" s="13" t="str">
        <f>TEXT(Table1[[#This Row],[Date]],"[$-en-US]ddd")</f>
        <v>Sat</v>
      </c>
    </row>
    <row r="1819" spans="1:11" x14ac:dyDescent="0.25">
      <c r="A1819">
        <v>13</v>
      </c>
      <c r="B1819" t="s">
        <v>9</v>
      </c>
      <c r="C1819">
        <v>35.76</v>
      </c>
      <c r="D1819" t="s">
        <v>27</v>
      </c>
      <c r="E1819" t="s">
        <v>15</v>
      </c>
      <c r="F1819" t="s">
        <v>35</v>
      </c>
      <c r="G1819">
        <v>6</v>
      </c>
      <c r="H1819">
        <v>10</v>
      </c>
      <c r="I1819" s="13">
        <v>45577</v>
      </c>
      <c r="J1819" s="13" t="str">
        <f>TEXT(Table1[[#This Row],[Date]],"[$-en-US]mmm yyyy")</f>
        <v>Oct 2024</v>
      </c>
      <c r="K1819" s="13" t="str">
        <f>TEXT(Table1[[#This Row],[Date]],"[$-en-US]ddd")</f>
        <v>Sat</v>
      </c>
    </row>
    <row r="1820" spans="1:11" x14ac:dyDescent="0.25">
      <c r="A1820">
        <v>20</v>
      </c>
      <c r="B1820" t="s">
        <v>9</v>
      </c>
      <c r="C1820">
        <v>35.76</v>
      </c>
      <c r="D1820" t="s">
        <v>10</v>
      </c>
      <c r="E1820" t="s">
        <v>18</v>
      </c>
      <c r="F1820" t="s">
        <v>35</v>
      </c>
      <c r="G1820">
        <v>6</v>
      </c>
      <c r="H1820">
        <v>10</v>
      </c>
      <c r="I1820" s="13">
        <v>45577</v>
      </c>
      <c r="J1820" s="13" t="str">
        <f>TEXT(Table1[[#This Row],[Date]],"[$-en-US]mmm yyyy")</f>
        <v>Oct 2024</v>
      </c>
      <c r="K1820" s="13" t="str">
        <f>TEXT(Table1[[#This Row],[Date]],"[$-en-US]ddd")</f>
        <v>Sat</v>
      </c>
    </row>
    <row r="1821" spans="1:11" x14ac:dyDescent="0.25">
      <c r="A1821">
        <v>9</v>
      </c>
      <c r="B1821" t="s">
        <v>9</v>
      </c>
      <c r="C1821">
        <v>25.96</v>
      </c>
      <c r="D1821" t="s">
        <v>22</v>
      </c>
      <c r="E1821" t="s">
        <v>11</v>
      </c>
      <c r="F1821" t="s">
        <v>35</v>
      </c>
      <c r="G1821">
        <v>7</v>
      </c>
      <c r="H1821">
        <v>10</v>
      </c>
      <c r="I1821" s="13">
        <v>45578</v>
      </c>
      <c r="J1821" s="13" t="str">
        <f>TEXT(Table1[[#This Row],[Date]],"[$-en-US]mmm yyyy")</f>
        <v>Oct 2024</v>
      </c>
      <c r="K1821" s="13" t="str">
        <f>TEXT(Table1[[#This Row],[Date]],"[$-en-US]ddd")</f>
        <v>Sun</v>
      </c>
    </row>
    <row r="1822" spans="1:11" x14ac:dyDescent="0.25">
      <c r="A1822">
        <v>12</v>
      </c>
      <c r="B1822" t="s">
        <v>9</v>
      </c>
      <c r="C1822">
        <v>30.86</v>
      </c>
      <c r="D1822" t="s">
        <v>17</v>
      </c>
      <c r="E1822" t="s">
        <v>15</v>
      </c>
      <c r="F1822" t="s">
        <v>35</v>
      </c>
      <c r="G1822">
        <v>7</v>
      </c>
      <c r="H1822">
        <v>10</v>
      </c>
      <c r="I1822" s="13">
        <v>45578</v>
      </c>
      <c r="J1822" s="13" t="str">
        <f>TEXT(Table1[[#This Row],[Date]],"[$-en-US]mmm yyyy")</f>
        <v>Oct 2024</v>
      </c>
      <c r="K1822" s="13" t="str">
        <f>TEXT(Table1[[#This Row],[Date]],"[$-en-US]ddd")</f>
        <v>Sun</v>
      </c>
    </row>
    <row r="1823" spans="1:11" x14ac:dyDescent="0.25">
      <c r="A1823">
        <v>13</v>
      </c>
      <c r="B1823" t="s">
        <v>9</v>
      </c>
      <c r="C1823">
        <v>25.96</v>
      </c>
      <c r="D1823" t="s">
        <v>22</v>
      </c>
      <c r="E1823" t="s">
        <v>15</v>
      </c>
      <c r="F1823" t="s">
        <v>35</v>
      </c>
      <c r="G1823">
        <v>7</v>
      </c>
      <c r="H1823">
        <v>10</v>
      </c>
      <c r="I1823" s="13">
        <v>45578</v>
      </c>
      <c r="J1823" s="13" t="str">
        <f>TEXT(Table1[[#This Row],[Date]],"[$-en-US]mmm yyyy")</f>
        <v>Oct 2024</v>
      </c>
      <c r="K1823" s="13" t="str">
        <f>TEXT(Table1[[#This Row],[Date]],"[$-en-US]ddd")</f>
        <v>Sun</v>
      </c>
    </row>
    <row r="1824" spans="1:11" x14ac:dyDescent="0.25">
      <c r="A1824">
        <v>13</v>
      </c>
      <c r="B1824" t="s">
        <v>9</v>
      </c>
      <c r="C1824">
        <v>21.06</v>
      </c>
      <c r="D1824" t="s">
        <v>24</v>
      </c>
      <c r="E1824" t="s">
        <v>15</v>
      </c>
      <c r="F1824" t="s">
        <v>35</v>
      </c>
      <c r="G1824">
        <v>7</v>
      </c>
      <c r="H1824">
        <v>10</v>
      </c>
      <c r="I1824" s="13">
        <v>45578</v>
      </c>
      <c r="J1824" s="13" t="str">
        <f>TEXT(Table1[[#This Row],[Date]],"[$-en-US]mmm yyyy")</f>
        <v>Oct 2024</v>
      </c>
      <c r="K1824" s="13" t="str">
        <f>TEXT(Table1[[#This Row],[Date]],"[$-en-US]ddd")</f>
        <v>Sun</v>
      </c>
    </row>
    <row r="1825" spans="1:11" x14ac:dyDescent="0.25">
      <c r="A1825">
        <v>13</v>
      </c>
      <c r="B1825" t="s">
        <v>9</v>
      </c>
      <c r="C1825">
        <v>25.96</v>
      </c>
      <c r="D1825" t="s">
        <v>22</v>
      </c>
      <c r="E1825" t="s">
        <v>15</v>
      </c>
      <c r="F1825" t="s">
        <v>35</v>
      </c>
      <c r="G1825">
        <v>7</v>
      </c>
      <c r="H1825">
        <v>10</v>
      </c>
      <c r="I1825" s="13">
        <v>45578</v>
      </c>
      <c r="J1825" s="13" t="str">
        <f>TEXT(Table1[[#This Row],[Date]],"[$-en-US]mmm yyyy")</f>
        <v>Oct 2024</v>
      </c>
      <c r="K1825" s="13" t="str">
        <f>TEXT(Table1[[#This Row],[Date]],"[$-en-US]ddd")</f>
        <v>Sun</v>
      </c>
    </row>
    <row r="1826" spans="1:11" x14ac:dyDescent="0.25">
      <c r="A1826">
        <v>17</v>
      </c>
      <c r="B1826" t="s">
        <v>9</v>
      </c>
      <c r="C1826">
        <v>35.76</v>
      </c>
      <c r="D1826" t="s">
        <v>10</v>
      </c>
      <c r="E1826" t="s">
        <v>18</v>
      </c>
      <c r="F1826" t="s">
        <v>35</v>
      </c>
      <c r="G1826">
        <v>7</v>
      </c>
      <c r="H1826">
        <v>10</v>
      </c>
      <c r="I1826" s="13">
        <v>45578</v>
      </c>
      <c r="J1826" s="13" t="str">
        <f>TEXT(Table1[[#This Row],[Date]],"[$-en-US]mmm yyyy")</f>
        <v>Oct 2024</v>
      </c>
      <c r="K1826" s="13" t="str">
        <f>TEXT(Table1[[#This Row],[Date]],"[$-en-US]ddd")</f>
        <v>Sun</v>
      </c>
    </row>
    <row r="1827" spans="1:11" x14ac:dyDescent="0.25">
      <c r="A1827">
        <v>17</v>
      </c>
      <c r="B1827" t="s">
        <v>9</v>
      </c>
      <c r="C1827">
        <v>35.76</v>
      </c>
      <c r="D1827" t="s">
        <v>10</v>
      </c>
      <c r="E1827" t="s">
        <v>18</v>
      </c>
      <c r="F1827" t="s">
        <v>35</v>
      </c>
      <c r="G1827">
        <v>7</v>
      </c>
      <c r="H1827">
        <v>10</v>
      </c>
      <c r="I1827" s="13">
        <v>45578</v>
      </c>
      <c r="J1827" s="13" t="str">
        <f>TEXT(Table1[[#This Row],[Date]],"[$-en-US]mmm yyyy")</f>
        <v>Oct 2024</v>
      </c>
      <c r="K1827" s="13" t="str">
        <f>TEXT(Table1[[#This Row],[Date]],"[$-en-US]ddd")</f>
        <v>Sun</v>
      </c>
    </row>
    <row r="1828" spans="1:11" x14ac:dyDescent="0.25">
      <c r="A1828">
        <v>18</v>
      </c>
      <c r="B1828" t="s">
        <v>9</v>
      </c>
      <c r="C1828">
        <v>35.76</v>
      </c>
      <c r="D1828" t="s">
        <v>27</v>
      </c>
      <c r="E1828" t="s">
        <v>18</v>
      </c>
      <c r="F1828" t="s">
        <v>35</v>
      </c>
      <c r="G1828">
        <v>7</v>
      </c>
      <c r="H1828">
        <v>10</v>
      </c>
      <c r="I1828" s="13">
        <v>45578</v>
      </c>
      <c r="J1828" s="13" t="str">
        <f>TEXT(Table1[[#This Row],[Date]],"[$-en-US]mmm yyyy")</f>
        <v>Oct 2024</v>
      </c>
      <c r="K1828" s="13" t="str">
        <f>TEXT(Table1[[#This Row],[Date]],"[$-en-US]ddd")</f>
        <v>Sun</v>
      </c>
    </row>
    <row r="1829" spans="1:11" x14ac:dyDescent="0.25">
      <c r="A1829">
        <v>20</v>
      </c>
      <c r="B1829" t="s">
        <v>9</v>
      </c>
      <c r="C1829">
        <v>35.76</v>
      </c>
      <c r="D1829" t="s">
        <v>27</v>
      </c>
      <c r="E1829" t="s">
        <v>18</v>
      </c>
      <c r="F1829" t="s">
        <v>35</v>
      </c>
      <c r="G1829">
        <v>7</v>
      </c>
      <c r="H1829">
        <v>10</v>
      </c>
      <c r="I1829" s="13">
        <v>45578</v>
      </c>
      <c r="J1829" s="13" t="str">
        <f>TEXT(Table1[[#This Row],[Date]],"[$-en-US]mmm yyyy")</f>
        <v>Oct 2024</v>
      </c>
      <c r="K1829" s="13" t="str">
        <f>TEXT(Table1[[#This Row],[Date]],"[$-en-US]ddd")</f>
        <v>Sun</v>
      </c>
    </row>
    <row r="1830" spans="1:11" x14ac:dyDescent="0.25">
      <c r="A1830">
        <v>8</v>
      </c>
      <c r="B1830" t="s">
        <v>9</v>
      </c>
      <c r="C1830">
        <v>30.86</v>
      </c>
      <c r="D1830" t="s">
        <v>17</v>
      </c>
      <c r="E1830" t="s">
        <v>11</v>
      </c>
      <c r="F1830" t="s">
        <v>35</v>
      </c>
      <c r="G1830">
        <v>1</v>
      </c>
      <c r="H1830">
        <v>10</v>
      </c>
      <c r="I1830" s="13">
        <v>45579</v>
      </c>
      <c r="J1830" s="13" t="str">
        <f>TEXT(Table1[[#This Row],[Date]],"[$-en-US]mmm yyyy")</f>
        <v>Oct 2024</v>
      </c>
      <c r="K1830" s="13" t="str">
        <f>TEXT(Table1[[#This Row],[Date]],"[$-en-US]ddd")</f>
        <v>Mon</v>
      </c>
    </row>
    <row r="1831" spans="1:11" x14ac:dyDescent="0.25">
      <c r="A1831">
        <v>9</v>
      </c>
      <c r="B1831" t="s">
        <v>9</v>
      </c>
      <c r="C1831">
        <v>35.76</v>
      </c>
      <c r="D1831" t="s">
        <v>19</v>
      </c>
      <c r="E1831" t="s">
        <v>11</v>
      </c>
      <c r="F1831" t="s">
        <v>35</v>
      </c>
      <c r="G1831">
        <v>1</v>
      </c>
      <c r="H1831">
        <v>10</v>
      </c>
      <c r="I1831" s="13">
        <v>45579</v>
      </c>
      <c r="J1831" s="13" t="str">
        <f>TEXT(Table1[[#This Row],[Date]],"[$-en-US]mmm yyyy")</f>
        <v>Oct 2024</v>
      </c>
      <c r="K1831" s="13" t="str">
        <f>TEXT(Table1[[#This Row],[Date]],"[$-en-US]ddd")</f>
        <v>Mon</v>
      </c>
    </row>
    <row r="1832" spans="1:11" x14ac:dyDescent="0.25">
      <c r="A1832">
        <v>10</v>
      </c>
      <c r="B1832" t="s">
        <v>9</v>
      </c>
      <c r="C1832">
        <v>25.96</v>
      </c>
      <c r="D1832" t="s">
        <v>22</v>
      </c>
      <c r="E1832" t="s">
        <v>11</v>
      </c>
      <c r="F1832" t="s">
        <v>35</v>
      </c>
      <c r="G1832">
        <v>1</v>
      </c>
      <c r="H1832">
        <v>10</v>
      </c>
      <c r="I1832" s="13">
        <v>45579</v>
      </c>
      <c r="J1832" s="13" t="str">
        <f>TEXT(Table1[[#This Row],[Date]],"[$-en-US]mmm yyyy")</f>
        <v>Oct 2024</v>
      </c>
      <c r="K1832" s="13" t="str">
        <f>TEXT(Table1[[#This Row],[Date]],"[$-en-US]ddd")</f>
        <v>Mon</v>
      </c>
    </row>
    <row r="1833" spans="1:11" x14ac:dyDescent="0.25">
      <c r="A1833">
        <v>10</v>
      </c>
      <c r="B1833" t="s">
        <v>9</v>
      </c>
      <c r="C1833">
        <v>35.76</v>
      </c>
      <c r="D1833" t="s">
        <v>10</v>
      </c>
      <c r="E1833" t="s">
        <v>11</v>
      </c>
      <c r="F1833" t="s">
        <v>35</v>
      </c>
      <c r="G1833">
        <v>1</v>
      </c>
      <c r="H1833">
        <v>10</v>
      </c>
      <c r="I1833" s="13">
        <v>45579</v>
      </c>
      <c r="J1833" s="13" t="str">
        <f>TEXT(Table1[[#This Row],[Date]],"[$-en-US]mmm yyyy")</f>
        <v>Oct 2024</v>
      </c>
      <c r="K1833" s="13" t="str">
        <f>TEXT(Table1[[#This Row],[Date]],"[$-en-US]ddd")</f>
        <v>Mon</v>
      </c>
    </row>
    <row r="1834" spans="1:11" x14ac:dyDescent="0.25">
      <c r="A1834">
        <v>10</v>
      </c>
      <c r="B1834" t="s">
        <v>9</v>
      </c>
      <c r="C1834">
        <v>35.76</v>
      </c>
      <c r="D1834" t="s">
        <v>10</v>
      </c>
      <c r="E1834" t="s">
        <v>11</v>
      </c>
      <c r="F1834" t="s">
        <v>35</v>
      </c>
      <c r="G1834">
        <v>1</v>
      </c>
      <c r="H1834">
        <v>10</v>
      </c>
      <c r="I1834" s="13">
        <v>45579</v>
      </c>
      <c r="J1834" s="13" t="str">
        <f>TEXT(Table1[[#This Row],[Date]],"[$-en-US]mmm yyyy")</f>
        <v>Oct 2024</v>
      </c>
      <c r="K1834" s="13" t="str">
        <f>TEXT(Table1[[#This Row],[Date]],"[$-en-US]ddd")</f>
        <v>Mon</v>
      </c>
    </row>
    <row r="1835" spans="1:11" x14ac:dyDescent="0.25">
      <c r="A1835">
        <v>11</v>
      </c>
      <c r="B1835" t="s">
        <v>9</v>
      </c>
      <c r="C1835">
        <v>35.76</v>
      </c>
      <c r="D1835" t="s">
        <v>27</v>
      </c>
      <c r="E1835" t="s">
        <v>11</v>
      </c>
      <c r="F1835" t="s">
        <v>35</v>
      </c>
      <c r="G1835">
        <v>1</v>
      </c>
      <c r="H1835">
        <v>10</v>
      </c>
      <c r="I1835" s="13">
        <v>45579</v>
      </c>
      <c r="J1835" s="13" t="str">
        <f>TEXT(Table1[[#This Row],[Date]],"[$-en-US]mmm yyyy")</f>
        <v>Oct 2024</v>
      </c>
      <c r="K1835" s="13" t="str">
        <f>TEXT(Table1[[#This Row],[Date]],"[$-en-US]ddd")</f>
        <v>Mon</v>
      </c>
    </row>
    <row r="1836" spans="1:11" x14ac:dyDescent="0.25">
      <c r="A1836">
        <v>11</v>
      </c>
      <c r="B1836" t="s">
        <v>9</v>
      </c>
      <c r="C1836">
        <v>25.96</v>
      </c>
      <c r="D1836" t="s">
        <v>16</v>
      </c>
      <c r="E1836" t="s">
        <v>11</v>
      </c>
      <c r="F1836" t="s">
        <v>35</v>
      </c>
      <c r="G1836">
        <v>1</v>
      </c>
      <c r="H1836">
        <v>10</v>
      </c>
      <c r="I1836" s="13">
        <v>45579</v>
      </c>
      <c r="J1836" s="13" t="str">
        <f>TEXT(Table1[[#This Row],[Date]],"[$-en-US]mmm yyyy")</f>
        <v>Oct 2024</v>
      </c>
      <c r="K1836" s="13" t="str">
        <f>TEXT(Table1[[#This Row],[Date]],"[$-en-US]ddd")</f>
        <v>Mon</v>
      </c>
    </row>
    <row r="1837" spans="1:11" x14ac:dyDescent="0.25">
      <c r="A1837">
        <v>11</v>
      </c>
      <c r="B1837" t="s">
        <v>9</v>
      </c>
      <c r="C1837">
        <v>25.96</v>
      </c>
      <c r="D1837" t="s">
        <v>16</v>
      </c>
      <c r="E1837" t="s">
        <v>11</v>
      </c>
      <c r="F1837" t="s">
        <v>35</v>
      </c>
      <c r="G1837">
        <v>1</v>
      </c>
      <c r="H1837">
        <v>10</v>
      </c>
      <c r="I1837" s="13">
        <v>45579</v>
      </c>
      <c r="J1837" s="13" t="str">
        <f>TEXT(Table1[[#This Row],[Date]],"[$-en-US]mmm yyyy")</f>
        <v>Oct 2024</v>
      </c>
      <c r="K1837" s="13" t="str">
        <f>TEXT(Table1[[#This Row],[Date]],"[$-en-US]ddd")</f>
        <v>Mon</v>
      </c>
    </row>
    <row r="1838" spans="1:11" x14ac:dyDescent="0.25">
      <c r="A1838">
        <v>14</v>
      </c>
      <c r="B1838" t="s">
        <v>9</v>
      </c>
      <c r="C1838">
        <v>35.76</v>
      </c>
      <c r="D1838" t="s">
        <v>10</v>
      </c>
      <c r="E1838" t="s">
        <v>15</v>
      </c>
      <c r="F1838" t="s">
        <v>35</v>
      </c>
      <c r="G1838">
        <v>1</v>
      </c>
      <c r="H1838">
        <v>10</v>
      </c>
      <c r="I1838" s="13">
        <v>45579</v>
      </c>
      <c r="J1838" s="13" t="str">
        <f>TEXT(Table1[[#This Row],[Date]],"[$-en-US]mmm yyyy")</f>
        <v>Oct 2024</v>
      </c>
      <c r="K1838" s="13" t="str">
        <f>TEXT(Table1[[#This Row],[Date]],"[$-en-US]ddd")</f>
        <v>Mon</v>
      </c>
    </row>
    <row r="1839" spans="1:11" x14ac:dyDescent="0.25">
      <c r="A1839">
        <v>14</v>
      </c>
      <c r="B1839" t="s">
        <v>9</v>
      </c>
      <c r="C1839">
        <v>35.76</v>
      </c>
      <c r="D1839" t="s">
        <v>10</v>
      </c>
      <c r="E1839" t="s">
        <v>15</v>
      </c>
      <c r="F1839" t="s">
        <v>35</v>
      </c>
      <c r="G1839">
        <v>1</v>
      </c>
      <c r="H1839">
        <v>10</v>
      </c>
      <c r="I1839" s="13">
        <v>45579</v>
      </c>
      <c r="J1839" s="13" t="str">
        <f>TEXT(Table1[[#This Row],[Date]],"[$-en-US]mmm yyyy")</f>
        <v>Oct 2024</v>
      </c>
      <c r="K1839" s="13" t="str">
        <f>TEXT(Table1[[#This Row],[Date]],"[$-en-US]ddd")</f>
        <v>Mon</v>
      </c>
    </row>
    <row r="1840" spans="1:11" x14ac:dyDescent="0.25">
      <c r="A1840">
        <v>16</v>
      </c>
      <c r="B1840" t="s">
        <v>9</v>
      </c>
      <c r="C1840">
        <v>25.96</v>
      </c>
      <c r="D1840" t="s">
        <v>16</v>
      </c>
      <c r="E1840" t="s">
        <v>15</v>
      </c>
      <c r="F1840" t="s">
        <v>35</v>
      </c>
      <c r="G1840">
        <v>1</v>
      </c>
      <c r="H1840">
        <v>10</v>
      </c>
      <c r="I1840" s="13">
        <v>45579</v>
      </c>
      <c r="J1840" s="13" t="str">
        <f>TEXT(Table1[[#This Row],[Date]],"[$-en-US]mmm yyyy")</f>
        <v>Oct 2024</v>
      </c>
      <c r="K1840" s="13" t="str">
        <f>TEXT(Table1[[#This Row],[Date]],"[$-en-US]ddd")</f>
        <v>Mon</v>
      </c>
    </row>
    <row r="1841" spans="1:11" x14ac:dyDescent="0.25">
      <c r="A1841">
        <v>18</v>
      </c>
      <c r="B1841" t="s">
        <v>9</v>
      </c>
      <c r="C1841">
        <v>35.76</v>
      </c>
      <c r="D1841" t="s">
        <v>10</v>
      </c>
      <c r="E1841" t="s">
        <v>18</v>
      </c>
      <c r="F1841" t="s">
        <v>35</v>
      </c>
      <c r="G1841">
        <v>1</v>
      </c>
      <c r="H1841">
        <v>10</v>
      </c>
      <c r="I1841" s="13">
        <v>45579</v>
      </c>
      <c r="J1841" s="13" t="str">
        <f>TEXT(Table1[[#This Row],[Date]],"[$-en-US]mmm yyyy")</f>
        <v>Oct 2024</v>
      </c>
      <c r="K1841" s="13" t="str">
        <f>TEXT(Table1[[#This Row],[Date]],"[$-en-US]ddd")</f>
        <v>Mon</v>
      </c>
    </row>
    <row r="1842" spans="1:11" x14ac:dyDescent="0.25">
      <c r="A1842">
        <v>18</v>
      </c>
      <c r="B1842" t="s">
        <v>9</v>
      </c>
      <c r="C1842">
        <v>35.76</v>
      </c>
      <c r="D1842" t="s">
        <v>27</v>
      </c>
      <c r="E1842" t="s">
        <v>18</v>
      </c>
      <c r="F1842" t="s">
        <v>35</v>
      </c>
      <c r="G1842">
        <v>1</v>
      </c>
      <c r="H1842">
        <v>10</v>
      </c>
      <c r="I1842" s="13">
        <v>45579</v>
      </c>
      <c r="J1842" s="13" t="str">
        <f>TEXT(Table1[[#This Row],[Date]],"[$-en-US]mmm yyyy")</f>
        <v>Oct 2024</v>
      </c>
      <c r="K1842" s="13" t="str">
        <f>TEXT(Table1[[#This Row],[Date]],"[$-en-US]ddd")</f>
        <v>Mon</v>
      </c>
    </row>
    <row r="1843" spans="1:11" x14ac:dyDescent="0.25">
      <c r="A1843">
        <v>22</v>
      </c>
      <c r="B1843" t="s">
        <v>9</v>
      </c>
      <c r="C1843">
        <v>35.76</v>
      </c>
      <c r="D1843" t="s">
        <v>10</v>
      </c>
      <c r="E1843" t="s">
        <v>18</v>
      </c>
      <c r="F1843" t="s">
        <v>35</v>
      </c>
      <c r="G1843">
        <v>1</v>
      </c>
      <c r="H1843">
        <v>10</v>
      </c>
      <c r="I1843" s="13">
        <v>45579</v>
      </c>
      <c r="J1843" s="13" t="str">
        <f>TEXT(Table1[[#This Row],[Date]],"[$-en-US]mmm yyyy")</f>
        <v>Oct 2024</v>
      </c>
      <c r="K1843" s="13" t="str">
        <f>TEXT(Table1[[#This Row],[Date]],"[$-en-US]ddd")</f>
        <v>Mon</v>
      </c>
    </row>
    <row r="1844" spans="1:11" x14ac:dyDescent="0.25">
      <c r="A1844">
        <v>22</v>
      </c>
      <c r="B1844" t="s">
        <v>9</v>
      </c>
      <c r="C1844">
        <v>35.76</v>
      </c>
      <c r="D1844" t="s">
        <v>10</v>
      </c>
      <c r="E1844" t="s">
        <v>18</v>
      </c>
      <c r="F1844" t="s">
        <v>35</v>
      </c>
      <c r="G1844">
        <v>1</v>
      </c>
      <c r="H1844">
        <v>10</v>
      </c>
      <c r="I1844" s="13">
        <v>45579</v>
      </c>
      <c r="J1844" s="13" t="str">
        <f>TEXT(Table1[[#This Row],[Date]],"[$-en-US]mmm yyyy")</f>
        <v>Oct 2024</v>
      </c>
      <c r="K1844" s="13" t="str">
        <f>TEXT(Table1[[#This Row],[Date]],"[$-en-US]ddd")</f>
        <v>Mon</v>
      </c>
    </row>
    <row r="1845" spans="1:11" x14ac:dyDescent="0.25">
      <c r="A1845">
        <v>22</v>
      </c>
      <c r="B1845" t="s">
        <v>9</v>
      </c>
      <c r="C1845">
        <v>35.76</v>
      </c>
      <c r="D1845" t="s">
        <v>10</v>
      </c>
      <c r="E1845" t="s">
        <v>18</v>
      </c>
      <c r="F1845" t="s">
        <v>35</v>
      </c>
      <c r="G1845">
        <v>1</v>
      </c>
      <c r="H1845">
        <v>10</v>
      </c>
      <c r="I1845" s="13">
        <v>45579</v>
      </c>
      <c r="J1845" s="13" t="str">
        <f>TEXT(Table1[[#This Row],[Date]],"[$-en-US]mmm yyyy")</f>
        <v>Oct 2024</v>
      </c>
      <c r="K1845" s="13" t="str">
        <f>TEXT(Table1[[#This Row],[Date]],"[$-en-US]ddd")</f>
        <v>Mon</v>
      </c>
    </row>
    <row r="1846" spans="1:11" x14ac:dyDescent="0.25">
      <c r="A1846">
        <v>8</v>
      </c>
      <c r="B1846" t="s">
        <v>9</v>
      </c>
      <c r="C1846">
        <v>25.96</v>
      </c>
      <c r="D1846" t="s">
        <v>22</v>
      </c>
      <c r="E1846" t="s">
        <v>11</v>
      </c>
      <c r="F1846" t="s">
        <v>35</v>
      </c>
      <c r="G1846">
        <v>2</v>
      </c>
      <c r="H1846">
        <v>10</v>
      </c>
      <c r="I1846" s="13">
        <v>45580</v>
      </c>
      <c r="J1846" s="13" t="str">
        <f>TEXT(Table1[[#This Row],[Date]],"[$-en-US]mmm yyyy")</f>
        <v>Oct 2024</v>
      </c>
      <c r="K1846" s="13" t="str">
        <f>TEXT(Table1[[#This Row],[Date]],"[$-en-US]ddd")</f>
        <v>Tue</v>
      </c>
    </row>
    <row r="1847" spans="1:11" x14ac:dyDescent="0.25">
      <c r="A1847">
        <v>8</v>
      </c>
      <c r="B1847" t="s">
        <v>9</v>
      </c>
      <c r="C1847">
        <v>21.06</v>
      </c>
      <c r="D1847" t="s">
        <v>24</v>
      </c>
      <c r="E1847" t="s">
        <v>11</v>
      </c>
      <c r="F1847" t="s">
        <v>35</v>
      </c>
      <c r="G1847">
        <v>2</v>
      </c>
      <c r="H1847">
        <v>10</v>
      </c>
      <c r="I1847" s="13">
        <v>45580</v>
      </c>
      <c r="J1847" s="13" t="str">
        <f>TEXT(Table1[[#This Row],[Date]],"[$-en-US]mmm yyyy")</f>
        <v>Oct 2024</v>
      </c>
      <c r="K1847" s="13" t="str">
        <f>TEXT(Table1[[#This Row],[Date]],"[$-en-US]ddd")</f>
        <v>Tue</v>
      </c>
    </row>
    <row r="1848" spans="1:11" x14ac:dyDescent="0.25">
      <c r="A1848">
        <v>11</v>
      </c>
      <c r="B1848" t="s">
        <v>9</v>
      </c>
      <c r="C1848">
        <v>35.76</v>
      </c>
      <c r="D1848" t="s">
        <v>14</v>
      </c>
      <c r="E1848" t="s">
        <v>11</v>
      </c>
      <c r="F1848" t="s">
        <v>35</v>
      </c>
      <c r="G1848">
        <v>2</v>
      </c>
      <c r="H1848">
        <v>10</v>
      </c>
      <c r="I1848" s="13">
        <v>45580</v>
      </c>
      <c r="J1848" s="13" t="str">
        <f>TEXT(Table1[[#This Row],[Date]],"[$-en-US]mmm yyyy")</f>
        <v>Oct 2024</v>
      </c>
      <c r="K1848" s="13" t="str">
        <f>TEXT(Table1[[#This Row],[Date]],"[$-en-US]ddd")</f>
        <v>Tue</v>
      </c>
    </row>
    <row r="1849" spans="1:11" x14ac:dyDescent="0.25">
      <c r="A1849">
        <v>11</v>
      </c>
      <c r="B1849" t="s">
        <v>9</v>
      </c>
      <c r="C1849">
        <v>35.76</v>
      </c>
      <c r="D1849" t="s">
        <v>10</v>
      </c>
      <c r="E1849" t="s">
        <v>11</v>
      </c>
      <c r="F1849" t="s">
        <v>35</v>
      </c>
      <c r="G1849">
        <v>2</v>
      </c>
      <c r="H1849">
        <v>10</v>
      </c>
      <c r="I1849" s="13">
        <v>45580</v>
      </c>
      <c r="J1849" s="13" t="str">
        <f>TEXT(Table1[[#This Row],[Date]],"[$-en-US]mmm yyyy")</f>
        <v>Oct 2024</v>
      </c>
      <c r="K1849" s="13" t="str">
        <f>TEXT(Table1[[#This Row],[Date]],"[$-en-US]ddd")</f>
        <v>Tue</v>
      </c>
    </row>
    <row r="1850" spans="1:11" x14ac:dyDescent="0.25">
      <c r="A1850">
        <v>11</v>
      </c>
      <c r="B1850" t="s">
        <v>9</v>
      </c>
      <c r="C1850">
        <v>35.76</v>
      </c>
      <c r="D1850" t="s">
        <v>14</v>
      </c>
      <c r="E1850" t="s">
        <v>11</v>
      </c>
      <c r="F1850" t="s">
        <v>35</v>
      </c>
      <c r="G1850">
        <v>2</v>
      </c>
      <c r="H1850">
        <v>10</v>
      </c>
      <c r="I1850" s="13">
        <v>45580</v>
      </c>
      <c r="J1850" s="13" t="str">
        <f>TEXT(Table1[[#This Row],[Date]],"[$-en-US]mmm yyyy")</f>
        <v>Oct 2024</v>
      </c>
      <c r="K1850" s="13" t="str">
        <f>TEXT(Table1[[#This Row],[Date]],"[$-en-US]ddd")</f>
        <v>Tue</v>
      </c>
    </row>
    <row r="1851" spans="1:11" x14ac:dyDescent="0.25">
      <c r="A1851">
        <v>13</v>
      </c>
      <c r="B1851" t="s">
        <v>9</v>
      </c>
      <c r="C1851">
        <v>35.76</v>
      </c>
      <c r="D1851" t="s">
        <v>10</v>
      </c>
      <c r="E1851" t="s">
        <v>15</v>
      </c>
      <c r="F1851" t="s">
        <v>35</v>
      </c>
      <c r="G1851">
        <v>2</v>
      </c>
      <c r="H1851">
        <v>10</v>
      </c>
      <c r="I1851" s="13">
        <v>45580</v>
      </c>
      <c r="J1851" s="13" t="str">
        <f>TEXT(Table1[[#This Row],[Date]],"[$-en-US]mmm yyyy")</f>
        <v>Oct 2024</v>
      </c>
      <c r="K1851" s="13" t="str">
        <f>TEXT(Table1[[#This Row],[Date]],"[$-en-US]ddd")</f>
        <v>Tue</v>
      </c>
    </row>
    <row r="1852" spans="1:11" x14ac:dyDescent="0.25">
      <c r="A1852">
        <v>13</v>
      </c>
      <c r="B1852" t="s">
        <v>9</v>
      </c>
      <c r="C1852">
        <v>30.86</v>
      </c>
      <c r="D1852" t="s">
        <v>17</v>
      </c>
      <c r="E1852" t="s">
        <v>15</v>
      </c>
      <c r="F1852" t="s">
        <v>35</v>
      </c>
      <c r="G1852">
        <v>2</v>
      </c>
      <c r="H1852">
        <v>10</v>
      </c>
      <c r="I1852" s="13">
        <v>45580</v>
      </c>
      <c r="J1852" s="13" t="str">
        <f>TEXT(Table1[[#This Row],[Date]],"[$-en-US]mmm yyyy")</f>
        <v>Oct 2024</v>
      </c>
      <c r="K1852" s="13" t="str">
        <f>TEXT(Table1[[#This Row],[Date]],"[$-en-US]ddd")</f>
        <v>Tue</v>
      </c>
    </row>
    <row r="1853" spans="1:11" x14ac:dyDescent="0.25">
      <c r="A1853">
        <v>15</v>
      </c>
      <c r="B1853" t="s">
        <v>9</v>
      </c>
      <c r="C1853">
        <v>35.76</v>
      </c>
      <c r="D1853" t="s">
        <v>10</v>
      </c>
      <c r="E1853" t="s">
        <v>15</v>
      </c>
      <c r="F1853" t="s">
        <v>35</v>
      </c>
      <c r="G1853">
        <v>2</v>
      </c>
      <c r="H1853">
        <v>10</v>
      </c>
      <c r="I1853" s="13">
        <v>45580</v>
      </c>
      <c r="J1853" s="13" t="str">
        <f>TEXT(Table1[[#This Row],[Date]],"[$-en-US]mmm yyyy")</f>
        <v>Oct 2024</v>
      </c>
      <c r="K1853" s="13" t="str">
        <f>TEXT(Table1[[#This Row],[Date]],"[$-en-US]ddd")</f>
        <v>Tue</v>
      </c>
    </row>
    <row r="1854" spans="1:11" x14ac:dyDescent="0.25">
      <c r="A1854">
        <v>15</v>
      </c>
      <c r="B1854" t="s">
        <v>9</v>
      </c>
      <c r="C1854">
        <v>25.96</v>
      </c>
      <c r="D1854" t="s">
        <v>16</v>
      </c>
      <c r="E1854" t="s">
        <v>15</v>
      </c>
      <c r="F1854" t="s">
        <v>35</v>
      </c>
      <c r="G1854">
        <v>2</v>
      </c>
      <c r="H1854">
        <v>10</v>
      </c>
      <c r="I1854" s="13">
        <v>45580</v>
      </c>
      <c r="J1854" s="13" t="str">
        <f>TEXT(Table1[[#This Row],[Date]],"[$-en-US]mmm yyyy")</f>
        <v>Oct 2024</v>
      </c>
      <c r="K1854" s="13" t="str">
        <f>TEXT(Table1[[#This Row],[Date]],"[$-en-US]ddd")</f>
        <v>Tue</v>
      </c>
    </row>
    <row r="1855" spans="1:11" x14ac:dyDescent="0.25">
      <c r="A1855">
        <v>15</v>
      </c>
      <c r="B1855" t="s">
        <v>9</v>
      </c>
      <c r="C1855">
        <v>21.06</v>
      </c>
      <c r="D1855" t="s">
        <v>24</v>
      </c>
      <c r="E1855" t="s">
        <v>15</v>
      </c>
      <c r="F1855" t="s">
        <v>35</v>
      </c>
      <c r="G1855">
        <v>2</v>
      </c>
      <c r="H1855">
        <v>10</v>
      </c>
      <c r="I1855" s="13">
        <v>45580</v>
      </c>
      <c r="J1855" s="13" t="str">
        <f>TEXT(Table1[[#This Row],[Date]],"[$-en-US]mmm yyyy")</f>
        <v>Oct 2024</v>
      </c>
      <c r="K1855" s="13" t="str">
        <f>TEXT(Table1[[#This Row],[Date]],"[$-en-US]ddd")</f>
        <v>Tue</v>
      </c>
    </row>
    <row r="1856" spans="1:11" x14ac:dyDescent="0.25">
      <c r="A1856">
        <v>17</v>
      </c>
      <c r="B1856" t="s">
        <v>9</v>
      </c>
      <c r="C1856">
        <v>35.76</v>
      </c>
      <c r="D1856" t="s">
        <v>14</v>
      </c>
      <c r="E1856" t="s">
        <v>18</v>
      </c>
      <c r="F1856" t="s">
        <v>35</v>
      </c>
      <c r="G1856">
        <v>2</v>
      </c>
      <c r="H1856">
        <v>10</v>
      </c>
      <c r="I1856" s="13">
        <v>45580</v>
      </c>
      <c r="J1856" s="13" t="str">
        <f>TEXT(Table1[[#This Row],[Date]],"[$-en-US]mmm yyyy")</f>
        <v>Oct 2024</v>
      </c>
      <c r="K1856" s="13" t="str">
        <f>TEXT(Table1[[#This Row],[Date]],"[$-en-US]ddd")</f>
        <v>Tue</v>
      </c>
    </row>
    <row r="1857" spans="1:11" x14ac:dyDescent="0.25">
      <c r="A1857">
        <v>19</v>
      </c>
      <c r="B1857" t="s">
        <v>9</v>
      </c>
      <c r="C1857">
        <v>25.96</v>
      </c>
      <c r="D1857" t="s">
        <v>16</v>
      </c>
      <c r="E1857" t="s">
        <v>18</v>
      </c>
      <c r="F1857" t="s">
        <v>35</v>
      </c>
      <c r="G1857">
        <v>2</v>
      </c>
      <c r="H1857">
        <v>10</v>
      </c>
      <c r="I1857" s="13">
        <v>45580</v>
      </c>
      <c r="J1857" s="13" t="str">
        <f>TEXT(Table1[[#This Row],[Date]],"[$-en-US]mmm yyyy")</f>
        <v>Oct 2024</v>
      </c>
      <c r="K1857" s="13" t="str">
        <f>TEXT(Table1[[#This Row],[Date]],"[$-en-US]ddd")</f>
        <v>Tue</v>
      </c>
    </row>
    <row r="1858" spans="1:11" x14ac:dyDescent="0.25">
      <c r="A1858">
        <v>19</v>
      </c>
      <c r="B1858" t="s">
        <v>9</v>
      </c>
      <c r="C1858">
        <v>35.76</v>
      </c>
      <c r="D1858" t="s">
        <v>19</v>
      </c>
      <c r="E1858" t="s">
        <v>18</v>
      </c>
      <c r="F1858" t="s">
        <v>35</v>
      </c>
      <c r="G1858">
        <v>2</v>
      </c>
      <c r="H1858">
        <v>10</v>
      </c>
      <c r="I1858" s="13">
        <v>45580</v>
      </c>
      <c r="J1858" s="13" t="str">
        <f>TEXT(Table1[[#This Row],[Date]],"[$-en-US]mmm yyyy")</f>
        <v>Oct 2024</v>
      </c>
      <c r="K1858" s="13" t="str">
        <f>TEXT(Table1[[#This Row],[Date]],"[$-en-US]ddd")</f>
        <v>Tue</v>
      </c>
    </row>
    <row r="1859" spans="1:11" x14ac:dyDescent="0.25">
      <c r="A1859">
        <v>20</v>
      </c>
      <c r="B1859" t="s">
        <v>9</v>
      </c>
      <c r="C1859">
        <v>35.76</v>
      </c>
      <c r="D1859" t="s">
        <v>10</v>
      </c>
      <c r="E1859" t="s">
        <v>18</v>
      </c>
      <c r="F1859" t="s">
        <v>35</v>
      </c>
      <c r="G1859">
        <v>2</v>
      </c>
      <c r="H1859">
        <v>10</v>
      </c>
      <c r="I1859" s="13">
        <v>45580</v>
      </c>
      <c r="J1859" s="13" t="str">
        <f>TEXT(Table1[[#This Row],[Date]],"[$-en-US]mmm yyyy")</f>
        <v>Oct 2024</v>
      </c>
      <c r="K1859" s="13" t="str">
        <f>TEXT(Table1[[#This Row],[Date]],"[$-en-US]ddd")</f>
        <v>Tue</v>
      </c>
    </row>
    <row r="1860" spans="1:11" x14ac:dyDescent="0.25">
      <c r="A1860">
        <v>20</v>
      </c>
      <c r="B1860" t="s">
        <v>9</v>
      </c>
      <c r="C1860">
        <v>35.76</v>
      </c>
      <c r="D1860" t="s">
        <v>10</v>
      </c>
      <c r="E1860" t="s">
        <v>18</v>
      </c>
      <c r="F1860" t="s">
        <v>35</v>
      </c>
      <c r="G1860">
        <v>2</v>
      </c>
      <c r="H1860">
        <v>10</v>
      </c>
      <c r="I1860" s="13">
        <v>45580</v>
      </c>
      <c r="J1860" s="13" t="str">
        <f>TEXT(Table1[[#This Row],[Date]],"[$-en-US]mmm yyyy")</f>
        <v>Oct 2024</v>
      </c>
      <c r="K1860" s="13" t="str">
        <f>TEXT(Table1[[#This Row],[Date]],"[$-en-US]ddd")</f>
        <v>Tue</v>
      </c>
    </row>
    <row r="1861" spans="1:11" x14ac:dyDescent="0.25">
      <c r="A1861">
        <v>21</v>
      </c>
      <c r="B1861" t="s">
        <v>9</v>
      </c>
      <c r="C1861">
        <v>35.76</v>
      </c>
      <c r="D1861" t="s">
        <v>14</v>
      </c>
      <c r="E1861" t="s">
        <v>18</v>
      </c>
      <c r="F1861" t="s">
        <v>35</v>
      </c>
      <c r="G1861">
        <v>2</v>
      </c>
      <c r="H1861">
        <v>10</v>
      </c>
      <c r="I1861" s="13">
        <v>45580</v>
      </c>
      <c r="J1861" s="13" t="str">
        <f>TEXT(Table1[[#This Row],[Date]],"[$-en-US]mmm yyyy")</f>
        <v>Oct 2024</v>
      </c>
      <c r="K1861" s="13" t="str">
        <f>TEXT(Table1[[#This Row],[Date]],"[$-en-US]ddd")</f>
        <v>Tue</v>
      </c>
    </row>
    <row r="1862" spans="1:11" x14ac:dyDescent="0.25">
      <c r="A1862">
        <v>21</v>
      </c>
      <c r="B1862" t="s">
        <v>9</v>
      </c>
      <c r="C1862">
        <v>35.76</v>
      </c>
      <c r="D1862" t="s">
        <v>14</v>
      </c>
      <c r="E1862" t="s">
        <v>18</v>
      </c>
      <c r="F1862" t="s">
        <v>35</v>
      </c>
      <c r="G1862">
        <v>2</v>
      </c>
      <c r="H1862">
        <v>10</v>
      </c>
      <c r="I1862" s="13">
        <v>45580</v>
      </c>
      <c r="J1862" s="13" t="str">
        <f>TEXT(Table1[[#This Row],[Date]],"[$-en-US]mmm yyyy")</f>
        <v>Oct 2024</v>
      </c>
      <c r="K1862" s="13" t="str">
        <f>TEXT(Table1[[#This Row],[Date]],"[$-en-US]ddd")</f>
        <v>Tue</v>
      </c>
    </row>
    <row r="1863" spans="1:11" x14ac:dyDescent="0.25">
      <c r="A1863">
        <v>22</v>
      </c>
      <c r="B1863" t="s">
        <v>9</v>
      </c>
      <c r="C1863">
        <v>35.76</v>
      </c>
      <c r="D1863" t="s">
        <v>10</v>
      </c>
      <c r="E1863" t="s">
        <v>18</v>
      </c>
      <c r="F1863" t="s">
        <v>35</v>
      </c>
      <c r="G1863">
        <v>2</v>
      </c>
      <c r="H1863">
        <v>10</v>
      </c>
      <c r="I1863" s="13">
        <v>45580</v>
      </c>
      <c r="J1863" s="13" t="str">
        <f>TEXT(Table1[[#This Row],[Date]],"[$-en-US]mmm yyyy")</f>
        <v>Oct 2024</v>
      </c>
      <c r="K1863" s="13" t="str">
        <f>TEXT(Table1[[#This Row],[Date]],"[$-en-US]ddd")</f>
        <v>Tue</v>
      </c>
    </row>
    <row r="1864" spans="1:11" x14ac:dyDescent="0.25">
      <c r="A1864">
        <v>8</v>
      </c>
      <c r="B1864" t="s">
        <v>9</v>
      </c>
      <c r="C1864">
        <v>30.86</v>
      </c>
      <c r="D1864" t="s">
        <v>17</v>
      </c>
      <c r="E1864" t="s">
        <v>11</v>
      </c>
      <c r="F1864" t="s">
        <v>35</v>
      </c>
      <c r="G1864">
        <v>3</v>
      </c>
      <c r="H1864">
        <v>10</v>
      </c>
      <c r="I1864" s="13">
        <v>45581</v>
      </c>
      <c r="J1864" s="13" t="str">
        <f>TEXT(Table1[[#This Row],[Date]],"[$-en-US]mmm yyyy")</f>
        <v>Oct 2024</v>
      </c>
      <c r="K1864" s="13" t="str">
        <f>TEXT(Table1[[#This Row],[Date]],"[$-en-US]ddd")</f>
        <v>Wed</v>
      </c>
    </row>
    <row r="1865" spans="1:11" x14ac:dyDescent="0.25">
      <c r="A1865">
        <v>8</v>
      </c>
      <c r="B1865" t="s">
        <v>9</v>
      </c>
      <c r="C1865">
        <v>35.76</v>
      </c>
      <c r="D1865" t="s">
        <v>14</v>
      </c>
      <c r="E1865" t="s">
        <v>11</v>
      </c>
      <c r="F1865" t="s">
        <v>35</v>
      </c>
      <c r="G1865">
        <v>3</v>
      </c>
      <c r="H1865">
        <v>10</v>
      </c>
      <c r="I1865" s="13">
        <v>45581</v>
      </c>
      <c r="J1865" s="13" t="str">
        <f>TEXT(Table1[[#This Row],[Date]],"[$-en-US]mmm yyyy")</f>
        <v>Oct 2024</v>
      </c>
      <c r="K1865" s="13" t="str">
        <f>TEXT(Table1[[#This Row],[Date]],"[$-en-US]ddd")</f>
        <v>Wed</v>
      </c>
    </row>
    <row r="1866" spans="1:11" x14ac:dyDescent="0.25">
      <c r="A1866">
        <v>9</v>
      </c>
      <c r="B1866" t="s">
        <v>9</v>
      </c>
      <c r="C1866">
        <v>35.76</v>
      </c>
      <c r="D1866" t="s">
        <v>10</v>
      </c>
      <c r="E1866" t="s">
        <v>11</v>
      </c>
      <c r="F1866" t="s">
        <v>35</v>
      </c>
      <c r="G1866">
        <v>3</v>
      </c>
      <c r="H1866">
        <v>10</v>
      </c>
      <c r="I1866" s="13">
        <v>45581</v>
      </c>
      <c r="J1866" s="13" t="str">
        <f>TEXT(Table1[[#This Row],[Date]],"[$-en-US]mmm yyyy")</f>
        <v>Oct 2024</v>
      </c>
      <c r="K1866" s="13" t="str">
        <f>TEXT(Table1[[#This Row],[Date]],"[$-en-US]ddd")</f>
        <v>Wed</v>
      </c>
    </row>
    <row r="1867" spans="1:11" x14ac:dyDescent="0.25">
      <c r="A1867">
        <v>10</v>
      </c>
      <c r="B1867" t="s">
        <v>9</v>
      </c>
      <c r="C1867">
        <v>30.86</v>
      </c>
      <c r="D1867" t="s">
        <v>17</v>
      </c>
      <c r="E1867" t="s">
        <v>11</v>
      </c>
      <c r="F1867" t="s">
        <v>35</v>
      </c>
      <c r="G1867">
        <v>3</v>
      </c>
      <c r="H1867">
        <v>10</v>
      </c>
      <c r="I1867" s="13">
        <v>45581</v>
      </c>
      <c r="J1867" s="13" t="str">
        <f>TEXT(Table1[[#This Row],[Date]],"[$-en-US]mmm yyyy")</f>
        <v>Oct 2024</v>
      </c>
      <c r="K1867" s="13" t="str">
        <f>TEXT(Table1[[#This Row],[Date]],"[$-en-US]ddd")</f>
        <v>Wed</v>
      </c>
    </row>
    <row r="1868" spans="1:11" x14ac:dyDescent="0.25">
      <c r="A1868">
        <v>10</v>
      </c>
      <c r="B1868" t="s">
        <v>9</v>
      </c>
      <c r="C1868">
        <v>30.86</v>
      </c>
      <c r="D1868" t="s">
        <v>17</v>
      </c>
      <c r="E1868" t="s">
        <v>11</v>
      </c>
      <c r="F1868" t="s">
        <v>35</v>
      </c>
      <c r="G1868">
        <v>3</v>
      </c>
      <c r="H1868">
        <v>10</v>
      </c>
      <c r="I1868" s="13">
        <v>45581</v>
      </c>
      <c r="J1868" s="13" t="str">
        <f>TEXT(Table1[[#This Row],[Date]],"[$-en-US]mmm yyyy")</f>
        <v>Oct 2024</v>
      </c>
      <c r="K1868" s="13" t="str">
        <f>TEXT(Table1[[#This Row],[Date]],"[$-en-US]ddd")</f>
        <v>Wed</v>
      </c>
    </row>
    <row r="1869" spans="1:11" x14ac:dyDescent="0.25">
      <c r="A1869">
        <v>10</v>
      </c>
      <c r="B1869" t="s">
        <v>9</v>
      </c>
      <c r="C1869">
        <v>30.86</v>
      </c>
      <c r="D1869" t="s">
        <v>17</v>
      </c>
      <c r="E1869" t="s">
        <v>11</v>
      </c>
      <c r="F1869" t="s">
        <v>35</v>
      </c>
      <c r="G1869">
        <v>3</v>
      </c>
      <c r="H1869">
        <v>10</v>
      </c>
      <c r="I1869" s="13">
        <v>45581</v>
      </c>
      <c r="J1869" s="13" t="str">
        <f>TEXT(Table1[[#This Row],[Date]],"[$-en-US]mmm yyyy")</f>
        <v>Oct 2024</v>
      </c>
      <c r="K1869" s="13" t="str">
        <f>TEXT(Table1[[#This Row],[Date]],"[$-en-US]ddd")</f>
        <v>Wed</v>
      </c>
    </row>
    <row r="1870" spans="1:11" x14ac:dyDescent="0.25">
      <c r="A1870">
        <v>11</v>
      </c>
      <c r="B1870" t="s">
        <v>9</v>
      </c>
      <c r="C1870">
        <v>25.96</v>
      </c>
      <c r="D1870" t="s">
        <v>16</v>
      </c>
      <c r="E1870" t="s">
        <v>11</v>
      </c>
      <c r="F1870" t="s">
        <v>35</v>
      </c>
      <c r="G1870">
        <v>3</v>
      </c>
      <c r="H1870">
        <v>10</v>
      </c>
      <c r="I1870" s="13">
        <v>45581</v>
      </c>
      <c r="J1870" s="13" t="str">
        <f>TEXT(Table1[[#This Row],[Date]],"[$-en-US]mmm yyyy")</f>
        <v>Oct 2024</v>
      </c>
      <c r="K1870" s="13" t="str">
        <f>TEXT(Table1[[#This Row],[Date]],"[$-en-US]ddd")</f>
        <v>Wed</v>
      </c>
    </row>
    <row r="1871" spans="1:11" x14ac:dyDescent="0.25">
      <c r="A1871">
        <v>12</v>
      </c>
      <c r="B1871" t="s">
        <v>9</v>
      </c>
      <c r="C1871">
        <v>30.86</v>
      </c>
      <c r="D1871" t="s">
        <v>17</v>
      </c>
      <c r="E1871" t="s">
        <v>15</v>
      </c>
      <c r="F1871" t="s">
        <v>35</v>
      </c>
      <c r="G1871">
        <v>3</v>
      </c>
      <c r="H1871">
        <v>10</v>
      </c>
      <c r="I1871" s="13">
        <v>45581</v>
      </c>
      <c r="J1871" s="13" t="str">
        <f>TEXT(Table1[[#This Row],[Date]],"[$-en-US]mmm yyyy")</f>
        <v>Oct 2024</v>
      </c>
      <c r="K1871" s="13" t="str">
        <f>TEXT(Table1[[#This Row],[Date]],"[$-en-US]ddd")</f>
        <v>Wed</v>
      </c>
    </row>
    <row r="1872" spans="1:11" x14ac:dyDescent="0.25">
      <c r="A1872">
        <v>13</v>
      </c>
      <c r="B1872" t="s">
        <v>9</v>
      </c>
      <c r="C1872">
        <v>25.96</v>
      </c>
      <c r="D1872" t="s">
        <v>16</v>
      </c>
      <c r="E1872" t="s">
        <v>15</v>
      </c>
      <c r="F1872" t="s">
        <v>35</v>
      </c>
      <c r="G1872">
        <v>3</v>
      </c>
      <c r="H1872">
        <v>10</v>
      </c>
      <c r="I1872" s="13">
        <v>45581</v>
      </c>
      <c r="J1872" s="13" t="str">
        <f>TEXT(Table1[[#This Row],[Date]],"[$-en-US]mmm yyyy")</f>
        <v>Oct 2024</v>
      </c>
      <c r="K1872" s="13" t="str">
        <f>TEXT(Table1[[#This Row],[Date]],"[$-en-US]ddd")</f>
        <v>Wed</v>
      </c>
    </row>
    <row r="1873" spans="1:11" x14ac:dyDescent="0.25">
      <c r="A1873">
        <v>16</v>
      </c>
      <c r="B1873" t="s">
        <v>9</v>
      </c>
      <c r="C1873">
        <v>35.76</v>
      </c>
      <c r="D1873" t="s">
        <v>10</v>
      </c>
      <c r="E1873" t="s">
        <v>15</v>
      </c>
      <c r="F1873" t="s">
        <v>35</v>
      </c>
      <c r="G1873">
        <v>3</v>
      </c>
      <c r="H1873">
        <v>10</v>
      </c>
      <c r="I1873" s="13">
        <v>45581</v>
      </c>
      <c r="J1873" s="13" t="str">
        <f>TEXT(Table1[[#This Row],[Date]],"[$-en-US]mmm yyyy")</f>
        <v>Oct 2024</v>
      </c>
      <c r="K1873" s="13" t="str">
        <f>TEXT(Table1[[#This Row],[Date]],"[$-en-US]ddd")</f>
        <v>Wed</v>
      </c>
    </row>
    <row r="1874" spans="1:11" x14ac:dyDescent="0.25">
      <c r="A1874">
        <v>17</v>
      </c>
      <c r="B1874" t="s">
        <v>9</v>
      </c>
      <c r="C1874">
        <v>30.86</v>
      </c>
      <c r="D1874" t="s">
        <v>17</v>
      </c>
      <c r="E1874" t="s">
        <v>18</v>
      </c>
      <c r="F1874" t="s">
        <v>35</v>
      </c>
      <c r="G1874">
        <v>3</v>
      </c>
      <c r="H1874">
        <v>10</v>
      </c>
      <c r="I1874" s="13">
        <v>45581</v>
      </c>
      <c r="J1874" s="13" t="str">
        <f>TEXT(Table1[[#This Row],[Date]],"[$-en-US]mmm yyyy")</f>
        <v>Oct 2024</v>
      </c>
      <c r="K1874" s="13" t="str">
        <f>TEXT(Table1[[#This Row],[Date]],"[$-en-US]ddd")</f>
        <v>Wed</v>
      </c>
    </row>
    <row r="1875" spans="1:11" x14ac:dyDescent="0.25">
      <c r="A1875">
        <v>19</v>
      </c>
      <c r="B1875" t="s">
        <v>9</v>
      </c>
      <c r="C1875">
        <v>30.86</v>
      </c>
      <c r="D1875" t="s">
        <v>17</v>
      </c>
      <c r="E1875" t="s">
        <v>18</v>
      </c>
      <c r="F1875" t="s">
        <v>35</v>
      </c>
      <c r="G1875">
        <v>3</v>
      </c>
      <c r="H1875">
        <v>10</v>
      </c>
      <c r="I1875" s="13">
        <v>45581</v>
      </c>
      <c r="J1875" s="13" t="str">
        <f>TEXT(Table1[[#This Row],[Date]],"[$-en-US]mmm yyyy")</f>
        <v>Oct 2024</v>
      </c>
      <c r="K1875" s="13" t="str">
        <f>TEXT(Table1[[#This Row],[Date]],"[$-en-US]ddd")</f>
        <v>Wed</v>
      </c>
    </row>
    <row r="1876" spans="1:11" x14ac:dyDescent="0.25">
      <c r="A1876">
        <v>19</v>
      </c>
      <c r="B1876" t="s">
        <v>9</v>
      </c>
      <c r="C1876">
        <v>30.86</v>
      </c>
      <c r="D1876" t="s">
        <v>17</v>
      </c>
      <c r="E1876" t="s">
        <v>18</v>
      </c>
      <c r="F1876" t="s">
        <v>35</v>
      </c>
      <c r="G1876">
        <v>3</v>
      </c>
      <c r="H1876">
        <v>10</v>
      </c>
      <c r="I1876" s="13">
        <v>45581</v>
      </c>
      <c r="J1876" s="13" t="str">
        <f>TEXT(Table1[[#This Row],[Date]],"[$-en-US]mmm yyyy")</f>
        <v>Oct 2024</v>
      </c>
      <c r="K1876" s="13" t="str">
        <f>TEXT(Table1[[#This Row],[Date]],"[$-en-US]ddd")</f>
        <v>Wed</v>
      </c>
    </row>
    <row r="1877" spans="1:11" x14ac:dyDescent="0.25">
      <c r="A1877">
        <v>21</v>
      </c>
      <c r="B1877" t="s">
        <v>9</v>
      </c>
      <c r="C1877">
        <v>35.76</v>
      </c>
      <c r="D1877" t="s">
        <v>14</v>
      </c>
      <c r="E1877" t="s">
        <v>18</v>
      </c>
      <c r="F1877" t="s">
        <v>35</v>
      </c>
      <c r="G1877">
        <v>3</v>
      </c>
      <c r="H1877">
        <v>10</v>
      </c>
      <c r="I1877" s="13">
        <v>45581</v>
      </c>
      <c r="J1877" s="13" t="str">
        <f>TEXT(Table1[[#This Row],[Date]],"[$-en-US]mmm yyyy")</f>
        <v>Oct 2024</v>
      </c>
      <c r="K1877" s="13" t="str">
        <f>TEXT(Table1[[#This Row],[Date]],"[$-en-US]ddd")</f>
        <v>Wed</v>
      </c>
    </row>
    <row r="1878" spans="1:11" x14ac:dyDescent="0.25">
      <c r="A1878">
        <v>7</v>
      </c>
      <c r="B1878" t="s">
        <v>9</v>
      </c>
      <c r="C1878">
        <v>35.76</v>
      </c>
      <c r="D1878" t="s">
        <v>10</v>
      </c>
      <c r="E1878" t="s">
        <v>11</v>
      </c>
      <c r="F1878" t="s">
        <v>35</v>
      </c>
      <c r="G1878">
        <v>4</v>
      </c>
      <c r="H1878">
        <v>10</v>
      </c>
      <c r="I1878" s="13">
        <v>45582</v>
      </c>
      <c r="J1878" s="13" t="str">
        <f>TEXT(Table1[[#This Row],[Date]],"[$-en-US]mmm yyyy")</f>
        <v>Oct 2024</v>
      </c>
      <c r="K1878" s="13" t="str">
        <f>TEXT(Table1[[#This Row],[Date]],"[$-en-US]ddd")</f>
        <v>Thu</v>
      </c>
    </row>
    <row r="1879" spans="1:11" x14ac:dyDescent="0.25">
      <c r="A1879">
        <v>7</v>
      </c>
      <c r="B1879" t="s">
        <v>9</v>
      </c>
      <c r="C1879">
        <v>35.76</v>
      </c>
      <c r="D1879" t="s">
        <v>10</v>
      </c>
      <c r="E1879" t="s">
        <v>11</v>
      </c>
      <c r="F1879" t="s">
        <v>35</v>
      </c>
      <c r="G1879">
        <v>4</v>
      </c>
      <c r="H1879">
        <v>10</v>
      </c>
      <c r="I1879" s="13">
        <v>45582</v>
      </c>
      <c r="J1879" s="13" t="str">
        <f>TEXT(Table1[[#This Row],[Date]],"[$-en-US]mmm yyyy")</f>
        <v>Oct 2024</v>
      </c>
      <c r="K1879" s="13" t="str">
        <f>TEXT(Table1[[#This Row],[Date]],"[$-en-US]ddd")</f>
        <v>Thu</v>
      </c>
    </row>
    <row r="1880" spans="1:11" x14ac:dyDescent="0.25">
      <c r="A1880">
        <v>9</v>
      </c>
      <c r="B1880" t="s">
        <v>9</v>
      </c>
      <c r="C1880">
        <v>30.86</v>
      </c>
      <c r="D1880" t="s">
        <v>17</v>
      </c>
      <c r="E1880" t="s">
        <v>11</v>
      </c>
      <c r="F1880" t="s">
        <v>35</v>
      </c>
      <c r="G1880">
        <v>4</v>
      </c>
      <c r="H1880">
        <v>10</v>
      </c>
      <c r="I1880" s="13">
        <v>45582</v>
      </c>
      <c r="J1880" s="13" t="str">
        <f>TEXT(Table1[[#This Row],[Date]],"[$-en-US]mmm yyyy")</f>
        <v>Oct 2024</v>
      </c>
      <c r="K1880" s="13" t="str">
        <f>TEXT(Table1[[#This Row],[Date]],"[$-en-US]ddd")</f>
        <v>Thu</v>
      </c>
    </row>
    <row r="1881" spans="1:11" x14ac:dyDescent="0.25">
      <c r="A1881">
        <v>10</v>
      </c>
      <c r="B1881" t="s">
        <v>9</v>
      </c>
      <c r="C1881">
        <v>35.76</v>
      </c>
      <c r="D1881" t="s">
        <v>10</v>
      </c>
      <c r="E1881" t="s">
        <v>11</v>
      </c>
      <c r="F1881" t="s">
        <v>35</v>
      </c>
      <c r="G1881">
        <v>4</v>
      </c>
      <c r="H1881">
        <v>10</v>
      </c>
      <c r="I1881" s="13">
        <v>45582</v>
      </c>
      <c r="J1881" s="13" t="str">
        <f>TEXT(Table1[[#This Row],[Date]],"[$-en-US]mmm yyyy")</f>
        <v>Oct 2024</v>
      </c>
      <c r="K1881" s="13" t="str">
        <f>TEXT(Table1[[#This Row],[Date]],"[$-en-US]ddd")</f>
        <v>Thu</v>
      </c>
    </row>
    <row r="1882" spans="1:11" x14ac:dyDescent="0.25">
      <c r="A1882">
        <v>10</v>
      </c>
      <c r="B1882" t="s">
        <v>9</v>
      </c>
      <c r="C1882">
        <v>35.76</v>
      </c>
      <c r="D1882" t="s">
        <v>14</v>
      </c>
      <c r="E1882" t="s">
        <v>11</v>
      </c>
      <c r="F1882" t="s">
        <v>35</v>
      </c>
      <c r="G1882">
        <v>4</v>
      </c>
      <c r="H1882">
        <v>10</v>
      </c>
      <c r="I1882" s="13">
        <v>45582</v>
      </c>
      <c r="J1882" s="13" t="str">
        <f>TEXT(Table1[[#This Row],[Date]],"[$-en-US]mmm yyyy")</f>
        <v>Oct 2024</v>
      </c>
      <c r="K1882" s="13" t="str">
        <f>TEXT(Table1[[#This Row],[Date]],"[$-en-US]ddd")</f>
        <v>Thu</v>
      </c>
    </row>
    <row r="1883" spans="1:11" x14ac:dyDescent="0.25">
      <c r="A1883">
        <v>11</v>
      </c>
      <c r="B1883" t="s">
        <v>9</v>
      </c>
      <c r="C1883">
        <v>30.86</v>
      </c>
      <c r="D1883" t="s">
        <v>17</v>
      </c>
      <c r="E1883" t="s">
        <v>11</v>
      </c>
      <c r="F1883" t="s">
        <v>35</v>
      </c>
      <c r="G1883">
        <v>4</v>
      </c>
      <c r="H1883">
        <v>10</v>
      </c>
      <c r="I1883" s="13">
        <v>45582</v>
      </c>
      <c r="J1883" s="13" t="str">
        <f>TEXT(Table1[[#This Row],[Date]],"[$-en-US]mmm yyyy")</f>
        <v>Oct 2024</v>
      </c>
      <c r="K1883" s="13" t="str">
        <f>TEXT(Table1[[#This Row],[Date]],"[$-en-US]ddd")</f>
        <v>Thu</v>
      </c>
    </row>
    <row r="1884" spans="1:11" x14ac:dyDescent="0.25">
      <c r="A1884">
        <v>13</v>
      </c>
      <c r="B1884" t="s">
        <v>9</v>
      </c>
      <c r="C1884">
        <v>35.76</v>
      </c>
      <c r="D1884" t="s">
        <v>10</v>
      </c>
      <c r="E1884" t="s">
        <v>15</v>
      </c>
      <c r="F1884" t="s">
        <v>35</v>
      </c>
      <c r="G1884">
        <v>4</v>
      </c>
      <c r="H1884">
        <v>10</v>
      </c>
      <c r="I1884" s="13">
        <v>45582</v>
      </c>
      <c r="J1884" s="13" t="str">
        <f>TEXT(Table1[[#This Row],[Date]],"[$-en-US]mmm yyyy")</f>
        <v>Oct 2024</v>
      </c>
      <c r="K1884" s="13" t="str">
        <f>TEXT(Table1[[#This Row],[Date]],"[$-en-US]ddd")</f>
        <v>Thu</v>
      </c>
    </row>
    <row r="1885" spans="1:11" x14ac:dyDescent="0.25">
      <c r="A1885">
        <v>14</v>
      </c>
      <c r="B1885" t="s">
        <v>9</v>
      </c>
      <c r="C1885">
        <v>25.96</v>
      </c>
      <c r="D1885" t="s">
        <v>16</v>
      </c>
      <c r="E1885" t="s">
        <v>15</v>
      </c>
      <c r="F1885" t="s">
        <v>35</v>
      </c>
      <c r="G1885">
        <v>4</v>
      </c>
      <c r="H1885">
        <v>10</v>
      </c>
      <c r="I1885" s="13">
        <v>45582</v>
      </c>
      <c r="J1885" s="13" t="str">
        <f>TEXT(Table1[[#This Row],[Date]],"[$-en-US]mmm yyyy")</f>
        <v>Oct 2024</v>
      </c>
      <c r="K1885" s="13" t="str">
        <f>TEXT(Table1[[#This Row],[Date]],"[$-en-US]ddd")</f>
        <v>Thu</v>
      </c>
    </row>
    <row r="1886" spans="1:11" x14ac:dyDescent="0.25">
      <c r="A1886">
        <v>16</v>
      </c>
      <c r="B1886" t="s">
        <v>9</v>
      </c>
      <c r="C1886">
        <v>35.76</v>
      </c>
      <c r="D1886" t="s">
        <v>14</v>
      </c>
      <c r="E1886" t="s">
        <v>15</v>
      </c>
      <c r="F1886" t="s">
        <v>35</v>
      </c>
      <c r="G1886">
        <v>4</v>
      </c>
      <c r="H1886">
        <v>10</v>
      </c>
      <c r="I1886" s="13">
        <v>45582</v>
      </c>
      <c r="J1886" s="13" t="str">
        <f>TEXT(Table1[[#This Row],[Date]],"[$-en-US]mmm yyyy")</f>
        <v>Oct 2024</v>
      </c>
      <c r="K1886" s="13" t="str">
        <f>TEXT(Table1[[#This Row],[Date]],"[$-en-US]ddd")</f>
        <v>Thu</v>
      </c>
    </row>
    <row r="1887" spans="1:11" x14ac:dyDescent="0.25">
      <c r="A1887">
        <v>16</v>
      </c>
      <c r="B1887" t="s">
        <v>9</v>
      </c>
      <c r="C1887">
        <v>35.76</v>
      </c>
      <c r="D1887" t="s">
        <v>14</v>
      </c>
      <c r="E1887" t="s">
        <v>15</v>
      </c>
      <c r="F1887" t="s">
        <v>35</v>
      </c>
      <c r="G1887">
        <v>4</v>
      </c>
      <c r="H1887">
        <v>10</v>
      </c>
      <c r="I1887" s="13">
        <v>45582</v>
      </c>
      <c r="J1887" s="13" t="str">
        <f>TEXT(Table1[[#This Row],[Date]],"[$-en-US]mmm yyyy")</f>
        <v>Oct 2024</v>
      </c>
      <c r="K1887" s="13" t="str">
        <f>TEXT(Table1[[#This Row],[Date]],"[$-en-US]ddd")</f>
        <v>Thu</v>
      </c>
    </row>
    <row r="1888" spans="1:11" x14ac:dyDescent="0.25">
      <c r="A1888">
        <v>16</v>
      </c>
      <c r="B1888" t="s">
        <v>9</v>
      </c>
      <c r="C1888">
        <v>35.76</v>
      </c>
      <c r="D1888" t="s">
        <v>10</v>
      </c>
      <c r="E1888" t="s">
        <v>15</v>
      </c>
      <c r="F1888" t="s">
        <v>35</v>
      </c>
      <c r="G1888">
        <v>4</v>
      </c>
      <c r="H1888">
        <v>10</v>
      </c>
      <c r="I1888" s="13">
        <v>45582</v>
      </c>
      <c r="J1888" s="13" t="str">
        <f>TEXT(Table1[[#This Row],[Date]],"[$-en-US]mmm yyyy")</f>
        <v>Oct 2024</v>
      </c>
      <c r="K1888" s="13" t="str">
        <f>TEXT(Table1[[#This Row],[Date]],"[$-en-US]ddd")</f>
        <v>Thu</v>
      </c>
    </row>
    <row r="1889" spans="1:11" x14ac:dyDescent="0.25">
      <c r="A1889">
        <v>16</v>
      </c>
      <c r="B1889" t="s">
        <v>9</v>
      </c>
      <c r="C1889">
        <v>35.76</v>
      </c>
      <c r="D1889" t="s">
        <v>14</v>
      </c>
      <c r="E1889" t="s">
        <v>15</v>
      </c>
      <c r="F1889" t="s">
        <v>35</v>
      </c>
      <c r="G1889">
        <v>4</v>
      </c>
      <c r="H1889">
        <v>10</v>
      </c>
      <c r="I1889" s="13">
        <v>45582</v>
      </c>
      <c r="J1889" s="13" t="str">
        <f>TEXT(Table1[[#This Row],[Date]],"[$-en-US]mmm yyyy")</f>
        <v>Oct 2024</v>
      </c>
      <c r="K1889" s="13" t="str">
        <f>TEXT(Table1[[#This Row],[Date]],"[$-en-US]ddd")</f>
        <v>Thu</v>
      </c>
    </row>
    <row r="1890" spans="1:11" x14ac:dyDescent="0.25">
      <c r="A1890">
        <v>16</v>
      </c>
      <c r="B1890" t="s">
        <v>9</v>
      </c>
      <c r="C1890">
        <v>35.76</v>
      </c>
      <c r="D1890" t="s">
        <v>14</v>
      </c>
      <c r="E1890" t="s">
        <v>15</v>
      </c>
      <c r="F1890" t="s">
        <v>35</v>
      </c>
      <c r="G1890">
        <v>4</v>
      </c>
      <c r="H1890">
        <v>10</v>
      </c>
      <c r="I1890" s="13">
        <v>45582</v>
      </c>
      <c r="J1890" s="13" t="str">
        <f>TEXT(Table1[[#This Row],[Date]],"[$-en-US]mmm yyyy")</f>
        <v>Oct 2024</v>
      </c>
      <c r="K1890" s="13" t="str">
        <f>TEXT(Table1[[#This Row],[Date]],"[$-en-US]ddd")</f>
        <v>Thu</v>
      </c>
    </row>
    <row r="1891" spans="1:11" x14ac:dyDescent="0.25">
      <c r="A1891">
        <v>17</v>
      </c>
      <c r="B1891" t="s">
        <v>9</v>
      </c>
      <c r="C1891">
        <v>35.76</v>
      </c>
      <c r="D1891" t="s">
        <v>27</v>
      </c>
      <c r="E1891" t="s">
        <v>18</v>
      </c>
      <c r="F1891" t="s">
        <v>35</v>
      </c>
      <c r="G1891">
        <v>4</v>
      </c>
      <c r="H1891">
        <v>10</v>
      </c>
      <c r="I1891" s="13">
        <v>45582</v>
      </c>
      <c r="J1891" s="13" t="str">
        <f>TEXT(Table1[[#This Row],[Date]],"[$-en-US]mmm yyyy")</f>
        <v>Oct 2024</v>
      </c>
      <c r="K1891" s="13" t="str">
        <f>TEXT(Table1[[#This Row],[Date]],"[$-en-US]ddd")</f>
        <v>Thu</v>
      </c>
    </row>
    <row r="1892" spans="1:11" x14ac:dyDescent="0.25">
      <c r="A1892">
        <v>17</v>
      </c>
      <c r="B1892" t="s">
        <v>9</v>
      </c>
      <c r="C1892">
        <v>35.76</v>
      </c>
      <c r="D1892" t="s">
        <v>14</v>
      </c>
      <c r="E1892" t="s">
        <v>18</v>
      </c>
      <c r="F1892" t="s">
        <v>35</v>
      </c>
      <c r="G1892">
        <v>4</v>
      </c>
      <c r="H1892">
        <v>10</v>
      </c>
      <c r="I1892" s="13">
        <v>45582</v>
      </c>
      <c r="J1892" s="13" t="str">
        <f>TEXT(Table1[[#This Row],[Date]],"[$-en-US]mmm yyyy")</f>
        <v>Oct 2024</v>
      </c>
      <c r="K1892" s="13" t="str">
        <f>TEXT(Table1[[#This Row],[Date]],"[$-en-US]ddd")</f>
        <v>Thu</v>
      </c>
    </row>
    <row r="1893" spans="1:11" x14ac:dyDescent="0.25">
      <c r="A1893">
        <v>19</v>
      </c>
      <c r="B1893" t="s">
        <v>9</v>
      </c>
      <c r="C1893">
        <v>35.76</v>
      </c>
      <c r="D1893" t="s">
        <v>10</v>
      </c>
      <c r="E1893" t="s">
        <v>18</v>
      </c>
      <c r="F1893" t="s">
        <v>35</v>
      </c>
      <c r="G1893">
        <v>4</v>
      </c>
      <c r="H1893">
        <v>10</v>
      </c>
      <c r="I1893" s="13">
        <v>45582</v>
      </c>
      <c r="J1893" s="13" t="str">
        <f>TEXT(Table1[[#This Row],[Date]],"[$-en-US]mmm yyyy")</f>
        <v>Oct 2024</v>
      </c>
      <c r="K1893" s="13" t="str">
        <f>TEXT(Table1[[#This Row],[Date]],"[$-en-US]ddd")</f>
        <v>Thu</v>
      </c>
    </row>
    <row r="1894" spans="1:11" x14ac:dyDescent="0.25">
      <c r="A1894">
        <v>20</v>
      </c>
      <c r="B1894" t="s">
        <v>9</v>
      </c>
      <c r="C1894">
        <v>30.86</v>
      </c>
      <c r="D1894" t="s">
        <v>17</v>
      </c>
      <c r="E1894" t="s">
        <v>18</v>
      </c>
      <c r="F1894" t="s">
        <v>35</v>
      </c>
      <c r="G1894">
        <v>4</v>
      </c>
      <c r="H1894">
        <v>10</v>
      </c>
      <c r="I1894" s="13">
        <v>45582</v>
      </c>
      <c r="J1894" s="13" t="str">
        <f>TEXT(Table1[[#This Row],[Date]],"[$-en-US]mmm yyyy")</f>
        <v>Oct 2024</v>
      </c>
      <c r="K1894" s="13" t="str">
        <f>TEXT(Table1[[#This Row],[Date]],"[$-en-US]ddd")</f>
        <v>Thu</v>
      </c>
    </row>
    <row r="1895" spans="1:11" x14ac:dyDescent="0.25">
      <c r="A1895">
        <v>21</v>
      </c>
      <c r="B1895" t="s">
        <v>9</v>
      </c>
      <c r="C1895">
        <v>35.76</v>
      </c>
      <c r="D1895" t="s">
        <v>10</v>
      </c>
      <c r="E1895" t="s">
        <v>18</v>
      </c>
      <c r="F1895" t="s">
        <v>35</v>
      </c>
      <c r="G1895">
        <v>4</v>
      </c>
      <c r="H1895">
        <v>10</v>
      </c>
      <c r="I1895" s="13">
        <v>45582</v>
      </c>
      <c r="J1895" s="13" t="str">
        <f>TEXT(Table1[[#This Row],[Date]],"[$-en-US]mmm yyyy")</f>
        <v>Oct 2024</v>
      </c>
      <c r="K1895" s="13" t="str">
        <f>TEXT(Table1[[#This Row],[Date]],"[$-en-US]ddd")</f>
        <v>Thu</v>
      </c>
    </row>
    <row r="1896" spans="1:11" x14ac:dyDescent="0.25">
      <c r="A1896">
        <v>21</v>
      </c>
      <c r="B1896" t="s">
        <v>9</v>
      </c>
      <c r="C1896">
        <v>35.76</v>
      </c>
      <c r="D1896" t="s">
        <v>10</v>
      </c>
      <c r="E1896" t="s">
        <v>18</v>
      </c>
      <c r="F1896" t="s">
        <v>35</v>
      </c>
      <c r="G1896">
        <v>4</v>
      </c>
      <c r="H1896">
        <v>10</v>
      </c>
      <c r="I1896" s="13">
        <v>45582</v>
      </c>
      <c r="J1896" s="13" t="str">
        <f>TEXT(Table1[[#This Row],[Date]],"[$-en-US]mmm yyyy")</f>
        <v>Oct 2024</v>
      </c>
      <c r="K1896" s="13" t="str">
        <f>TEXT(Table1[[#This Row],[Date]],"[$-en-US]ddd")</f>
        <v>Thu</v>
      </c>
    </row>
    <row r="1897" spans="1:11" x14ac:dyDescent="0.25">
      <c r="A1897">
        <v>21</v>
      </c>
      <c r="B1897" t="s">
        <v>9</v>
      </c>
      <c r="C1897">
        <v>35.76</v>
      </c>
      <c r="D1897" t="s">
        <v>10</v>
      </c>
      <c r="E1897" t="s">
        <v>18</v>
      </c>
      <c r="F1897" t="s">
        <v>35</v>
      </c>
      <c r="G1897">
        <v>4</v>
      </c>
      <c r="H1897">
        <v>10</v>
      </c>
      <c r="I1897" s="13">
        <v>45582</v>
      </c>
      <c r="J1897" s="13" t="str">
        <f>TEXT(Table1[[#This Row],[Date]],"[$-en-US]mmm yyyy")</f>
        <v>Oct 2024</v>
      </c>
      <c r="K1897" s="13" t="str">
        <f>TEXT(Table1[[#This Row],[Date]],"[$-en-US]ddd")</f>
        <v>Thu</v>
      </c>
    </row>
    <row r="1898" spans="1:11" x14ac:dyDescent="0.25">
      <c r="A1898">
        <v>21</v>
      </c>
      <c r="B1898" t="s">
        <v>9</v>
      </c>
      <c r="C1898">
        <v>35.76</v>
      </c>
      <c r="D1898" t="s">
        <v>14</v>
      </c>
      <c r="E1898" t="s">
        <v>18</v>
      </c>
      <c r="F1898" t="s">
        <v>35</v>
      </c>
      <c r="G1898">
        <v>4</v>
      </c>
      <c r="H1898">
        <v>10</v>
      </c>
      <c r="I1898" s="13">
        <v>45582</v>
      </c>
      <c r="J1898" s="13" t="str">
        <f>TEXT(Table1[[#This Row],[Date]],"[$-en-US]mmm yyyy")</f>
        <v>Oct 2024</v>
      </c>
      <c r="K1898" s="13" t="str">
        <f>TEXT(Table1[[#This Row],[Date]],"[$-en-US]ddd")</f>
        <v>Thu</v>
      </c>
    </row>
    <row r="1899" spans="1:11" x14ac:dyDescent="0.25">
      <c r="A1899">
        <v>8</v>
      </c>
      <c r="B1899" t="s">
        <v>9</v>
      </c>
      <c r="C1899">
        <v>35.76</v>
      </c>
      <c r="D1899" t="s">
        <v>19</v>
      </c>
      <c r="E1899" t="s">
        <v>11</v>
      </c>
      <c r="F1899" t="s">
        <v>35</v>
      </c>
      <c r="G1899">
        <v>5</v>
      </c>
      <c r="H1899">
        <v>10</v>
      </c>
      <c r="I1899" s="13">
        <v>45583</v>
      </c>
      <c r="J1899" s="13" t="str">
        <f>TEXT(Table1[[#This Row],[Date]],"[$-en-US]mmm yyyy")</f>
        <v>Oct 2024</v>
      </c>
      <c r="K1899" s="13" t="str">
        <f>TEXT(Table1[[#This Row],[Date]],"[$-en-US]ddd")</f>
        <v>Fri</v>
      </c>
    </row>
    <row r="1900" spans="1:11" x14ac:dyDescent="0.25">
      <c r="A1900">
        <v>8</v>
      </c>
      <c r="B1900" t="s">
        <v>9</v>
      </c>
      <c r="C1900">
        <v>35.76</v>
      </c>
      <c r="D1900" t="s">
        <v>19</v>
      </c>
      <c r="E1900" t="s">
        <v>11</v>
      </c>
      <c r="F1900" t="s">
        <v>35</v>
      </c>
      <c r="G1900">
        <v>5</v>
      </c>
      <c r="H1900">
        <v>10</v>
      </c>
      <c r="I1900" s="13">
        <v>45583</v>
      </c>
      <c r="J1900" s="13" t="str">
        <f>TEXT(Table1[[#This Row],[Date]],"[$-en-US]mmm yyyy")</f>
        <v>Oct 2024</v>
      </c>
      <c r="K1900" s="13" t="str">
        <f>TEXT(Table1[[#This Row],[Date]],"[$-en-US]ddd")</f>
        <v>Fri</v>
      </c>
    </row>
    <row r="1901" spans="1:11" x14ac:dyDescent="0.25">
      <c r="A1901">
        <v>9</v>
      </c>
      <c r="B1901" t="s">
        <v>9</v>
      </c>
      <c r="C1901">
        <v>35.76</v>
      </c>
      <c r="D1901" t="s">
        <v>19</v>
      </c>
      <c r="E1901" t="s">
        <v>11</v>
      </c>
      <c r="F1901" t="s">
        <v>35</v>
      </c>
      <c r="G1901">
        <v>5</v>
      </c>
      <c r="H1901">
        <v>10</v>
      </c>
      <c r="I1901" s="13">
        <v>45583</v>
      </c>
      <c r="J1901" s="13" t="str">
        <f>TEXT(Table1[[#This Row],[Date]],"[$-en-US]mmm yyyy")</f>
        <v>Oct 2024</v>
      </c>
      <c r="K1901" s="13" t="str">
        <f>TEXT(Table1[[#This Row],[Date]],"[$-en-US]ddd")</f>
        <v>Fri</v>
      </c>
    </row>
    <row r="1902" spans="1:11" x14ac:dyDescent="0.25">
      <c r="A1902">
        <v>9</v>
      </c>
      <c r="B1902" t="s">
        <v>9</v>
      </c>
      <c r="C1902">
        <v>35.76</v>
      </c>
      <c r="D1902" t="s">
        <v>19</v>
      </c>
      <c r="E1902" t="s">
        <v>11</v>
      </c>
      <c r="F1902" t="s">
        <v>35</v>
      </c>
      <c r="G1902">
        <v>5</v>
      </c>
      <c r="H1902">
        <v>10</v>
      </c>
      <c r="I1902" s="13">
        <v>45583</v>
      </c>
      <c r="J1902" s="13" t="str">
        <f>TEXT(Table1[[#This Row],[Date]],"[$-en-US]mmm yyyy")</f>
        <v>Oct 2024</v>
      </c>
      <c r="K1902" s="13" t="str">
        <f>TEXT(Table1[[#This Row],[Date]],"[$-en-US]ddd")</f>
        <v>Fri</v>
      </c>
    </row>
    <row r="1903" spans="1:11" x14ac:dyDescent="0.25">
      <c r="A1903">
        <v>9</v>
      </c>
      <c r="B1903" t="s">
        <v>9</v>
      </c>
      <c r="C1903">
        <v>35.76</v>
      </c>
      <c r="D1903" t="s">
        <v>27</v>
      </c>
      <c r="E1903" t="s">
        <v>11</v>
      </c>
      <c r="F1903" t="s">
        <v>35</v>
      </c>
      <c r="G1903">
        <v>5</v>
      </c>
      <c r="H1903">
        <v>10</v>
      </c>
      <c r="I1903" s="13">
        <v>45583</v>
      </c>
      <c r="J1903" s="13" t="str">
        <f>TEXT(Table1[[#This Row],[Date]],"[$-en-US]mmm yyyy")</f>
        <v>Oct 2024</v>
      </c>
      <c r="K1903" s="13" t="str">
        <f>TEXT(Table1[[#This Row],[Date]],"[$-en-US]ddd")</f>
        <v>Fri</v>
      </c>
    </row>
    <row r="1904" spans="1:11" x14ac:dyDescent="0.25">
      <c r="A1904">
        <v>11</v>
      </c>
      <c r="B1904" t="s">
        <v>9</v>
      </c>
      <c r="C1904">
        <v>35.76</v>
      </c>
      <c r="D1904" t="s">
        <v>27</v>
      </c>
      <c r="E1904" t="s">
        <v>11</v>
      </c>
      <c r="F1904" t="s">
        <v>35</v>
      </c>
      <c r="G1904">
        <v>5</v>
      </c>
      <c r="H1904">
        <v>10</v>
      </c>
      <c r="I1904" s="13">
        <v>45583</v>
      </c>
      <c r="J1904" s="13" t="str">
        <f>TEXT(Table1[[#This Row],[Date]],"[$-en-US]mmm yyyy")</f>
        <v>Oct 2024</v>
      </c>
      <c r="K1904" s="13" t="str">
        <f>TEXT(Table1[[#This Row],[Date]],"[$-en-US]ddd")</f>
        <v>Fri</v>
      </c>
    </row>
    <row r="1905" spans="1:11" x14ac:dyDescent="0.25">
      <c r="A1905">
        <v>14</v>
      </c>
      <c r="B1905" t="s">
        <v>9</v>
      </c>
      <c r="C1905">
        <v>35.76</v>
      </c>
      <c r="D1905" t="s">
        <v>10</v>
      </c>
      <c r="E1905" t="s">
        <v>15</v>
      </c>
      <c r="F1905" t="s">
        <v>35</v>
      </c>
      <c r="G1905">
        <v>5</v>
      </c>
      <c r="H1905">
        <v>10</v>
      </c>
      <c r="I1905" s="13">
        <v>45583</v>
      </c>
      <c r="J1905" s="13" t="str">
        <f>TEXT(Table1[[#This Row],[Date]],"[$-en-US]mmm yyyy")</f>
        <v>Oct 2024</v>
      </c>
      <c r="K1905" s="13" t="str">
        <f>TEXT(Table1[[#This Row],[Date]],"[$-en-US]ddd")</f>
        <v>Fri</v>
      </c>
    </row>
    <row r="1906" spans="1:11" x14ac:dyDescent="0.25">
      <c r="A1906">
        <v>14</v>
      </c>
      <c r="B1906" t="s">
        <v>9</v>
      </c>
      <c r="C1906">
        <v>35.76</v>
      </c>
      <c r="D1906" t="s">
        <v>27</v>
      </c>
      <c r="E1906" t="s">
        <v>15</v>
      </c>
      <c r="F1906" t="s">
        <v>35</v>
      </c>
      <c r="G1906">
        <v>5</v>
      </c>
      <c r="H1906">
        <v>10</v>
      </c>
      <c r="I1906" s="13">
        <v>45583</v>
      </c>
      <c r="J1906" s="13" t="str">
        <f>TEXT(Table1[[#This Row],[Date]],"[$-en-US]mmm yyyy")</f>
        <v>Oct 2024</v>
      </c>
      <c r="K1906" s="13" t="str">
        <f>TEXT(Table1[[#This Row],[Date]],"[$-en-US]ddd")</f>
        <v>Fri</v>
      </c>
    </row>
    <row r="1907" spans="1:11" x14ac:dyDescent="0.25">
      <c r="A1907">
        <v>15</v>
      </c>
      <c r="B1907" t="s">
        <v>9</v>
      </c>
      <c r="C1907">
        <v>25.96</v>
      </c>
      <c r="D1907" t="s">
        <v>16</v>
      </c>
      <c r="E1907" t="s">
        <v>15</v>
      </c>
      <c r="F1907" t="s">
        <v>35</v>
      </c>
      <c r="G1907">
        <v>5</v>
      </c>
      <c r="H1907">
        <v>10</v>
      </c>
      <c r="I1907" s="13">
        <v>45583</v>
      </c>
      <c r="J1907" s="13" t="str">
        <f>TEXT(Table1[[#This Row],[Date]],"[$-en-US]mmm yyyy")</f>
        <v>Oct 2024</v>
      </c>
      <c r="K1907" s="13" t="str">
        <f>TEXT(Table1[[#This Row],[Date]],"[$-en-US]ddd")</f>
        <v>Fri</v>
      </c>
    </row>
    <row r="1908" spans="1:11" x14ac:dyDescent="0.25">
      <c r="A1908">
        <v>16</v>
      </c>
      <c r="B1908" t="s">
        <v>9</v>
      </c>
      <c r="C1908">
        <v>35.76</v>
      </c>
      <c r="D1908" t="s">
        <v>10</v>
      </c>
      <c r="E1908" t="s">
        <v>15</v>
      </c>
      <c r="F1908" t="s">
        <v>35</v>
      </c>
      <c r="G1908">
        <v>5</v>
      </c>
      <c r="H1908">
        <v>10</v>
      </c>
      <c r="I1908" s="13">
        <v>45583</v>
      </c>
      <c r="J1908" s="13" t="str">
        <f>TEXT(Table1[[#This Row],[Date]],"[$-en-US]mmm yyyy")</f>
        <v>Oct 2024</v>
      </c>
      <c r="K1908" s="13" t="str">
        <f>TEXT(Table1[[#This Row],[Date]],"[$-en-US]ddd")</f>
        <v>Fri</v>
      </c>
    </row>
    <row r="1909" spans="1:11" x14ac:dyDescent="0.25">
      <c r="A1909">
        <v>17</v>
      </c>
      <c r="B1909" t="s">
        <v>9</v>
      </c>
      <c r="C1909">
        <v>35.76</v>
      </c>
      <c r="D1909" t="s">
        <v>14</v>
      </c>
      <c r="E1909" t="s">
        <v>18</v>
      </c>
      <c r="F1909" t="s">
        <v>35</v>
      </c>
      <c r="G1909">
        <v>5</v>
      </c>
      <c r="H1909">
        <v>10</v>
      </c>
      <c r="I1909" s="13">
        <v>45583</v>
      </c>
      <c r="J1909" s="13" t="str">
        <f>TEXT(Table1[[#This Row],[Date]],"[$-en-US]mmm yyyy")</f>
        <v>Oct 2024</v>
      </c>
      <c r="K1909" s="13" t="str">
        <f>TEXT(Table1[[#This Row],[Date]],"[$-en-US]ddd")</f>
        <v>Fri</v>
      </c>
    </row>
    <row r="1910" spans="1:11" x14ac:dyDescent="0.25">
      <c r="A1910">
        <v>21</v>
      </c>
      <c r="B1910" t="s">
        <v>9</v>
      </c>
      <c r="C1910">
        <v>35.76</v>
      </c>
      <c r="D1910" t="s">
        <v>19</v>
      </c>
      <c r="E1910" t="s">
        <v>18</v>
      </c>
      <c r="F1910" t="s">
        <v>35</v>
      </c>
      <c r="G1910">
        <v>5</v>
      </c>
      <c r="H1910">
        <v>10</v>
      </c>
      <c r="I1910" s="13">
        <v>45583</v>
      </c>
      <c r="J1910" s="13" t="str">
        <f>TEXT(Table1[[#This Row],[Date]],"[$-en-US]mmm yyyy")</f>
        <v>Oct 2024</v>
      </c>
      <c r="K1910" s="13" t="str">
        <f>TEXT(Table1[[#This Row],[Date]],"[$-en-US]ddd")</f>
        <v>Fri</v>
      </c>
    </row>
    <row r="1911" spans="1:11" x14ac:dyDescent="0.25">
      <c r="A1911">
        <v>21</v>
      </c>
      <c r="B1911" t="s">
        <v>9</v>
      </c>
      <c r="C1911">
        <v>35.76</v>
      </c>
      <c r="D1911" t="s">
        <v>19</v>
      </c>
      <c r="E1911" t="s">
        <v>18</v>
      </c>
      <c r="F1911" t="s">
        <v>35</v>
      </c>
      <c r="G1911">
        <v>5</v>
      </c>
      <c r="H1911">
        <v>10</v>
      </c>
      <c r="I1911" s="13">
        <v>45583</v>
      </c>
      <c r="J1911" s="13" t="str">
        <f>TEXT(Table1[[#This Row],[Date]],"[$-en-US]mmm yyyy")</f>
        <v>Oct 2024</v>
      </c>
      <c r="K1911" s="13" t="str">
        <f>TEXT(Table1[[#This Row],[Date]],"[$-en-US]ddd")</f>
        <v>Fri</v>
      </c>
    </row>
    <row r="1912" spans="1:11" x14ac:dyDescent="0.25">
      <c r="A1912">
        <v>21</v>
      </c>
      <c r="B1912" t="s">
        <v>9</v>
      </c>
      <c r="C1912">
        <v>30.86</v>
      </c>
      <c r="D1912" t="s">
        <v>17</v>
      </c>
      <c r="E1912" t="s">
        <v>18</v>
      </c>
      <c r="F1912" t="s">
        <v>35</v>
      </c>
      <c r="G1912">
        <v>5</v>
      </c>
      <c r="H1912">
        <v>10</v>
      </c>
      <c r="I1912" s="13">
        <v>45583</v>
      </c>
      <c r="J1912" s="13" t="str">
        <f>TEXT(Table1[[#This Row],[Date]],"[$-en-US]mmm yyyy")</f>
        <v>Oct 2024</v>
      </c>
      <c r="K1912" s="13" t="str">
        <f>TEXT(Table1[[#This Row],[Date]],"[$-en-US]ddd")</f>
        <v>Fri</v>
      </c>
    </row>
    <row r="1913" spans="1:11" x14ac:dyDescent="0.25">
      <c r="A1913">
        <v>22</v>
      </c>
      <c r="B1913" t="s">
        <v>9</v>
      </c>
      <c r="C1913">
        <v>35.76</v>
      </c>
      <c r="D1913" t="s">
        <v>10</v>
      </c>
      <c r="E1913" t="s">
        <v>18</v>
      </c>
      <c r="F1913" t="s">
        <v>35</v>
      </c>
      <c r="G1913">
        <v>5</v>
      </c>
      <c r="H1913">
        <v>10</v>
      </c>
      <c r="I1913" s="13">
        <v>45583</v>
      </c>
      <c r="J1913" s="13" t="str">
        <f>TEXT(Table1[[#This Row],[Date]],"[$-en-US]mmm yyyy")</f>
        <v>Oct 2024</v>
      </c>
      <c r="K1913" s="13" t="str">
        <f>TEXT(Table1[[#This Row],[Date]],"[$-en-US]ddd")</f>
        <v>Fri</v>
      </c>
    </row>
    <row r="1914" spans="1:11" x14ac:dyDescent="0.25">
      <c r="A1914">
        <v>8</v>
      </c>
      <c r="B1914" t="s">
        <v>9</v>
      </c>
      <c r="C1914">
        <v>30.86</v>
      </c>
      <c r="D1914" t="s">
        <v>17</v>
      </c>
      <c r="E1914" t="s">
        <v>11</v>
      </c>
      <c r="F1914" t="s">
        <v>35</v>
      </c>
      <c r="G1914">
        <v>6</v>
      </c>
      <c r="H1914">
        <v>10</v>
      </c>
      <c r="I1914" s="13">
        <v>45584</v>
      </c>
      <c r="J1914" s="13" t="str">
        <f>TEXT(Table1[[#This Row],[Date]],"[$-en-US]mmm yyyy")</f>
        <v>Oct 2024</v>
      </c>
      <c r="K1914" s="13" t="str">
        <f>TEXT(Table1[[#This Row],[Date]],"[$-en-US]ddd")</f>
        <v>Sat</v>
      </c>
    </row>
    <row r="1915" spans="1:11" x14ac:dyDescent="0.25">
      <c r="A1915">
        <v>13</v>
      </c>
      <c r="B1915" t="s">
        <v>9</v>
      </c>
      <c r="C1915">
        <v>35.76</v>
      </c>
      <c r="D1915" t="s">
        <v>10</v>
      </c>
      <c r="E1915" t="s">
        <v>15</v>
      </c>
      <c r="F1915" t="s">
        <v>35</v>
      </c>
      <c r="G1915">
        <v>6</v>
      </c>
      <c r="H1915">
        <v>10</v>
      </c>
      <c r="I1915" s="13">
        <v>45584</v>
      </c>
      <c r="J1915" s="13" t="str">
        <f>TEXT(Table1[[#This Row],[Date]],"[$-en-US]mmm yyyy")</f>
        <v>Oct 2024</v>
      </c>
      <c r="K1915" s="13" t="str">
        <f>TEXT(Table1[[#This Row],[Date]],"[$-en-US]ddd")</f>
        <v>Sat</v>
      </c>
    </row>
    <row r="1916" spans="1:11" x14ac:dyDescent="0.25">
      <c r="A1916">
        <v>14</v>
      </c>
      <c r="B1916" t="s">
        <v>9</v>
      </c>
      <c r="C1916">
        <v>35.76</v>
      </c>
      <c r="D1916" t="s">
        <v>27</v>
      </c>
      <c r="E1916" t="s">
        <v>15</v>
      </c>
      <c r="F1916" t="s">
        <v>35</v>
      </c>
      <c r="G1916">
        <v>6</v>
      </c>
      <c r="H1916">
        <v>10</v>
      </c>
      <c r="I1916" s="13">
        <v>45584</v>
      </c>
      <c r="J1916" s="13" t="str">
        <f>TEXT(Table1[[#This Row],[Date]],"[$-en-US]mmm yyyy")</f>
        <v>Oct 2024</v>
      </c>
      <c r="K1916" s="13" t="str">
        <f>TEXT(Table1[[#This Row],[Date]],"[$-en-US]ddd")</f>
        <v>Sat</v>
      </c>
    </row>
    <row r="1917" spans="1:11" x14ac:dyDescent="0.25">
      <c r="A1917">
        <v>15</v>
      </c>
      <c r="B1917" t="s">
        <v>9</v>
      </c>
      <c r="C1917">
        <v>35.76</v>
      </c>
      <c r="D1917" t="s">
        <v>14</v>
      </c>
      <c r="E1917" t="s">
        <v>15</v>
      </c>
      <c r="F1917" t="s">
        <v>35</v>
      </c>
      <c r="G1917">
        <v>6</v>
      </c>
      <c r="H1917">
        <v>10</v>
      </c>
      <c r="I1917" s="13">
        <v>45584</v>
      </c>
      <c r="J1917" s="13" t="str">
        <f>TEXT(Table1[[#This Row],[Date]],"[$-en-US]mmm yyyy")</f>
        <v>Oct 2024</v>
      </c>
      <c r="K1917" s="13" t="str">
        <f>TEXT(Table1[[#This Row],[Date]],"[$-en-US]ddd")</f>
        <v>Sat</v>
      </c>
    </row>
    <row r="1918" spans="1:11" x14ac:dyDescent="0.25">
      <c r="A1918">
        <v>15</v>
      </c>
      <c r="B1918" t="s">
        <v>9</v>
      </c>
      <c r="C1918">
        <v>35.76</v>
      </c>
      <c r="D1918" t="s">
        <v>10</v>
      </c>
      <c r="E1918" t="s">
        <v>15</v>
      </c>
      <c r="F1918" t="s">
        <v>35</v>
      </c>
      <c r="G1918">
        <v>6</v>
      </c>
      <c r="H1918">
        <v>10</v>
      </c>
      <c r="I1918" s="13">
        <v>45584</v>
      </c>
      <c r="J1918" s="13" t="str">
        <f>TEXT(Table1[[#This Row],[Date]],"[$-en-US]mmm yyyy")</f>
        <v>Oct 2024</v>
      </c>
      <c r="K1918" s="13" t="str">
        <f>TEXT(Table1[[#This Row],[Date]],"[$-en-US]ddd")</f>
        <v>Sat</v>
      </c>
    </row>
    <row r="1919" spans="1:11" x14ac:dyDescent="0.25">
      <c r="A1919">
        <v>16</v>
      </c>
      <c r="B1919" t="s">
        <v>9</v>
      </c>
      <c r="C1919">
        <v>35.76</v>
      </c>
      <c r="D1919" t="s">
        <v>10</v>
      </c>
      <c r="E1919" t="s">
        <v>15</v>
      </c>
      <c r="F1919" t="s">
        <v>35</v>
      </c>
      <c r="G1919">
        <v>6</v>
      </c>
      <c r="H1919">
        <v>10</v>
      </c>
      <c r="I1919" s="13">
        <v>45584</v>
      </c>
      <c r="J1919" s="13" t="str">
        <f>TEXT(Table1[[#This Row],[Date]],"[$-en-US]mmm yyyy")</f>
        <v>Oct 2024</v>
      </c>
      <c r="K1919" s="13" t="str">
        <f>TEXT(Table1[[#This Row],[Date]],"[$-en-US]ddd")</f>
        <v>Sat</v>
      </c>
    </row>
    <row r="1920" spans="1:11" x14ac:dyDescent="0.25">
      <c r="A1920">
        <v>16</v>
      </c>
      <c r="B1920" t="s">
        <v>9</v>
      </c>
      <c r="C1920">
        <v>35.76</v>
      </c>
      <c r="D1920" t="s">
        <v>10</v>
      </c>
      <c r="E1920" t="s">
        <v>15</v>
      </c>
      <c r="F1920" t="s">
        <v>35</v>
      </c>
      <c r="G1920">
        <v>6</v>
      </c>
      <c r="H1920">
        <v>10</v>
      </c>
      <c r="I1920" s="13">
        <v>45584</v>
      </c>
      <c r="J1920" s="13" t="str">
        <f>TEXT(Table1[[#This Row],[Date]],"[$-en-US]mmm yyyy")</f>
        <v>Oct 2024</v>
      </c>
      <c r="K1920" s="13" t="str">
        <f>TEXT(Table1[[#This Row],[Date]],"[$-en-US]ddd")</f>
        <v>Sat</v>
      </c>
    </row>
    <row r="1921" spans="1:11" x14ac:dyDescent="0.25">
      <c r="A1921">
        <v>21</v>
      </c>
      <c r="B1921" t="s">
        <v>9</v>
      </c>
      <c r="C1921">
        <v>35.76</v>
      </c>
      <c r="D1921" t="s">
        <v>19</v>
      </c>
      <c r="E1921" t="s">
        <v>18</v>
      </c>
      <c r="F1921" t="s">
        <v>35</v>
      </c>
      <c r="G1921">
        <v>6</v>
      </c>
      <c r="H1921">
        <v>10</v>
      </c>
      <c r="I1921" s="13">
        <v>45584</v>
      </c>
      <c r="J1921" s="13" t="str">
        <f>TEXT(Table1[[#This Row],[Date]],"[$-en-US]mmm yyyy")</f>
        <v>Oct 2024</v>
      </c>
      <c r="K1921" s="13" t="str">
        <f>TEXT(Table1[[#This Row],[Date]],"[$-en-US]ddd")</f>
        <v>Sat</v>
      </c>
    </row>
    <row r="1922" spans="1:11" x14ac:dyDescent="0.25">
      <c r="A1922">
        <v>22</v>
      </c>
      <c r="B1922" t="s">
        <v>9</v>
      </c>
      <c r="C1922">
        <v>35.76</v>
      </c>
      <c r="D1922" t="s">
        <v>27</v>
      </c>
      <c r="E1922" t="s">
        <v>18</v>
      </c>
      <c r="F1922" t="s">
        <v>35</v>
      </c>
      <c r="G1922">
        <v>6</v>
      </c>
      <c r="H1922">
        <v>10</v>
      </c>
      <c r="I1922" s="13">
        <v>45584</v>
      </c>
      <c r="J1922" s="13" t="str">
        <f>TEXT(Table1[[#This Row],[Date]],"[$-en-US]mmm yyyy")</f>
        <v>Oct 2024</v>
      </c>
      <c r="K1922" s="13" t="str">
        <f>TEXT(Table1[[#This Row],[Date]],"[$-en-US]ddd")</f>
        <v>Sat</v>
      </c>
    </row>
    <row r="1923" spans="1:11" x14ac:dyDescent="0.25">
      <c r="A1923">
        <v>8</v>
      </c>
      <c r="B1923" t="s">
        <v>9</v>
      </c>
      <c r="C1923">
        <v>35.76</v>
      </c>
      <c r="D1923" t="s">
        <v>10</v>
      </c>
      <c r="E1923" t="s">
        <v>11</v>
      </c>
      <c r="F1923" t="s">
        <v>35</v>
      </c>
      <c r="G1923">
        <v>7</v>
      </c>
      <c r="H1923">
        <v>10</v>
      </c>
      <c r="I1923" s="13">
        <v>45585</v>
      </c>
      <c r="J1923" s="13" t="str">
        <f>TEXT(Table1[[#This Row],[Date]],"[$-en-US]mmm yyyy")</f>
        <v>Oct 2024</v>
      </c>
      <c r="K1923" s="13" t="str">
        <f>TEXT(Table1[[#This Row],[Date]],"[$-en-US]ddd")</f>
        <v>Sun</v>
      </c>
    </row>
    <row r="1924" spans="1:11" x14ac:dyDescent="0.25">
      <c r="A1924">
        <v>8</v>
      </c>
      <c r="B1924" t="s">
        <v>9</v>
      </c>
      <c r="C1924">
        <v>35.76</v>
      </c>
      <c r="D1924" t="s">
        <v>19</v>
      </c>
      <c r="E1924" t="s">
        <v>11</v>
      </c>
      <c r="F1924" t="s">
        <v>35</v>
      </c>
      <c r="G1924">
        <v>7</v>
      </c>
      <c r="H1924">
        <v>10</v>
      </c>
      <c r="I1924" s="13">
        <v>45585</v>
      </c>
      <c r="J1924" s="13" t="str">
        <f>TEXT(Table1[[#This Row],[Date]],"[$-en-US]mmm yyyy")</f>
        <v>Oct 2024</v>
      </c>
      <c r="K1924" s="13" t="str">
        <f>TEXT(Table1[[#This Row],[Date]],"[$-en-US]ddd")</f>
        <v>Sun</v>
      </c>
    </row>
    <row r="1925" spans="1:11" x14ac:dyDescent="0.25">
      <c r="A1925">
        <v>11</v>
      </c>
      <c r="B1925" t="s">
        <v>9</v>
      </c>
      <c r="C1925">
        <v>35.76</v>
      </c>
      <c r="D1925" t="s">
        <v>10</v>
      </c>
      <c r="E1925" t="s">
        <v>11</v>
      </c>
      <c r="F1925" t="s">
        <v>35</v>
      </c>
      <c r="G1925">
        <v>7</v>
      </c>
      <c r="H1925">
        <v>10</v>
      </c>
      <c r="I1925" s="13">
        <v>45585</v>
      </c>
      <c r="J1925" s="13" t="str">
        <f>TEXT(Table1[[#This Row],[Date]],"[$-en-US]mmm yyyy")</f>
        <v>Oct 2024</v>
      </c>
      <c r="K1925" s="13" t="str">
        <f>TEXT(Table1[[#This Row],[Date]],"[$-en-US]ddd")</f>
        <v>Sun</v>
      </c>
    </row>
    <row r="1926" spans="1:11" x14ac:dyDescent="0.25">
      <c r="A1926">
        <v>14</v>
      </c>
      <c r="B1926" t="s">
        <v>9</v>
      </c>
      <c r="C1926">
        <v>35.76</v>
      </c>
      <c r="D1926" t="s">
        <v>14</v>
      </c>
      <c r="E1926" t="s">
        <v>15</v>
      </c>
      <c r="F1926" t="s">
        <v>35</v>
      </c>
      <c r="G1926">
        <v>7</v>
      </c>
      <c r="H1926">
        <v>10</v>
      </c>
      <c r="I1926" s="13">
        <v>45585</v>
      </c>
      <c r="J1926" s="13" t="str">
        <f>TEXT(Table1[[#This Row],[Date]],"[$-en-US]mmm yyyy")</f>
        <v>Oct 2024</v>
      </c>
      <c r="K1926" s="13" t="str">
        <f>TEXT(Table1[[#This Row],[Date]],"[$-en-US]ddd")</f>
        <v>Sun</v>
      </c>
    </row>
    <row r="1927" spans="1:11" x14ac:dyDescent="0.25">
      <c r="A1927">
        <v>14</v>
      </c>
      <c r="B1927" t="s">
        <v>9</v>
      </c>
      <c r="C1927">
        <v>25.96</v>
      </c>
      <c r="D1927" t="s">
        <v>22</v>
      </c>
      <c r="E1927" t="s">
        <v>15</v>
      </c>
      <c r="F1927" t="s">
        <v>35</v>
      </c>
      <c r="G1927">
        <v>7</v>
      </c>
      <c r="H1927">
        <v>10</v>
      </c>
      <c r="I1927" s="13">
        <v>45585</v>
      </c>
      <c r="J1927" s="13" t="str">
        <f>TEXT(Table1[[#This Row],[Date]],"[$-en-US]mmm yyyy")</f>
        <v>Oct 2024</v>
      </c>
      <c r="K1927" s="13" t="str">
        <f>TEXT(Table1[[#This Row],[Date]],"[$-en-US]ddd")</f>
        <v>Sun</v>
      </c>
    </row>
    <row r="1928" spans="1:11" x14ac:dyDescent="0.25">
      <c r="A1928">
        <v>15</v>
      </c>
      <c r="B1928" t="s">
        <v>9</v>
      </c>
      <c r="C1928">
        <v>30.86</v>
      </c>
      <c r="D1928" t="s">
        <v>17</v>
      </c>
      <c r="E1928" t="s">
        <v>15</v>
      </c>
      <c r="F1928" t="s">
        <v>35</v>
      </c>
      <c r="G1928">
        <v>7</v>
      </c>
      <c r="H1928">
        <v>10</v>
      </c>
      <c r="I1928" s="13">
        <v>45585</v>
      </c>
      <c r="J1928" s="13" t="str">
        <f>TEXT(Table1[[#This Row],[Date]],"[$-en-US]mmm yyyy")</f>
        <v>Oct 2024</v>
      </c>
      <c r="K1928" s="13" t="str">
        <f>TEXT(Table1[[#This Row],[Date]],"[$-en-US]ddd")</f>
        <v>Sun</v>
      </c>
    </row>
    <row r="1929" spans="1:11" x14ac:dyDescent="0.25">
      <c r="A1929">
        <v>16</v>
      </c>
      <c r="B1929" t="s">
        <v>9</v>
      </c>
      <c r="C1929">
        <v>35.76</v>
      </c>
      <c r="D1929" t="s">
        <v>10</v>
      </c>
      <c r="E1929" t="s">
        <v>15</v>
      </c>
      <c r="F1929" t="s">
        <v>35</v>
      </c>
      <c r="G1929">
        <v>7</v>
      </c>
      <c r="H1929">
        <v>10</v>
      </c>
      <c r="I1929" s="13">
        <v>45585</v>
      </c>
      <c r="J1929" s="13" t="str">
        <f>TEXT(Table1[[#This Row],[Date]],"[$-en-US]mmm yyyy")</f>
        <v>Oct 2024</v>
      </c>
      <c r="K1929" s="13" t="str">
        <f>TEXT(Table1[[#This Row],[Date]],"[$-en-US]ddd")</f>
        <v>Sun</v>
      </c>
    </row>
    <row r="1930" spans="1:11" x14ac:dyDescent="0.25">
      <c r="A1930">
        <v>16</v>
      </c>
      <c r="B1930" t="s">
        <v>9</v>
      </c>
      <c r="C1930">
        <v>35.76</v>
      </c>
      <c r="D1930" t="s">
        <v>10</v>
      </c>
      <c r="E1930" t="s">
        <v>15</v>
      </c>
      <c r="F1930" t="s">
        <v>35</v>
      </c>
      <c r="G1930">
        <v>7</v>
      </c>
      <c r="H1930">
        <v>10</v>
      </c>
      <c r="I1930" s="13">
        <v>45585</v>
      </c>
      <c r="J1930" s="13" t="str">
        <f>TEXT(Table1[[#This Row],[Date]],"[$-en-US]mmm yyyy")</f>
        <v>Oct 2024</v>
      </c>
      <c r="K1930" s="13" t="str">
        <f>TEXT(Table1[[#This Row],[Date]],"[$-en-US]ddd")</f>
        <v>Sun</v>
      </c>
    </row>
    <row r="1931" spans="1:11" x14ac:dyDescent="0.25">
      <c r="A1931">
        <v>17</v>
      </c>
      <c r="B1931" t="s">
        <v>9</v>
      </c>
      <c r="C1931">
        <v>35.76</v>
      </c>
      <c r="D1931" t="s">
        <v>10</v>
      </c>
      <c r="E1931" t="s">
        <v>18</v>
      </c>
      <c r="F1931" t="s">
        <v>35</v>
      </c>
      <c r="G1931">
        <v>7</v>
      </c>
      <c r="H1931">
        <v>10</v>
      </c>
      <c r="I1931" s="13">
        <v>45585</v>
      </c>
      <c r="J1931" s="13" t="str">
        <f>TEXT(Table1[[#This Row],[Date]],"[$-en-US]mmm yyyy")</f>
        <v>Oct 2024</v>
      </c>
      <c r="K1931" s="13" t="str">
        <f>TEXT(Table1[[#This Row],[Date]],"[$-en-US]ddd")</f>
        <v>Sun</v>
      </c>
    </row>
    <row r="1932" spans="1:11" x14ac:dyDescent="0.25">
      <c r="A1932">
        <v>18</v>
      </c>
      <c r="B1932" t="s">
        <v>9</v>
      </c>
      <c r="C1932">
        <v>35.76</v>
      </c>
      <c r="D1932" t="s">
        <v>19</v>
      </c>
      <c r="E1932" t="s">
        <v>18</v>
      </c>
      <c r="F1932" t="s">
        <v>35</v>
      </c>
      <c r="G1932">
        <v>7</v>
      </c>
      <c r="H1932">
        <v>10</v>
      </c>
      <c r="I1932" s="13">
        <v>45585</v>
      </c>
      <c r="J1932" s="13" t="str">
        <f>TEXT(Table1[[#This Row],[Date]],"[$-en-US]mmm yyyy")</f>
        <v>Oct 2024</v>
      </c>
      <c r="K1932" s="13" t="str">
        <f>TEXT(Table1[[#This Row],[Date]],"[$-en-US]ddd")</f>
        <v>Sun</v>
      </c>
    </row>
    <row r="1933" spans="1:11" x14ac:dyDescent="0.25">
      <c r="A1933">
        <v>18</v>
      </c>
      <c r="B1933" t="s">
        <v>9</v>
      </c>
      <c r="C1933">
        <v>35.76</v>
      </c>
      <c r="D1933" t="s">
        <v>19</v>
      </c>
      <c r="E1933" t="s">
        <v>18</v>
      </c>
      <c r="F1933" t="s">
        <v>35</v>
      </c>
      <c r="G1933">
        <v>7</v>
      </c>
      <c r="H1933">
        <v>10</v>
      </c>
      <c r="I1933" s="13">
        <v>45585</v>
      </c>
      <c r="J1933" s="13" t="str">
        <f>TEXT(Table1[[#This Row],[Date]],"[$-en-US]mmm yyyy")</f>
        <v>Oct 2024</v>
      </c>
      <c r="K1933" s="13" t="str">
        <f>TEXT(Table1[[#This Row],[Date]],"[$-en-US]ddd")</f>
        <v>Sun</v>
      </c>
    </row>
    <row r="1934" spans="1:11" x14ac:dyDescent="0.25">
      <c r="A1934">
        <v>21</v>
      </c>
      <c r="B1934" t="s">
        <v>9</v>
      </c>
      <c r="C1934">
        <v>35.76</v>
      </c>
      <c r="D1934" t="s">
        <v>14</v>
      </c>
      <c r="E1934" t="s">
        <v>18</v>
      </c>
      <c r="F1934" t="s">
        <v>35</v>
      </c>
      <c r="G1934">
        <v>7</v>
      </c>
      <c r="H1934">
        <v>10</v>
      </c>
      <c r="I1934" s="13">
        <v>45585</v>
      </c>
      <c r="J1934" s="13" t="str">
        <f>TEXT(Table1[[#This Row],[Date]],"[$-en-US]mmm yyyy")</f>
        <v>Oct 2024</v>
      </c>
      <c r="K1934" s="13" t="str">
        <f>TEXT(Table1[[#This Row],[Date]],"[$-en-US]ddd")</f>
        <v>Sun</v>
      </c>
    </row>
    <row r="1935" spans="1:11" x14ac:dyDescent="0.25">
      <c r="A1935">
        <v>21</v>
      </c>
      <c r="B1935" t="s">
        <v>9</v>
      </c>
      <c r="C1935">
        <v>25.96</v>
      </c>
      <c r="D1935" t="s">
        <v>22</v>
      </c>
      <c r="E1935" t="s">
        <v>18</v>
      </c>
      <c r="F1935" t="s">
        <v>35</v>
      </c>
      <c r="G1935">
        <v>7</v>
      </c>
      <c r="H1935">
        <v>10</v>
      </c>
      <c r="I1935" s="13">
        <v>45585</v>
      </c>
      <c r="J1935" s="13" t="str">
        <f>TEXT(Table1[[#This Row],[Date]],"[$-en-US]mmm yyyy")</f>
        <v>Oct 2024</v>
      </c>
      <c r="K1935" s="13" t="str">
        <f>TEXT(Table1[[#This Row],[Date]],"[$-en-US]ddd")</f>
        <v>Sun</v>
      </c>
    </row>
    <row r="1936" spans="1:11" x14ac:dyDescent="0.25">
      <c r="A1936">
        <v>21</v>
      </c>
      <c r="B1936" t="s">
        <v>9</v>
      </c>
      <c r="C1936">
        <v>35.76</v>
      </c>
      <c r="D1936" t="s">
        <v>19</v>
      </c>
      <c r="E1936" t="s">
        <v>18</v>
      </c>
      <c r="F1936" t="s">
        <v>35</v>
      </c>
      <c r="G1936">
        <v>7</v>
      </c>
      <c r="H1936">
        <v>10</v>
      </c>
      <c r="I1936" s="13">
        <v>45585</v>
      </c>
      <c r="J1936" s="13" t="str">
        <f>TEXT(Table1[[#This Row],[Date]],"[$-en-US]mmm yyyy")</f>
        <v>Oct 2024</v>
      </c>
      <c r="K1936" s="13" t="str">
        <f>TEXT(Table1[[#This Row],[Date]],"[$-en-US]ddd")</f>
        <v>Sun</v>
      </c>
    </row>
    <row r="1937" spans="1:11" x14ac:dyDescent="0.25">
      <c r="A1937">
        <v>21</v>
      </c>
      <c r="B1937" t="s">
        <v>9</v>
      </c>
      <c r="C1937">
        <v>35.76</v>
      </c>
      <c r="D1937" t="s">
        <v>10</v>
      </c>
      <c r="E1937" t="s">
        <v>18</v>
      </c>
      <c r="F1937" t="s">
        <v>35</v>
      </c>
      <c r="G1937">
        <v>7</v>
      </c>
      <c r="H1937">
        <v>10</v>
      </c>
      <c r="I1937" s="13">
        <v>45585</v>
      </c>
      <c r="J1937" s="13" t="str">
        <f>TEXT(Table1[[#This Row],[Date]],"[$-en-US]mmm yyyy")</f>
        <v>Oct 2024</v>
      </c>
      <c r="K1937" s="13" t="str">
        <f>TEXT(Table1[[#This Row],[Date]],"[$-en-US]ddd")</f>
        <v>Sun</v>
      </c>
    </row>
    <row r="1938" spans="1:11" x14ac:dyDescent="0.25">
      <c r="A1938">
        <v>22</v>
      </c>
      <c r="B1938" t="s">
        <v>9</v>
      </c>
      <c r="C1938">
        <v>35.76</v>
      </c>
      <c r="D1938" t="s">
        <v>27</v>
      </c>
      <c r="E1938" t="s">
        <v>18</v>
      </c>
      <c r="F1938" t="s">
        <v>35</v>
      </c>
      <c r="G1938">
        <v>7</v>
      </c>
      <c r="H1938">
        <v>10</v>
      </c>
      <c r="I1938" s="13">
        <v>45585</v>
      </c>
      <c r="J1938" s="13" t="str">
        <f>TEXT(Table1[[#This Row],[Date]],"[$-en-US]mmm yyyy")</f>
        <v>Oct 2024</v>
      </c>
      <c r="K1938" s="13" t="str">
        <f>TEXT(Table1[[#This Row],[Date]],"[$-en-US]ddd")</f>
        <v>Sun</v>
      </c>
    </row>
    <row r="1939" spans="1:11" x14ac:dyDescent="0.25">
      <c r="A1939">
        <v>7</v>
      </c>
      <c r="B1939" t="s">
        <v>9</v>
      </c>
      <c r="C1939">
        <v>35.76</v>
      </c>
      <c r="D1939" t="s">
        <v>10</v>
      </c>
      <c r="E1939" t="s">
        <v>11</v>
      </c>
      <c r="F1939" t="s">
        <v>35</v>
      </c>
      <c r="G1939">
        <v>1</v>
      </c>
      <c r="H1939">
        <v>10</v>
      </c>
      <c r="I1939" s="13">
        <v>45586</v>
      </c>
      <c r="J1939" s="13" t="str">
        <f>TEXT(Table1[[#This Row],[Date]],"[$-en-US]mmm yyyy")</f>
        <v>Oct 2024</v>
      </c>
      <c r="K1939" s="13" t="str">
        <f>TEXT(Table1[[#This Row],[Date]],"[$-en-US]ddd")</f>
        <v>Mon</v>
      </c>
    </row>
    <row r="1940" spans="1:11" x14ac:dyDescent="0.25">
      <c r="A1940">
        <v>8</v>
      </c>
      <c r="B1940" t="s">
        <v>9</v>
      </c>
      <c r="C1940">
        <v>35.76</v>
      </c>
      <c r="D1940" t="s">
        <v>10</v>
      </c>
      <c r="E1940" t="s">
        <v>11</v>
      </c>
      <c r="F1940" t="s">
        <v>35</v>
      </c>
      <c r="G1940">
        <v>1</v>
      </c>
      <c r="H1940">
        <v>10</v>
      </c>
      <c r="I1940" s="13">
        <v>45586</v>
      </c>
      <c r="J1940" s="13" t="str">
        <f>TEXT(Table1[[#This Row],[Date]],"[$-en-US]mmm yyyy")</f>
        <v>Oct 2024</v>
      </c>
      <c r="K1940" s="13" t="str">
        <f>TEXT(Table1[[#This Row],[Date]],"[$-en-US]ddd")</f>
        <v>Mon</v>
      </c>
    </row>
    <row r="1941" spans="1:11" x14ac:dyDescent="0.25">
      <c r="A1941">
        <v>9</v>
      </c>
      <c r="B1941" t="s">
        <v>9</v>
      </c>
      <c r="C1941">
        <v>30.86</v>
      </c>
      <c r="D1941" t="s">
        <v>17</v>
      </c>
      <c r="E1941" t="s">
        <v>11</v>
      </c>
      <c r="F1941" t="s">
        <v>35</v>
      </c>
      <c r="G1941">
        <v>1</v>
      </c>
      <c r="H1941">
        <v>10</v>
      </c>
      <c r="I1941" s="13">
        <v>45586</v>
      </c>
      <c r="J1941" s="13" t="str">
        <f>TEXT(Table1[[#This Row],[Date]],"[$-en-US]mmm yyyy")</f>
        <v>Oct 2024</v>
      </c>
      <c r="K1941" s="13" t="str">
        <f>TEXT(Table1[[#This Row],[Date]],"[$-en-US]ddd")</f>
        <v>Mon</v>
      </c>
    </row>
    <row r="1942" spans="1:11" x14ac:dyDescent="0.25">
      <c r="A1942">
        <v>9</v>
      </c>
      <c r="B1942" t="s">
        <v>9</v>
      </c>
      <c r="C1942">
        <v>35.76</v>
      </c>
      <c r="D1942" t="s">
        <v>10</v>
      </c>
      <c r="E1942" t="s">
        <v>11</v>
      </c>
      <c r="F1942" t="s">
        <v>35</v>
      </c>
      <c r="G1942">
        <v>1</v>
      </c>
      <c r="H1942">
        <v>10</v>
      </c>
      <c r="I1942" s="13">
        <v>45586</v>
      </c>
      <c r="J1942" s="13" t="str">
        <f>TEXT(Table1[[#This Row],[Date]],"[$-en-US]mmm yyyy")</f>
        <v>Oct 2024</v>
      </c>
      <c r="K1942" s="13" t="str">
        <f>TEXT(Table1[[#This Row],[Date]],"[$-en-US]ddd")</f>
        <v>Mon</v>
      </c>
    </row>
    <row r="1943" spans="1:11" x14ac:dyDescent="0.25">
      <c r="A1943">
        <v>10</v>
      </c>
      <c r="B1943" t="s">
        <v>9</v>
      </c>
      <c r="C1943">
        <v>25.96</v>
      </c>
      <c r="D1943" t="s">
        <v>16</v>
      </c>
      <c r="E1943" t="s">
        <v>11</v>
      </c>
      <c r="F1943" t="s">
        <v>35</v>
      </c>
      <c r="G1943">
        <v>1</v>
      </c>
      <c r="H1943">
        <v>10</v>
      </c>
      <c r="I1943" s="13">
        <v>45586</v>
      </c>
      <c r="J1943" s="13" t="str">
        <f>TEXT(Table1[[#This Row],[Date]],"[$-en-US]mmm yyyy")</f>
        <v>Oct 2024</v>
      </c>
      <c r="K1943" s="13" t="str">
        <f>TEXT(Table1[[#This Row],[Date]],"[$-en-US]ddd")</f>
        <v>Mon</v>
      </c>
    </row>
    <row r="1944" spans="1:11" x14ac:dyDescent="0.25">
      <c r="A1944">
        <v>10</v>
      </c>
      <c r="B1944" t="s">
        <v>9</v>
      </c>
      <c r="C1944">
        <v>25.96</v>
      </c>
      <c r="D1944" t="s">
        <v>22</v>
      </c>
      <c r="E1944" t="s">
        <v>11</v>
      </c>
      <c r="F1944" t="s">
        <v>35</v>
      </c>
      <c r="G1944">
        <v>1</v>
      </c>
      <c r="H1944">
        <v>10</v>
      </c>
      <c r="I1944" s="13">
        <v>45586</v>
      </c>
      <c r="J1944" s="13" t="str">
        <f>TEXT(Table1[[#This Row],[Date]],"[$-en-US]mmm yyyy")</f>
        <v>Oct 2024</v>
      </c>
      <c r="K1944" s="13" t="str">
        <f>TEXT(Table1[[#This Row],[Date]],"[$-en-US]ddd")</f>
        <v>Mon</v>
      </c>
    </row>
    <row r="1945" spans="1:11" x14ac:dyDescent="0.25">
      <c r="A1945">
        <v>10</v>
      </c>
      <c r="B1945" t="s">
        <v>9</v>
      </c>
      <c r="C1945">
        <v>25.96</v>
      </c>
      <c r="D1945" t="s">
        <v>22</v>
      </c>
      <c r="E1945" t="s">
        <v>11</v>
      </c>
      <c r="F1945" t="s">
        <v>35</v>
      </c>
      <c r="G1945">
        <v>1</v>
      </c>
      <c r="H1945">
        <v>10</v>
      </c>
      <c r="I1945" s="13">
        <v>45586</v>
      </c>
      <c r="J1945" s="13" t="str">
        <f>TEXT(Table1[[#This Row],[Date]],"[$-en-US]mmm yyyy")</f>
        <v>Oct 2024</v>
      </c>
      <c r="K1945" s="13" t="str">
        <f>TEXT(Table1[[#This Row],[Date]],"[$-en-US]ddd")</f>
        <v>Mon</v>
      </c>
    </row>
    <row r="1946" spans="1:11" x14ac:dyDescent="0.25">
      <c r="A1946">
        <v>11</v>
      </c>
      <c r="B1946" t="s">
        <v>9</v>
      </c>
      <c r="C1946">
        <v>21.06</v>
      </c>
      <c r="D1946" t="s">
        <v>24</v>
      </c>
      <c r="E1946" t="s">
        <v>11</v>
      </c>
      <c r="F1946" t="s">
        <v>35</v>
      </c>
      <c r="G1946">
        <v>1</v>
      </c>
      <c r="H1946">
        <v>10</v>
      </c>
      <c r="I1946" s="13">
        <v>45586</v>
      </c>
      <c r="J1946" s="13" t="str">
        <f>TEXT(Table1[[#This Row],[Date]],"[$-en-US]mmm yyyy")</f>
        <v>Oct 2024</v>
      </c>
      <c r="K1946" s="13" t="str">
        <f>TEXT(Table1[[#This Row],[Date]],"[$-en-US]ddd")</f>
        <v>Mon</v>
      </c>
    </row>
    <row r="1947" spans="1:11" x14ac:dyDescent="0.25">
      <c r="A1947">
        <v>12</v>
      </c>
      <c r="B1947" t="s">
        <v>9</v>
      </c>
      <c r="C1947">
        <v>35.76</v>
      </c>
      <c r="D1947" t="s">
        <v>27</v>
      </c>
      <c r="E1947" t="s">
        <v>15</v>
      </c>
      <c r="F1947" t="s">
        <v>35</v>
      </c>
      <c r="G1947">
        <v>1</v>
      </c>
      <c r="H1947">
        <v>10</v>
      </c>
      <c r="I1947" s="13">
        <v>45586</v>
      </c>
      <c r="J1947" s="13" t="str">
        <f>TEXT(Table1[[#This Row],[Date]],"[$-en-US]mmm yyyy")</f>
        <v>Oct 2024</v>
      </c>
      <c r="K1947" s="13" t="str">
        <f>TEXT(Table1[[#This Row],[Date]],"[$-en-US]ddd")</f>
        <v>Mon</v>
      </c>
    </row>
    <row r="1948" spans="1:11" x14ac:dyDescent="0.25">
      <c r="A1948">
        <v>14</v>
      </c>
      <c r="B1948" t="s">
        <v>9</v>
      </c>
      <c r="C1948">
        <v>35.76</v>
      </c>
      <c r="D1948" t="s">
        <v>10</v>
      </c>
      <c r="E1948" t="s">
        <v>15</v>
      </c>
      <c r="F1948" t="s">
        <v>35</v>
      </c>
      <c r="G1948">
        <v>1</v>
      </c>
      <c r="H1948">
        <v>10</v>
      </c>
      <c r="I1948" s="13">
        <v>45586</v>
      </c>
      <c r="J1948" s="13" t="str">
        <f>TEXT(Table1[[#This Row],[Date]],"[$-en-US]mmm yyyy")</f>
        <v>Oct 2024</v>
      </c>
      <c r="K1948" s="13" t="str">
        <f>TEXT(Table1[[#This Row],[Date]],"[$-en-US]ddd")</f>
        <v>Mon</v>
      </c>
    </row>
    <row r="1949" spans="1:11" x14ac:dyDescent="0.25">
      <c r="A1949">
        <v>14</v>
      </c>
      <c r="B1949" t="s">
        <v>9</v>
      </c>
      <c r="C1949">
        <v>35.76</v>
      </c>
      <c r="D1949" t="s">
        <v>10</v>
      </c>
      <c r="E1949" t="s">
        <v>15</v>
      </c>
      <c r="F1949" t="s">
        <v>35</v>
      </c>
      <c r="G1949">
        <v>1</v>
      </c>
      <c r="H1949">
        <v>10</v>
      </c>
      <c r="I1949" s="13">
        <v>45586</v>
      </c>
      <c r="J1949" s="13" t="str">
        <f>TEXT(Table1[[#This Row],[Date]],"[$-en-US]mmm yyyy")</f>
        <v>Oct 2024</v>
      </c>
      <c r="K1949" s="13" t="str">
        <f>TEXT(Table1[[#This Row],[Date]],"[$-en-US]ddd")</f>
        <v>Mon</v>
      </c>
    </row>
    <row r="1950" spans="1:11" x14ac:dyDescent="0.25">
      <c r="A1950">
        <v>15</v>
      </c>
      <c r="B1950" t="s">
        <v>9</v>
      </c>
      <c r="C1950">
        <v>30.86</v>
      </c>
      <c r="D1950" t="s">
        <v>17</v>
      </c>
      <c r="E1950" t="s">
        <v>15</v>
      </c>
      <c r="F1950" t="s">
        <v>35</v>
      </c>
      <c r="G1950">
        <v>1</v>
      </c>
      <c r="H1950">
        <v>10</v>
      </c>
      <c r="I1950" s="13">
        <v>45586</v>
      </c>
      <c r="J1950" s="13" t="str">
        <f>TEXT(Table1[[#This Row],[Date]],"[$-en-US]mmm yyyy")</f>
        <v>Oct 2024</v>
      </c>
      <c r="K1950" s="13" t="str">
        <f>TEXT(Table1[[#This Row],[Date]],"[$-en-US]ddd")</f>
        <v>Mon</v>
      </c>
    </row>
    <row r="1951" spans="1:11" x14ac:dyDescent="0.25">
      <c r="A1951">
        <v>15</v>
      </c>
      <c r="B1951" t="s">
        <v>9</v>
      </c>
      <c r="C1951">
        <v>25.96</v>
      </c>
      <c r="D1951" t="s">
        <v>22</v>
      </c>
      <c r="E1951" t="s">
        <v>15</v>
      </c>
      <c r="F1951" t="s">
        <v>35</v>
      </c>
      <c r="G1951">
        <v>1</v>
      </c>
      <c r="H1951">
        <v>10</v>
      </c>
      <c r="I1951" s="13">
        <v>45586</v>
      </c>
      <c r="J1951" s="13" t="str">
        <f>TEXT(Table1[[#This Row],[Date]],"[$-en-US]mmm yyyy")</f>
        <v>Oct 2024</v>
      </c>
      <c r="K1951" s="13" t="str">
        <f>TEXT(Table1[[#This Row],[Date]],"[$-en-US]ddd")</f>
        <v>Mon</v>
      </c>
    </row>
    <row r="1952" spans="1:11" x14ac:dyDescent="0.25">
      <c r="A1952">
        <v>16</v>
      </c>
      <c r="B1952" t="s">
        <v>9</v>
      </c>
      <c r="C1952">
        <v>35.76</v>
      </c>
      <c r="D1952" t="s">
        <v>19</v>
      </c>
      <c r="E1952" t="s">
        <v>15</v>
      </c>
      <c r="F1952" t="s">
        <v>35</v>
      </c>
      <c r="G1952">
        <v>1</v>
      </c>
      <c r="H1952">
        <v>10</v>
      </c>
      <c r="I1952" s="13">
        <v>45586</v>
      </c>
      <c r="J1952" s="13" t="str">
        <f>TEXT(Table1[[#This Row],[Date]],"[$-en-US]mmm yyyy")</f>
        <v>Oct 2024</v>
      </c>
      <c r="K1952" s="13" t="str">
        <f>TEXT(Table1[[#This Row],[Date]],"[$-en-US]ddd")</f>
        <v>Mon</v>
      </c>
    </row>
    <row r="1953" spans="1:11" x14ac:dyDescent="0.25">
      <c r="A1953">
        <v>16</v>
      </c>
      <c r="B1953" t="s">
        <v>9</v>
      </c>
      <c r="C1953">
        <v>35.76</v>
      </c>
      <c r="D1953" t="s">
        <v>10</v>
      </c>
      <c r="E1953" t="s">
        <v>15</v>
      </c>
      <c r="F1953" t="s">
        <v>35</v>
      </c>
      <c r="G1953">
        <v>1</v>
      </c>
      <c r="H1953">
        <v>10</v>
      </c>
      <c r="I1953" s="13">
        <v>45586</v>
      </c>
      <c r="J1953" s="13" t="str">
        <f>TEXT(Table1[[#This Row],[Date]],"[$-en-US]mmm yyyy")</f>
        <v>Oct 2024</v>
      </c>
      <c r="K1953" s="13" t="str">
        <f>TEXT(Table1[[#This Row],[Date]],"[$-en-US]ddd")</f>
        <v>Mon</v>
      </c>
    </row>
    <row r="1954" spans="1:11" x14ac:dyDescent="0.25">
      <c r="A1954">
        <v>19</v>
      </c>
      <c r="B1954" t="s">
        <v>9</v>
      </c>
      <c r="C1954">
        <v>35.76</v>
      </c>
      <c r="D1954" t="s">
        <v>14</v>
      </c>
      <c r="E1954" t="s">
        <v>18</v>
      </c>
      <c r="F1954" t="s">
        <v>35</v>
      </c>
      <c r="G1954">
        <v>1</v>
      </c>
      <c r="H1954">
        <v>10</v>
      </c>
      <c r="I1954" s="13">
        <v>45586</v>
      </c>
      <c r="J1954" s="13" t="str">
        <f>TEXT(Table1[[#This Row],[Date]],"[$-en-US]mmm yyyy")</f>
        <v>Oct 2024</v>
      </c>
      <c r="K1954" s="13" t="str">
        <f>TEXT(Table1[[#This Row],[Date]],"[$-en-US]ddd")</f>
        <v>Mon</v>
      </c>
    </row>
    <row r="1955" spans="1:11" x14ac:dyDescent="0.25">
      <c r="A1955">
        <v>21</v>
      </c>
      <c r="B1955" t="s">
        <v>9</v>
      </c>
      <c r="C1955">
        <v>35.76</v>
      </c>
      <c r="D1955" t="s">
        <v>10</v>
      </c>
      <c r="E1955" t="s">
        <v>18</v>
      </c>
      <c r="F1955" t="s">
        <v>35</v>
      </c>
      <c r="G1955">
        <v>1</v>
      </c>
      <c r="H1955">
        <v>10</v>
      </c>
      <c r="I1955" s="13">
        <v>45586</v>
      </c>
      <c r="J1955" s="13" t="str">
        <f>TEXT(Table1[[#This Row],[Date]],"[$-en-US]mmm yyyy")</f>
        <v>Oct 2024</v>
      </c>
      <c r="K1955" s="13" t="str">
        <f>TEXT(Table1[[#This Row],[Date]],"[$-en-US]ddd")</f>
        <v>Mon</v>
      </c>
    </row>
    <row r="1956" spans="1:11" x14ac:dyDescent="0.25">
      <c r="A1956">
        <v>22</v>
      </c>
      <c r="B1956" t="s">
        <v>9</v>
      </c>
      <c r="C1956">
        <v>35.76</v>
      </c>
      <c r="D1956" t="s">
        <v>19</v>
      </c>
      <c r="E1956" t="s">
        <v>18</v>
      </c>
      <c r="F1956" t="s">
        <v>35</v>
      </c>
      <c r="G1956">
        <v>1</v>
      </c>
      <c r="H1956">
        <v>10</v>
      </c>
      <c r="I1956" s="13">
        <v>45586</v>
      </c>
      <c r="J1956" s="13" t="str">
        <f>TEXT(Table1[[#This Row],[Date]],"[$-en-US]mmm yyyy")</f>
        <v>Oct 2024</v>
      </c>
      <c r="K1956" s="13" t="str">
        <f>TEXT(Table1[[#This Row],[Date]],"[$-en-US]ddd")</f>
        <v>Mon</v>
      </c>
    </row>
    <row r="1957" spans="1:11" x14ac:dyDescent="0.25">
      <c r="A1957">
        <v>22</v>
      </c>
      <c r="B1957" t="s">
        <v>9</v>
      </c>
      <c r="C1957">
        <v>35.76</v>
      </c>
      <c r="D1957" t="s">
        <v>14</v>
      </c>
      <c r="E1957" t="s">
        <v>18</v>
      </c>
      <c r="F1957" t="s">
        <v>35</v>
      </c>
      <c r="G1957">
        <v>1</v>
      </c>
      <c r="H1957">
        <v>10</v>
      </c>
      <c r="I1957" s="13">
        <v>45586</v>
      </c>
      <c r="J1957" s="13" t="str">
        <f>TEXT(Table1[[#This Row],[Date]],"[$-en-US]mmm yyyy")</f>
        <v>Oct 2024</v>
      </c>
      <c r="K1957" s="13" t="str">
        <f>TEXT(Table1[[#This Row],[Date]],"[$-en-US]ddd")</f>
        <v>Mon</v>
      </c>
    </row>
    <row r="1958" spans="1:11" x14ac:dyDescent="0.25">
      <c r="A1958">
        <v>7</v>
      </c>
      <c r="B1958" t="s">
        <v>9</v>
      </c>
      <c r="C1958">
        <v>35.76</v>
      </c>
      <c r="D1958" t="s">
        <v>10</v>
      </c>
      <c r="E1958" t="s">
        <v>11</v>
      </c>
      <c r="F1958" t="s">
        <v>35</v>
      </c>
      <c r="G1958">
        <v>2</v>
      </c>
      <c r="H1958">
        <v>10</v>
      </c>
      <c r="I1958" s="13">
        <v>45587</v>
      </c>
      <c r="J1958" s="13" t="str">
        <f>TEXT(Table1[[#This Row],[Date]],"[$-en-US]mmm yyyy")</f>
        <v>Oct 2024</v>
      </c>
      <c r="K1958" s="13" t="str">
        <f>TEXT(Table1[[#This Row],[Date]],"[$-en-US]ddd")</f>
        <v>Tue</v>
      </c>
    </row>
    <row r="1959" spans="1:11" x14ac:dyDescent="0.25">
      <c r="A1959">
        <v>7</v>
      </c>
      <c r="B1959" t="s">
        <v>9</v>
      </c>
      <c r="C1959">
        <v>35.76</v>
      </c>
      <c r="D1959" t="s">
        <v>27</v>
      </c>
      <c r="E1959" t="s">
        <v>11</v>
      </c>
      <c r="F1959" t="s">
        <v>35</v>
      </c>
      <c r="G1959">
        <v>2</v>
      </c>
      <c r="H1959">
        <v>10</v>
      </c>
      <c r="I1959" s="13">
        <v>45587</v>
      </c>
      <c r="J1959" s="13" t="str">
        <f>TEXT(Table1[[#This Row],[Date]],"[$-en-US]mmm yyyy")</f>
        <v>Oct 2024</v>
      </c>
      <c r="K1959" s="13" t="str">
        <f>TEXT(Table1[[#This Row],[Date]],"[$-en-US]ddd")</f>
        <v>Tue</v>
      </c>
    </row>
    <row r="1960" spans="1:11" x14ac:dyDescent="0.25">
      <c r="A1960">
        <v>8</v>
      </c>
      <c r="B1960" t="s">
        <v>9</v>
      </c>
      <c r="C1960">
        <v>30.86</v>
      </c>
      <c r="D1960" t="s">
        <v>17</v>
      </c>
      <c r="E1960" t="s">
        <v>11</v>
      </c>
      <c r="F1960" t="s">
        <v>35</v>
      </c>
      <c r="G1960">
        <v>2</v>
      </c>
      <c r="H1960">
        <v>10</v>
      </c>
      <c r="I1960" s="13">
        <v>45587</v>
      </c>
      <c r="J1960" s="13" t="str">
        <f>TEXT(Table1[[#This Row],[Date]],"[$-en-US]mmm yyyy")</f>
        <v>Oct 2024</v>
      </c>
      <c r="K1960" s="13" t="str">
        <f>TEXT(Table1[[#This Row],[Date]],"[$-en-US]ddd")</f>
        <v>Tue</v>
      </c>
    </row>
    <row r="1961" spans="1:11" x14ac:dyDescent="0.25">
      <c r="A1961">
        <v>9</v>
      </c>
      <c r="B1961" t="s">
        <v>9</v>
      </c>
      <c r="C1961">
        <v>25.96</v>
      </c>
      <c r="D1961" t="s">
        <v>22</v>
      </c>
      <c r="E1961" t="s">
        <v>11</v>
      </c>
      <c r="F1961" t="s">
        <v>35</v>
      </c>
      <c r="G1961">
        <v>2</v>
      </c>
      <c r="H1961">
        <v>10</v>
      </c>
      <c r="I1961" s="13">
        <v>45587</v>
      </c>
      <c r="J1961" s="13" t="str">
        <f>TEXT(Table1[[#This Row],[Date]],"[$-en-US]mmm yyyy")</f>
        <v>Oct 2024</v>
      </c>
      <c r="K1961" s="13" t="str">
        <f>TEXT(Table1[[#This Row],[Date]],"[$-en-US]ddd")</f>
        <v>Tue</v>
      </c>
    </row>
    <row r="1962" spans="1:11" x14ac:dyDescent="0.25">
      <c r="A1962">
        <v>10</v>
      </c>
      <c r="B1962" t="s">
        <v>9</v>
      </c>
      <c r="C1962">
        <v>21.06</v>
      </c>
      <c r="D1962" t="s">
        <v>24</v>
      </c>
      <c r="E1962" t="s">
        <v>11</v>
      </c>
      <c r="F1962" t="s">
        <v>35</v>
      </c>
      <c r="G1962">
        <v>2</v>
      </c>
      <c r="H1962">
        <v>10</v>
      </c>
      <c r="I1962" s="13">
        <v>45587</v>
      </c>
      <c r="J1962" s="13" t="str">
        <f>TEXT(Table1[[#This Row],[Date]],"[$-en-US]mmm yyyy")</f>
        <v>Oct 2024</v>
      </c>
      <c r="K1962" s="13" t="str">
        <f>TEXT(Table1[[#This Row],[Date]],"[$-en-US]ddd")</f>
        <v>Tue</v>
      </c>
    </row>
    <row r="1963" spans="1:11" x14ac:dyDescent="0.25">
      <c r="A1963">
        <v>10</v>
      </c>
      <c r="B1963" t="s">
        <v>9</v>
      </c>
      <c r="C1963">
        <v>25.96</v>
      </c>
      <c r="D1963" t="s">
        <v>22</v>
      </c>
      <c r="E1963" t="s">
        <v>11</v>
      </c>
      <c r="F1963" t="s">
        <v>35</v>
      </c>
      <c r="G1963">
        <v>2</v>
      </c>
      <c r="H1963">
        <v>10</v>
      </c>
      <c r="I1963" s="13">
        <v>45587</v>
      </c>
      <c r="J1963" s="13" t="str">
        <f>TEXT(Table1[[#This Row],[Date]],"[$-en-US]mmm yyyy")</f>
        <v>Oct 2024</v>
      </c>
      <c r="K1963" s="13" t="str">
        <f>TEXT(Table1[[#This Row],[Date]],"[$-en-US]ddd")</f>
        <v>Tue</v>
      </c>
    </row>
    <row r="1964" spans="1:11" x14ac:dyDescent="0.25">
      <c r="A1964">
        <v>18</v>
      </c>
      <c r="B1964" t="s">
        <v>9</v>
      </c>
      <c r="C1964">
        <v>25.96</v>
      </c>
      <c r="D1964" t="s">
        <v>16</v>
      </c>
      <c r="E1964" t="s">
        <v>18</v>
      </c>
      <c r="F1964" t="s">
        <v>35</v>
      </c>
      <c r="G1964">
        <v>2</v>
      </c>
      <c r="H1964">
        <v>10</v>
      </c>
      <c r="I1964" s="13">
        <v>45587</v>
      </c>
      <c r="J1964" s="13" t="str">
        <f>TEXT(Table1[[#This Row],[Date]],"[$-en-US]mmm yyyy")</f>
        <v>Oct 2024</v>
      </c>
      <c r="K1964" s="13" t="str">
        <f>TEXT(Table1[[#This Row],[Date]],"[$-en-US]ddd")</f>
        <v>Tue</v>
      </c>
    </row>
    <row r="1965" spans="1:11" x14ac:dyDescent="0.25">
      <c r="A1965">
        <v>19</v>
      </c>
      <c r="B1965" t="s">
        <v>9</v>
      </c>
      <c r="C1965">
        <v>35.76</v>
      </c>
      <c r="D1965" t="s">
        <v>14</v>
      </c>
      <c r="E1965" t="s">
        <v>18</v>
      </c>
      <c r="F1965" t="s">
        <v>35</v>
      </c>
      <c r="G1965">
        <v>2</v>
      </c>
      <c r="H1965">
        <v>10</v>
      </c>
      <c r="I1965" s="13">
        <v>45587</v>
      </c>
      <c r="J1965" s="13" t="str">
        <f>TEXT(Table1[[#This Row],[Date]],"[$-en-US]mmm yyyy")</f>
        <v>Oct 2024</v>
      </c>
      <c r="K1965" s="13" t="str">
        <f>TEXT(Table1[[#This Row],[Date]],"[$-en-US]ddd")</f>
        <v>Tue</v>
      </c>
    </row>
    <row r="1966" spans="1:11" x14ac:dyDescent="0.25">
      <c r="A1966">
        <v>19</v>
      </c>
      <c r="B1966" t="s">
        <v>9</v>
      </c>
      <c r="C1966">
        <v>35.76</v>
      </c>
      <c r="D1966" t="s">
        <v>10</v>
      </c>
      <c r="E1966" t="s">
        <v>18</v>
      </c>
      <c r="F1966" t="s">
        <v>35</v>
      </c>
      <c r="G1966">
        <v>2</v>
      </c>
      <c r="H1966">
        <v>10</v>
      </c>
      <c r="I1966" s="13">
        <v>45587</v>
      </c>
      <c r="J1966" s="13" t="str">
        <f>TEXT(Table1[[#This Row],[Date]],"[$-en-US]mmm yyyy")</f>
        <v>Oct 2024</v>
      </c>
      <c r="K1966" s="13" t="str">
        <f>TEXT(Table1[[#This Row],[Date]],"[$-en-US]ddd")</f>
        <v>Tue</v>
      </c>
    </row>
    <row r="1967" spans="1:11" x14ac:dyDescent="0.25">
      <c r="A1967">
        <v>7</v>
      </c>
      <c r="B1967" t="s">
        <v>9</v>
      </c>
      <c r="C1967">
        <v>35.76</v>
      </c>
      <c r="D1967" t="s">
        <v>10</v>
      </c>
      <c r="E1967" t="s">
        <v>11</v>
      </c>
      <c r="F1967" t="s">
        <v>35</v>
      </c>
      <c r="G1967">
        <v>3</v>
      </c>
      <c r="H1967">
        <v>10</v>
      </c>
      <c r="I1967" s="13">
        <v>45588</v>
      </c>
      <c r="J1967" s="13" t="str">
        <f>TEXT(Table1[[#This Row],[Date]],"[$-en-US]mmm yyyy")</f>
        <v>Oct 2024</v>
      </c>
      <c r="K1967" s="13" t="str">
        <f>TEXT(Table1[[#This Row],[Date]],"[$-en-US]ddd")</f>
        <v>Wed</v>
      </c>
    </row>
    <row r="1968" spans="1:11" x14ac:dyDescent="0.25">
      <c r="A1968">
        <v>8</v>
      </c>
      <c r="B1968" t="s">
        <v>9</v>
      </c>
      <c r="C1968">
        <v>30.86</v>
      </c>
      <c r="D1968" t="s">
        <v>17</v>
      </c>
      <c r="E1968" t="s">
        <v>11</v>
      </c>
      <c r="F1968" t="s">
        <v>35</v>
      </c>
      <c r="G1968">
        <v>3</v>
      </c>
      <c r="H1968">
        <v>10</v>
      </c>
      <c r="I1968" s="13">
        <v>45588</v>
      </c>
      <c r="J1968" s="13" t="str">
        <f>TEXT(Table1[[#This Row],[Date]],"[$-en-US]mmm yyyy")</f>
        <v>Oct 2024</v>
      </c>
      <c r="K1968" s="13" t="str">
        <f>TEXT(Table1[[#This Row],[Date]],"[$-en-US]ddd")</f>
        <v>Wed</v>
      </c>
    </row>
    <row r="1969" spans="1:11" x14ac:dyDescent="0.25">
      <c r="A1969">
        <v>10</v>
      </c>
      <c r="B1969" t="s">
        <v>9</v>
      </c>
      <c r="C1969">
        <v>25.96</v>
      </c>
      <c r="D1969" t="s">
        <v>22</v>
      </c>
      <c r="E1969" t="s">
        <v>11</v>
      </c>
      <c r="F1969" t="s">
        <v>35</v>
      </c>
      <c r="G1969">
        <v>3</v>
      </c>
      <c r="H1969">
        <v>10</v>
      </c>
      <c r="I1969" s="13">
        <v>45588</v>
      </c>
      <c r="J1969" s="13" t="str">
        <f>TEXT(Table1[[#This Row],[Date]],"[$-en-US]mmm yyyy")</f>
        <v>Oct 2024</v>
      </c>
      <c r="K1969" s="13" t="str">
        <f>TEXT(Table1[[#This Row],[Date]],"[$-en-US]ddd")</f>
        <v>Wed</v>
      </c>
    </row>
    <row r="1970" spans="1:11" x14ac:dyDescent="0.25">
      <c r="A1970">
        <v>12</v>
      </c>
      <c r="B1970" t="s">
        <v>9</v>
      </c>
      <c r="C1970">
        <v>30.86</v>
      </c>
      <c r="D1970" t="s">
        <v>17</v>
      </c>
      <c r="E1970" t="s">
        <v>15</v>
      </c>
      <c r="F1970" t="s">
        <v>35</v>
      </c>
      <c r="G1970">
        <v>3</v>
      </c>
      <c r="H1970">
        <v>10</v>
      </c>
      <c r="I1970" s="13">
        <v>45588</v>
      </c>
      <c r="J1970" s="13" t="str">
        <f>TEXT(Table1[[#This Row],[Date]],"[$-en-US]mmm yyyy")</f>
        <v>Oct 2024</v>
      </c>
      <c r="K1970" s="13" t="str">
        <f>TEXT(Table1[[#This Row],[Date]],"[$-en-US]ddd")</f>
        <v>Wed</v>
      </c>
    </row>
    <row r="1971" spans="1:11" x14ac:dyDescent="0.25">
      <c r="A1971">
        <v>16</v>
      </c>
      <c r="B1971" t="s">
        <v>9</v>
      </c>
      <c r="C1971">
        <v>30.86</v>
      </c>
      <c r="D1971" t="s">
        <v>17</v>
      </c>
      <c r="E1971" t="s">
        <v>15</v>
      </c>
      <c r="F1971" t="s">
        <v>35</v>
      </c>
      <c r="G1971">
        <v>3</v>
      </c>
      <c r="H1971">
        <v>10</v>
      </c>
      <c r="I1971" s="13">
        <v>45588</v>
      </c>
      <c r="J1971" s="13" t="str">
        <f>TEXT(Table1[[#This Row],[Date]],"[$-en-US]mmm yyyy")</f>
        <v>Oct 2024</v>
      </c>
      <c r="K1971" s="13" t="str">
        <f>TEXT(Table1[[#This Row],[Date]],"[$-en-US]ddd")</f>
        <v>Wed</v>
      </c>
    </row>
    <row r="1972" spans="1:11" x14ac:dyDescent="0.25">
      <c r="A1972">
        <v>16</v>
      </c>
      <c r="B1972" t="s">
        <v>9</v>
      </c>
      <c r="C1972">
        <v>30.86</v>
      </c>
      <c r="D1972" t="s">
        <v>17</v>
      </c>
      <c r="E1972" t="s">
        <v>15</v>
      </c>
      <c r="F1972" t="s">
        <v>35</v>
      </c>
      <c r="G1972">
        <v>3</v>
      </c>
      <c r="H1972">
        <v>10</v>
      </c>
      <c r="I1972" s="13">
        <v>45588</v>
      </c>
      <c r="J1972" s="13" t="str">
        <f>TEXT(Table1[[#This Row],[Date]],"[$-en-US]mmm yyyy")</f>
        <v>Oct 2024</v>
      </c>
      <c r="K1972" s="13" t="str">
        <f>TEXT(Table1[[#This Row],[Date]],"[$-en-US]ddd")</f>
        <v>Wed</v>
      </c>
    </row>
    <row r="1973" spans="1:11" x14ac:dyDescent="0.25">
      <c r="A1973">
        <v>16</v>
      </c>
      <c r="B1973" t="s">
        <v>9</v>
      </c>
      <c r="C1973">
        <v>35.76</v>
      </c>
      <c r="D1973" t="s">
        <v>27</v>
      </c>
      <c r="E1973" t="s">
        <v>15</v>
      </c>
      <c r="F1973" t="s">
        <v>35</v>
      </c>
      <c r="G1973">
        <v>3</v>
      </c>
      <c r="H1973">
        <v>10</v>
      </c>
      <c r="I1973" s="13">
        <v>45588</v>
      </c>
      <c r="J1973" s="13" t="str">
        <f>TEXT(Table1[[#This Row],[Date]],"[$-en-US]mmm yyyy")</f>
        <v>Oct 2024</v>
      </c>
      <c r="K1973" s="13" t="str">
        <f>TEXT(Table1[[#This Row],[Date]],"[$-en-US]ddd")</f>
        <v>Wed</v>
      </c>
    </row>
    <row r="1974" spans="1:11" x14ac:dyDescent="0.25">
      <c r="A1974">
        <v>17</v>
      </c>
      <c r="B1974" t="s">
        <v>9</v>
      </c>
      <c r="C1974">
        <v>21.06</v>
      </c>
      <c r="D1974" t="s">
        <v>24</v>
      </c>
      <c r="E1974" t="s">
        <v>18</v>
      </c>
      <c r="F1974" t="s">
        <v>35</v>
      </c>
      <c r="G1974">
        <v>3</v>
      </c>
      <c r="H1974">
        <v>10</v>
      </c>
      <c r="I1974" s="13">
        <v>45588</v>
      </c>
      <c r="J1974" s="13" t="str">
        <f>TEXT(Table1[[#This Row],[Date]],"[$-en-US]mmm yyyy")</f>
        <v>Oct 2024</v>
      </c>
      <c r="K1974" s="13" t="str">
        <f>TEXT(Table1[[#This Row],[Date]],"[$-en-US]ddd")</f>
        <v>Wed</v>
      </c>
    </row>
    <row r="1975" spans="1:11" x14ac:dyDescent="0.25">
      <c r="A1975">
        <v>18</v>
      </c>
      <c r="B1975" t="s">
        <v>9</v>
      </c>
      <c r="C1975">
        <v>35.76</v>
      </c>
      <c r="D1975" t="s">
        <v>19</v>
      </c>
      <c r="E1975" t="s">
        <v>18</v>
      </c>
      <c r="F1975" t="s">
        <v>35</v>
      </c>
      <c r="G1975">
        <v>3</v>
      </c>
      <c r="H1975">
        <v>10</v>
      </c>
      <c r="I1975" s="13">
        <v>45588</v>
      </c>
      <c r="J1975" s="13" t="str">
        <f>TEXT(Table1[[#This Row],[Date]],"[$-en-US]mmm yyyy")</f>
        <v>Oct 2024</v>
      </c>
      <c r="K1975" s="13" t="str">
        <f>TEXT(Table1[[#This Row],[Date]],"[$-en-US]ddd")</f>
        <v>Wed</v>
      </c>
    </row>
    <row r="1976" spans="1:11" x14ac:dyDescent="0.25">
      <c r="A1976">
        <v>19</v>
      </c>
      <c r="B1976" t="s">
        <v>9</v>
      </c>
      <c r="C1976">
        <v>35.76</v>
      </c>
      <c r="D1976" t="s">
        <v>27</v>
      </c>
      <c r="E1976" t="s">
        <v>18</v>
      </c>
      <c r="F1976" t="s">
        <v>35</v>
      </c>
      <c r="G1976">
        <v>3</v>
      </c>
      <c r="H1976">
        <v>10</v>
      </c>
      <c r="I1976" s="13">
        <v>45588</v>
      </c>
      <c r="J1976" s="13" t="str">
        <f>TEXT(Table1[[#This Row],[Date]],"[$-en-US]mmm yyyy")</f>
        <v>Oct 2024</v>
      </c>
      <c r="K1976" s="13" t="str">
        <f>TEXT(Table1[[#This Row],[Date]],"[$-en-US]ddd")</f>
        <v>Wed</v>
      </c>
    </row>
    <row r="1977" spans="1:11" x14ac:dyDescent="0.25">
      <c r="A1977">
        <v>21</v>
      </c>
      <c r="B1977" t="s">
        <v>9</v>
      </c>
      <c r="C1977">
        <v>30.86</v>
      </c>
      <c r="D1977" t="s">
        <v>17</v>
      </c>
      <c r="E1977" t="s">
        <v>18</v>
      </c>
      <c r="F1977" t="s">
        <v>35</v>
      </c>
      <c r="G1977">
        <v>3</v>
      </c>
      <c r="H1977">
        <v>10</v>
      </c>
      <c r="I1977" s="13">
        <v>45588</v>
      </c>
      <c r="J1977" s="13" t="str">
        <f>TEXT(Table1[[#This Row],[Date]],"[$-en-US]mmm yyyy")</f>
        <v>Oct 2024</v>
      </c>
      <c r="K1977" s="13" t="str">
        <f>TEXT(Table1[[#This Row],[Date]],"[$-en-US]ddd")</f>
        <v>Wed</v>
      </c>
    </row>
    <row r="1978" spans="1:11" x14ac:dyDescent="0.25">
      <c r="A1978">
        <v>21</v>
      </c>
      <c r="B1978" t="s">
        <v>9</v>
      </c>
      <c r="C1978">
        <v>35.76</v>
      </c>
      <c r="D1978" t="s">
        <v>14</v>
      </c>
      <c r="E1978" t="s">
        <v>18</v>
      </c>
      <c r="F1978" t="s">
        <v>35</v>
      </c>
      <c r="G1978">
        <v>3</v>
      </c>
      <c r="H1978">
        <v>10</v>
      </c>
      <c r="I1978" s="13">
        <v>45588</v>
      </c>
      <c r="J1978" s="13" t="str">
        <f>TEXT(Table1[[#This Row],[Date]],"[$-en-US]mmm yyyy")</f>
        <v>Oct 2024</v>
      </c>
      <c r="K1978" s="13" t="str">
        <f>TEXT(Table1[[#This Row],[Date]],"[$-en-US]ddd")</f>
        <v>Wed</v>
      </c>
    </row>
    <row r="1979" spans="1:11" x14ac:dyDescent="0.25">
      <c r="A1979">
        <v>22</v>
      </c>
      <c r="B1979" t="s">
        <v>9</v>
      </c>
      <c r="C1979">
        <v>35.76</v>
      </c>
      <c r="D1979" t="s">
        <v>10</v>
      </c>
      <c r="E1979" t="s">
        <v>18</v>
      </c>
      <c r="F1979" t="s">
        <v>35</v>
      </c>
      <c r="G1979">
        <v>3</v>
      </c>
      <c r="H1979">
        <v>10</v>
      </c>
      <c r="I1979" s="13">
        <v>45588</v>
      </c>
      <c r="J1979" s="13" t="str">
        <f>TEXT(Table1[[#This Row],[Date]],"[$-en-US]mmm yyyy")</f>
        <v>Oct 2024</v>
      </c>
      <c r="K1979" s="13" t="str">
        <f>TEXT(Table1[[#This Row],[Date]],"[$-en-US]ddd")</f>
        <v>Wed</v>
      </c>
    </row>
    <row r="1980" spans="1:11" x14ac:dyDescent="0.25">
      <c r="A1980">
        <v>12</v>
      </c>
      <c r="B1980" t="s">
        <v>9</v>
      </c>
      <c r="C1980">
        <v>25.96</v>
      </c>
      <c r="D1980" t="s">
        <v>16</v>
      </c>
      <c r="E1980" t="s">
        <v>15</v>
      </c>
      <c r="F1980" t="s">
        <v>35</v>
      </c>
      <c r="G1980">
        <v>4</v>
      </c>
      <c r="H1980">
        <v>10</v>
      </c>
      <c r="I1980" s="13">
        <v>45589</v>
      </c>
      <c r="J1980" s="13" t="str">
        <f>TEXT(Table1[[#This Row],[Date]],"[$-en-US]mmm yyyy")</f>
        <v>Oct 2024</v>
      </c>
      <c r="K1980" s="13" t="str">
        <f>TEXT(Table1[[#This Row],[Date]],"[$-en-US]ddd")</f>
        <v>Thu</v>
      </c>
    </row>
    <row r="1981" spans="1:11" x14ac:dyDescent="0.25">
      <c r="A1981">
        <v>13</v>
      </c>
      <c r="B1981" t="s">
        <v>9</v>
      </c>
      <c r="C1981">
        <v>35.76</v>
      </c>
      <c r="D1981" t="s">
        <v>27</v>
      </c>
      <c r="E1981" t="s">
        <v>15</v>
      </c>
      <c r="F1981" t="s">
        <v>35</v>
      </c>
      <c r="G1981">
        <v>4</v>
      </c>
      <c r="H1981">
        <v>10</v>
      </c>
      <c r="I1981" s="13">
        <v>45589</v>
      </c>
      <c r="J1981" s="13" t="str">
        <f>TEXT(Table1[[#This Row],[Date]],"[$-en-US]mmm yyyy")</f>
        <v>Oct 2024</v>
      </c>
      <c r="K1981" s="13" t="str">
        <f>TEXT(Table1[[#This Row],[Date]],"[$-en-US]ddd")</f>
        <v>Thu</v>
      </c>
    </row>
    <row r="1982" spans="1:11" x14ac:dyDescent="0.25">
      <c r="A1982">
        <v>14</v>
      </c>
      <c r="B1982" t="s">
        <v>9</v>
      </c>
      <c r="C1982">
        <v>35.76</v>
      </c>
      <c r="D1982" t="s">
        <v>27</v>
      </c>
      <c r="E1982" t="s">
        <v>15</v>
      </c>
      <c r="F1982" t="s">
        <v>35</v>
      </c>
      <c r="G1982">
        <v>4</v>
      </c>
      <c r="H1982">
        <v>10</v>
      </c>
      <c r="I1982" s="13">
        <v>45589</v>
      </c>
      <c r="J1982" s="13" t="str">
        <f>TEXT(Table1[[#This Row],[Date]],"[$-en-US]mmm yyyy")</f>
        <v>Oct 2024</v>
      </c>
      <c r="K1982" s="13" t="str">
        <f>TEXT(Table1[[#This Row],[Date]],"[$-en-US]ddd")</f>
        <v>Thu</v>
      </c>
    </row>
    <row r="1983" spans="1:11" x14ac:dyDescent="0.25">
      <c r="A1983">
        <v>14</v>
      </c>
      <c r="B1983" t="s">
        <v>9</v>
      </c>
      <c r="C1983">
        <v>35.76</v>
      </c>
      <c r="D1983" t="s">
        <v>14</v>
      </c>
      <c r="E1983" t="s">
        <v>15</v>
      </c>
      <c r="F1983" t="s">
        <v>35</v>
      </c>
      <c r="G1983">
        <v>4</v>
      </c>
      <c r="H1983">
        <v>10</v>
      </c>
      <c r="I1983" s="13">
        <v>45589</v>
      </c>
      <c r="J1983" s="13" t="str">
        <f>TEXT(Table1[[#This Row],[Date]],"[$-en-US]mmm yyyy")</f>
        <v>Oct 2024</v>
      </c>
      <c r="K1983" s="13" t="str">
        <f>TEXT(Table1[[#This Row],[Date]],"[$-en-US]ddd")</f>
        <v>Thu</v>
      </c>
    </row>
    <row r="1984" spans="1:11" x14ac:dyDescent="0.25">
      <c r="A1984">
        <v>14</v>
      </c>
      <c r="B1984" t="s">
        <v>9</v>
      </c>
      <c r="C1984">
        <v>35.76</v>
      </c>
      <c r="D1984" t="s">
        <v>10</v>
      </c>
      <c r="E1984" t="s">
        <v>15</v>
      </c>
      <c r="F1984" t="s">
        <v>35</v>
      </c>
      <c r="G1984">
        <v>4</v>
      </c>
      <c r="H1984">
        <v>10</v>
      </c>
      <c r="I1984" s="13">
        <v>45589</v>
      </c>
      <c r="J1984" s="13" t="str">
        <f>TEXT(Table1[[#This Row],[Date]],"[$-en-US]mmm yyyy")</f>
        <v>Oct 2024</v>
      </c>
      <c r="K1984" s="13" t="str">
        <f>TEXT(Table1[[#This Row],[Date]],"[$-en-US]ddd")</f>
        <v>Thu</v>
      </c>
    </row>
    <row r="1985" spans="1:11" x14ac:dyDescent="0.25">
      <c r="A1985">
        <v>15</v>
      </c>
      <c r="B1985" t="s">
        <v>9</v>
      </c>
      <c r="C1985">
        <v>35.76</v>
      </c>
      <c r="D1985" t="s">
        <v>10</v>
      </c>
      <c r="E1985" t="s">
        <v>15</v>
      </c>
      <c r="F1985" t="s">
        <v>35</v>
      </c>
      <c r="G1985">
        <v>4</v>
      </c>
      <c r="H1985">
        <v>10</v>
      </c>
      <c r="I1985" s="13">
        <v>45589</v>
      </c>
      <c r="J1985" s="13" t="str">
        <f>TEXT(Table1[[#This Row],[Date]],"[$-en-US]mmm yyyy")</f>
        <v>Oct 2024</v>
      </c>
      <c r="K1985" s="13" t="str">
        <f>TEXT(Table1[[#This Row],[Date]],"[$-en-US]ddd")</f>
        <v>Thu</v>
      </c>
    </row>
    <row r="1986" spans="1:11" x14ac:dyDescent="0.25">
      <c r="A1986">
        <v>15</v>
      </c>
      <c r="B1986" t="s">
        <v>9</v>
      </c>
      <c r="C1986">
        <v>35.76</v>
      </c>
      <c r="D1986" t="s">
        <v>10</v>
      </c>
      <c r="E1986" t="s">
        <v>15</v>
      </c>
      <c r="F1986" t="s">
        <v>35</v>
      </c>
      <c r="G1986">
        <v>4</v>
      </c>
      <c r="H1986">
        <v>10</v>
      </c>
      <c r="I1986" s="13">
        <v>45589</v>
      </c>
      <c r="J1986" s="13" t="str">
        <f>TEXT(Table1[[#This Row],[Date]],"[$-en-US]mmm yyyy")</f>
        <v>Oct 2024</v>
      </c>
      <c r="K1986" s="13" t="str">
        <f>TEXT(Table1[[#This Row],[Date]],"[$-en-US]ddd")</f>
        <v>Thu</v>
      </c>
    </row>
    <row r="1987" spans="1:11" x14ac:dyDescent="0.25">
      <c r="A1987">
        <v>18</v>
      </c>
      <c r="B1987" t="s">
        <v>9</v>
      </c>
      <c r="C1987">
        <v>25.96</v>
      </c>
      <c r="D1987" t="s">
        <v>16</v>
      </c>
      <c r="E1987" t="s">
        <v>18</v>
      </c>
      <c r="F1987" t="s">
        <v>35</v>
      </c>
      <c r="G1987">
        <v>4</v>
      </c>
      <c r="H1987">
        <v>10</v>
      </c>
      <c r="I1987" s="13">
        <v>45589</v>
      </c>
      <c r="J1987" s="13" t="str">
        <f>TEXT(Table1[[#This Row],[Date]],"[$-en-US]mmm yyyy")</f>
        <v>Oct 2024</v>
      </c>
      <c r="K1987" s="13" t="str">
        <f>TEXT(Table1[[#This Row],[Date]],"[$-en-US]ddd")</f>
        <v>Thu</v>
      </c>
    </row>
    <row r="1988" spans="1:11" x14ac:dyDescent="0.25">
      <c r="A1988">
        <v>18</v>
      </c>
      <c r="B1988" t="s">
        <v>9</v>
      </c>
      <c r="C1988">
        <v>25.96</v>
      </c>
      <c r="D1988" t="s">
        <v>16</v>
      </c>
      <c r="E1988" t="s">
        <v>18</v>
      </c>
      <c r="F1988" t="s">
        <v>35</v>
      </c>
      <c r="G1988">
        <v>4</v>
      </c>
      <c r="H1988">
        <v>10</v>
      </c>
      <c r="I1988" s="13">
        <v>45589</v>
      </c>
      <c r="J1988" s="13" t="str">
        <f>TEXT(Table1[[#This Row],[Date]],"[$-en-US]mmm yyyy")</f>
        <v>Oct 2024</v>
      </c>
      <c r="K1988" s="13" t="str">
        <f>TEXT(Table1[[#This Row],[Date]],"[$-en-US]ddd")</f>
        <v>Thu</v>
      </c>
    </row>
    <row r="1989" spans="1:11" x14ac:dyDescent="0.25">
      <c r="A1989">
        <v>19</v>
      </c>
      <c r="B1989" t="s">
        <v>9</v>
      </c>
      <c r="C1989">
        <v>35.76</v>
      </c>
      <c r="D1989" t="s">
        <v>10</v>
      </c>
      <c r="E1989" t="s">
        <v>18</v>
      </c>
      <c r="F1989" t="s">
        <v>35</v>
      </c>
      <c r="G1989">
        <v>4</v>
      </c>
      <c r="H1989">
        <v>10</v>
      </c>
      <c r="I1989" s="13">
        <v>45589</v>
      </c>
      <c r="J1989" s="13" t="str">
        <f>TEXT(Table1[[#This Row],[Date]],"[$-en-US]mmm yyyy")</f>
        <v>Oct 2024</v>
      </c>
      <c r="K1989" s="13" t="str">
        <f>TEXT(Table1[[#This Row],[Date]],"[$-en-US]ddd")</f>
        <v>Thu</v>
      </c>
    </row>
    <row r="1990" spans="1:11" x14ac:dyDescent="0.25">
      <c r="A1990">
        <v>20</v>
      </c>
      <c r="B1990" t="s">
        <v>9</v>
      </c>
      <c r="C1990">
        <v>25.96</v>
      </c>
      <c r="D1990" t="s">
        <v>16</v>
      </c>
      <c r="E1990" t="s">
        <v>18</v>
      </c>
      <c r="F1990" t="s">
        <v>35</v>
      </c>
      <c r="G1990">
        <v>4</v>
      </c>
      <c r="H1990">
        <v>10</v>
      </c>
      <c r="I1990" s="13">
        <v>45589</v>
      </c>
      <c r="J1990" s="13" t="str">
        <f>TEXT(Table1[[#This Row],[Date]],"[$-en-US]mmm yyyy")</f>
        <v>Oct 2024</v>
      </c>
      <c r="K1990" s="13" t="str">
        <f>TEXT(Table1[[#This Row],[Date]],"[$-en-US]ddd")</f>
        <v>Thu</v>
      </c>
    </row>
    <row r="1991" spans="1:11" x14ac:dyDescent="0.25">
      <c r="A1991">
        <v>21</v>
      </c>
      <c r="B1991" t="s">
        <v>9</v>
      </c>
      <c r="C1991">
        <v>35.76</v>
      </c>
      <c r="D1991" t="s">
        <v>14</v>
      </c>
      <c r="E1991" t="s">
        <v>18</v>
      </c>
      <c r="F1991" t="s">
        <v>35</v>
      </c>
      <c r="G1991">
        <v>4</v>
      </c>
      <c r="H1991">
        <v>10</v>
      </c>
      <c r="I1991" s="13">
        <v>45589</v>
      </c>
      <c r="J1991" s="13" t="str">
        <f>TEXT(Table1[[#This Row],[Date]],"[$-en-US]mmm yyyy")</f>
        <v>Oct 2024</v>
      </c>
      <c r="K1991" s="13" t="str">
        <f>TEXT(Table1[[#This Row],[Date]],"[$-en-US]ddd")</f>
        <v>Thu</v>
      </c>
    </row>
    <row r="1992" spans="1:11" x14ac:dyDescent="0.25">
      <c r="A1992">
        <v>21</v>
      </c>
      <c r="B1992" t="s">
        <v>9</v>
      </c>
      <c r="C1992">
        <v>35.76</v>
      </c>
      <c r="D1992" t="s">
        <v>14</v>
      </c>
      <c r="E1992" t="s">
        <v>18</v>
      </c>
      <c r="F1992" t="s">
        <v>35</v>
      </c>
      <c r="G1992">
        <v>4</v>
      </c>
      <c r="H1992">
        <v>10</v>
      </c>
      <c r="I1992" s="13">
        <v>45589</v>
      </c>
      <c r="J1992" s="13" t="str">
        <f>TEXT(Table1[[#This Row],[Date]],"[$-en-US]mmm yyyy")</f>
        <v>Oct 2024</v>
      </c>
      <c r="K1992" s="13" t="str">
        <f>TEXT(Table1[[#This Row],[Date]],"[$-en-US]ddd")</f>
        <v>Thu</v>
      </c>
    </row>
    <row r="1993" spans="1:11" x14ac:dyDescent="0.25">
      <c r="A1993">
        <v>21</v>
      </c>
      <c r="B1993" t="s">
        <v>9</v>
      </c>
      <c r="C1993">
        <v>35.76</v>
      </c>
      <c r="D1993" t="s">
        <v>14</v>
      </c>
      <c r="E1993" t="s">
        <v>18</v>
      </c>
      <c r="F1993" t="s">
        <v>35</v>
      </c>
      <c r="G1993">
        <v>4</v>
      </c>
      <c r="H1993">
        <v>10</v>
      </c>
      <c r="I1993" s="13">
        <v>45589</v>
      </c>
      <c r="J1993" s="13" t="str">
        <f>TEXT(Table1[[#This Row],[Date]],"[$-en-US]mmm yyyy")</f>
        <v>Oct 2024</v>
      </c>
      <c r="K1993" s="13" t="str">
        <f>TEXT(Table1[[#This Row],[Date]],"[$-en-US]ddd")</f>
        <v>Thu</v>
      </c>
    </row>
    <row r="1994" spans="1:11" x14ac:dyDescent="0.25">
      <c r="A1994">
        <v>21</v>
      </c>
      <c r="B1994" t="s">
        <v>9</v>
      </c>
      <c r="C1994">
        <v>35.76</v>
      </c>
      <c r="D1994" t="s">
        <v>27</v>
      </c>
      <c r="E1994" t="s">
        <v>18</v>
      </c>
      <c r="F1994" t="s">
        <v>35</v>
      </c>
      <c r="G1994">
        <v>4</v>
      </c>
      <c r="H1994">
        <v>10</v>
      </c>
      <c r="I1994" s="13">
        <v>45589</v>
      </c>
      <c r="J1994" s="13" t="str">
        <f>TEXT(Table1[[#This Row],[Date]],"[$-en-US]mmm yyyy")</f>
        <v>Oct 2024</v>
      </c>
      <c r="K1994" s="13" t="str">
        <f>TEXT(Table1[[#This Row],[Date]],"[$-en-US]ddd")</f>
        <v>Thu</v>
      </c>
    </row>
    <row r="1995" spans="1:11" x14ac:dyDescent="0.25">
      <c r="A1995">
        <v>7</v>
      </c>
      <c r="B1995" t="s">
        <v>9</v>
      </c>
      <c r="C1995">
        <v>35.76</v>
      </c>
      <c r="D1995" t="s">
        <v>27</v>
      </c>
      <c r="E1995" t="s">
        <v>11</v>
      </c>
      <c r="F1995" t="s">
        <v>35</v>
      </c>
      <c r="G1995">
        <v>5</v>
      </c>
      <c r="H1995">
        <v>10</v>
      </c>
      <c r="I1995" s="13">
        <v>45590</v>
      </c>
      <c r="J1995" s="13" t="str">
        <f>TEXT(Table1[[#This Row],[Date]],"[$-en-US]mmm yyyy")</f>
        <v>Oct 2024</v>
      </c>
      <c r="K1995" s="13" t="str">
        <f>TEXT(Table1[[#This Row],[Date]],"[$-en-US]ddd")</f>
        <v>Fri</v>
      </c>
    </row>
    <row r="1996" spans="1:11" x14ac:dyDescent="0.25">
      <c r="A1996">
        <v>7</v>
      </c>
      <c r="B1996" t="s">
        <v>9</v>
      </c>
      <c r="C1996">
        <v>21.06</v>
      </c>
      <c r="D1996" t="s">
        <v>24</v>
      </c>
      <c r="E1996" t="s">
        <v>11</v>
      </c>
      <c r="F1996" t="s">
        <v>35</v>
      </c>
      <c r="G1996">
        <v>5</v>
      </c>
      <c r="H1996">
        <v>10</v>
      </c>
      <c r="I1996" s="13">
        <v>45590</v>
      </c>
      <c r="J1996" s="13" t="str">
        <f>TEXT(Table1[[#This Row],[Date]],"[$-en-US]mmm yyyy")</f>
        <v>Oct 2024</v>
      </c>
      <c r="K1996" s="13" t="str">
        <f>TEXT(Table1[[#This Row],[Date]],"[$-en-US]ddd")</f>
        <v>Fri</v>
      </c>
    </row>
    <row r="1997" spans="1:11" x14ac:dyDescent="0.25">
      <c r="A1997">
        <v>8</v>
      </c>
      <c r="B1997" t="s">
        <v>9</v>
      </c>
      <c r="C1997">
        <v>35.76</v>
      </c>
      <c r="D1997" t="s">
        <v>19</v>
      </c>
      <c r="E1997" t="s">
        <v>11</v>
      </c>
      <c r="F1997" t="s">
        <v>35</v>
      </c>
      <c r="G1997">
        <v>5</v>
      </c>
      <c r="H1997">
        <v>10</v>
      </c>
      <c r="I1997" s="13">
        <v>45590</v>
      </c>
      <c r="J1997" s="13" t="str">
        <f>TEXT(Table1[[#This Row],[Date]],"[$-en-US]mmm yyyy")</f>
        <v>Oct 2024</v>
      </c>
      <c r="K1997" s="13" t="str">
        <f>TEXT(Table1[[#This Row],[Date]],"[$-en-US]ddd")</f>
        <v>Fri</v>
      </c>
    </row>
    <row r="1998" spans="1:11" x14ac:dyDescent="0.25">
      <c r="A1998">
        <v>8</v>
      </c>
      <c r="B1998" t="s">
        <v>9</v>
      </c>
      <c r="C1998">
        <v>35.76</v>
      </c>
      <c r="D1998" t="s">
        <v>10</v>
      </c>
      <c r="E1998" t="s">
        <v>11</v>
      </c>
      <c r="F1998" t="s">
        <v>35</v>
      </c>
      <c r="G1998">
        <v>5</v>
      </c>
      <c r="H1998">
        <v>10</v>
      </c>
      <c r="I1998" s="13">
        <v>45590</v>
      </c>
      <c r="J1998" s="13" t="str">
        <f>TEXT(Table1[[#This Row],[Date]],"[$-en-US]mmm yyyy")</f>
        <v>Oct 2024</v>
      </c>
      <c r="K1998" s="13" t="str">
        <f>TEXT(Table1[[#This Row],[Date]],"[$-en-US]ddd")</f>
        <v>Fri</v>
      </c>
    </row>
    <row r="1999" spans="1:11" x14ac:dyDescent="0.25">
      <c r="A1999">
        <v>8</v>
      </c>
      <c r="B1999" t="s">
        <v>9</v>
      </c>
      <c r="C1999">
        <v>35.76</v>
      </c>
      <c r="D1999" t="s">
        <v>19</v>
      </c>
      <c r="E1999" t="s">
        <v>11</v>
      </c>
      <c r="F1999" t="s">
        <v>35</v>
      </c>
      <c r="G1999">
        <v>5</v>
      </c>
      <c r="H1999">
        <v>10</v>
      </c>
      <c r="I1999" s="13">
        <v>45590</v>
      </c>
      <c r="J1999" s="13" t="str">
        <f>TEXT(Table1[[#This Row],[Date]],"[$-en-US]mmm yyyy")</f>
        <v>Oct 2024</v>
      </c>
      <c r="K1999" s="13" t="str">
        <f>TEXT(Table1[[#This Row],[Date]],"[$-en-US]ddd")</f>
        <v>Fri</v>
      </c>
    </row>
    <row r="2000" spans="1:11" x14ac:dyDescent="0.25">
      <c r="A2000">
        <v>10</v>
      </c>
      <c r="B2000" t="s">
        <v>9</v>
      </c>
      <c r="C2000">
        <v>25.96</v>
      </c>
      <c r="D2000" t="s">
        <v>16</v>
      </c>
      <c r="E2000" t="s">
        <v>11</v>
      </c>
      <c r="F2000" t="s">
        <v>35</v>
      </c>
      <c r="G2000">
        <v>5</v>
      </c>
      <c r="H2000">
        <v>10</v>
      </c>
      <c r="I2000" s="13">
        <v>45590</v>
      </c>
      <c r="J2000" s="13" t="str">
        <f>TEXT(Table1[[#This Row],[Date]],"[$-en-US]mmm yyyy")</f>
        <v>Oct 2024</v>
      </c>
      <c r="K2000" s="13" t="str">
        <f>TEXT(Table1[[#This Row],[Date]],"[$-en-US]ddd")</f>
        <v>Fri</v>
      </c>
    </row>
    <row r="2001" spans="1:11" x14ac:dyDescent="0.25">
      <c r="A2001">
        <v>10</v>
      </c>
      <c r="B2001" t="s">
        <v>9</v>
      </c>
      <c r="C2001">
        <v>25.96</v>
      </c>
      <c r="D2001" t="s">
        <v>16</v>
      </c>
      <c r="E2001" t="s">
        <v>11</v>
      </c>
      <c r="F2001" t="s">
        <v>35</v>
      </c>
      <c r="G2001">
        <v>5</v>
      </c>
      <c r="H2001">
        <v>10</v>
      </c>
      <c r="I2001" s="13">
        <v>45590</v>
      </c>
      <c r="J2001" s="13" t="str">
        <f>TEXT(Table1[[#This Row],[Date]],"[$-en-US]mmm yyyy")</f>
        <v>Oct 2024</v>
      </c>
      <c r="K2001" s="13" t="str">
        <f>TEXT(Table1[[#This Row],[Date]],"[$-en-US]ddd")</f>
        <v>Fri</v>
      </c>
    </row>
    <row r="2002" spans="1:11" x14ac:dyDescent="0.25">
      <c r="A2002">
        <v>10</v>
      </c>
      <c r="B2002" t="s">
        <v>9</v>
      </c>
      <c r="C2002">
        <v>30.86</v>
      </c>
      <c r="D2002" t="s">
        <v>17</v>
      </c>
      <c r="E2002" t="s">
        <v>11</v>
      </c>
      <c r="F2002" t="s">
        <v>35</v>
      </c>
      <c r="G2002">
        <v>5</v>
      </c>
      <c r="H2002">
        <v>10</v>
      </c>
      <c r="I2002" s="13">
        <v>45590</v>
      </c>
      <c r="J2002" s="13" t="str">
        <f>TEXT(Table1[[#This Row],[Date]],"[$-en-US]mmm yyyy")</f>
        <v>Oct 2024</v>
      </c>
      <c r="K2002" s="13" t="str">
        <f>TEXT(Table1[[#This Row],[Date]],"[$-en-US]ddd")</f>
        <v>Fri</v>
      </c>
    </row>
    <row r="2003" spans="1:11" x14ac:dyDescent="0.25">
      <c r="A2003">
        <v>11</v>
      </c>
      <c r="B2003" t="s">
        <v>9</v>
      </c>
      <c r="C2003">
        <v>35.76</v>
      </c>
      <c r="D2003" t="s">
        <v>19</v>
      </c>
      <c r="E2003" t="s">
        <v>11</v>
      </c>
      <c r="F2003" t="s">
        <v>35</v>
      </c>
      <c r="G2003">
        <v>5</v>
      </c>
      <c r="H2003">
        <v>10</v>
      </c>
      <c r="I2003" s="13">
        <v>45590</v>
      </c>
      <c r="J2003" s="13" t="str">
        <f>TEXT(Table1[[#This Row],[Date]],"[$-en-US]mmm yyyy")</f>
        <v>Oct 2024</v>
      </c>
      <c r="K2003" s="13" t="str">
        <f>TEXT(Table1[[#This Row],[Date]],"[$-en-US]ddd")</f>
        <v>Fri</v>
      </c>
    </row>
    <row r="2004" spans="1:11" x14ac:dyDescent="0.25">
      <c r="A2004">
        <v>11</v>
      </c>
      <c r="B2004" t="s">
        <v>9</v>
      </c>
      <c r="C2004">
        <v>35.76</v>
      </c>
      <c r="D2004" t="s">
        <v>19</v>
      </c>
      <c r="E2004" t="s">
        <v>11</v>
      </c>
      <c r="F2004" t="s">
        <v>35</v>
      </c>
      <c r="G2004">
        <v>5</v>
      </c>
      <c r="H2004">
        <v>10</v>
      </c>
      <c r="I2004" s="13">
        <v>45590</v>
      </c>
      <c r="J2004" s="13" t="str">
        <f>TEXT(Table1[[#This Row],[Date]],"[$-en-US]mmm yyyy")</f>
        <v>Oct 2024</v>
      </c>
      <c r="K2004" s="13" t="str">
        <f>TEXT(Table1[[#This Row],[Date]],"[$-en-US]ddd")</f>
        <v>Fri</v>
      </c>
    </row>
    <row r="2005" spans="1:11" x14ac:dyDescent="0.25">
      <c r="A2005">
        <v>12</v>
      </c>
      <c r="B2005" t="s">
        <v>9</v>
      </c>
      <c r="C2005">
        <v>25.96</v>
      </c>
      <c r="D2005" t="s">
        <v>22</v>
      </c>
      <c r="E2005" t="s">
        <v>15</v>
      </c>
      <c r="F2005" t="s">
        <v>35</v>
      </c>
      <c r="G2005">
        <v>5</v>
      </c>
      <c r="H2005">
        <v>10</v>
      </c>
      <c r="I2005" s="13">
        <v>45590</v>
      </c>
      <c r="J2005" s="13" t="str">
        <f>TEXT(Table1[[#This Row],[Date]],"[$-en-US]mmm yyyy")</f>
        <v>Oct 2024</v>
      </c>
      <c r="K2005" s="13" t="str">
        <f>TEXT(Table1[[#This Row],[Date]],"[$-en-US]ddd")</f>
        <v>Fri</v>
      </c>
    </row>
    <row r="2006" spans="1:11" x14ac:dyDescent="0.25">
      <c r="A2006">
        <v>12</v>
      </c>
      <c r="B2006" t="s">
        <v>9</v>
      </c>
      <c r="C2006">
        <v>35.76</v>
      </c>
      <c r="D2006" t="s">
        <v>10</v>
      </c>
      <c r="E2006" t="s">
        <v>15</v>
      </c>
      <c r="F2006" t="s">
        <v>35</v>
      </c>
      <c r="G2006">
        <v>5</v>
      </c>
      <c r="H2006">
        <v>10</v>
      </c>
      <c r="I2006" s="13">
        <v>45590</v>
      </c>
      <c r="J2006" s="13" t="str">
        <f>TEXT(Table1[[#This Row],[Date]],"[$-en-US]mmm yyyy")</f>
        <v>Oct 2024</v>
      </c>
      <c r="K2006" s="13" t="str">
        <f>TEXT(Table1[[#This Row],[Date]],"[$-en-US]ddd")</f>
        <v>Fri</v>
      </c>
    </row>
    <row r="2007" spans="1:11" x14ac:dyDescent="0.25">
      <c r="A2007">
        <v>14</v>
      </c>
      <c r="B2007" t="s">
        <v>9</v>
      </c>
      <c r="C2007">
        <v>35.76</v>
      </c>
      <c r="D2007" t="s">
        <v>27</v>
      </c>
      <c r="E2007" t="s">
        <v>15</v>
      </c>
      <c r="F2007" t="s">
        <v>35</v>
      </c>
      <c r="G2007">
        <v>5</v>
      </c>
      <c r="H2007">
        <v>10</v>
      </c>
      <c r="I2007" s="13">
        <v>45590</v>
      </c>
      <c r="J2007" s="13" t="str">
        <f>TEXT(Table1[[#This Row],[Date]],"[$-en-US]mmm yyyy")</f>
        <v>Oct 2024</v>
      </c>
      <c r="K2007" s="13" t="str">
        <f>TEXT(Table1[[#This Row],[Date]],"[$-en-US]ddd")</f>
        <v>Fri</v>
      </c>
    </row>
    <row r="2008" spans="1:11" x14ac:dyDescent="0.25">
      <c r="A2008">
        <v>22</v>
      </c>
      <c r="B2008" t="s">
        <v>9</v>
      </c>
      <c r="C2008">
        <v>35.76</v>
      </c>
      <c r="D2008" t="s">
        <v>14</v>
      </c>
      <c r="E2008" t="s">
        <v>18</v>
      </c>
      <c r="F2008" t="s">
        <v>35</v>
      </c>
      <c r="G2008">
        <v>5</v>
      </c>
      <c r="H2008">
        <v>10</v>
      </c>
      <c r="I2008" s="13">
        <v>45590</v>
      </c>
      <c r="J2008" s="13" t="str">
        <f>TEXT(Table1[[#This Row],[Date]],"[$-en-US]mmm yyyy")</f>
        <v>Oct 2024</v>
      </c>
      <c r="K2008" s="13" t="str">
        <f>TEXT(Table1[[#This Row],[Date]],"[$-en-US]ddd")</f>
        <v>Fri</v>
      </c>
    </row>
    <row r="2009" spans="1:11" x14ac:dyDescent="0.25">
      <c r="A2009">
        <v>22</v>
      </c>
      <c r="B2009" t="s">
        <v>9</v>
      </c>
      <c r="C2009">
        <v>21.06</v>
      </c>
      <c r="D2009" t="s">
        <v>24</v>
      </c>
      <c r="E2009" t="s">
        <v>18</v>
      </c>
      <c r="F2009" t="s">
        <v>35</v>
      </c>
      <c r="G2009">
        <v>5</v>
      </c>
      <c r="H2009">
        <v>10</v>
      </c>
      <c r="I2009" s="13">
        <v>45590</v>
      </c>
      <c r="J2009" s="13" t="str">
        <f>TEXT(Table1[[#This Row],[Date]],"[$-en-US]mmm yyyy")</f>
        <v>Oct 2024</v>
      </c>
      <c r="K2009" s="13" t="str">
        <f>TEXT(Table1[[#This Row],[Date]],"[$-en-US]ddd")</f>
        <v>Fri</v>
      </c>
    </row>
    <row r="2010" spans="1:11" x14ac:dyDescent="0.25">
      <c r="A2010">
        <v>7</v>
      </c>
      <c r="B2010" t="s">
        <v>9</v>
      </c>
      <c r="C2010">
        <v>35.76</v>
      </c>
      <c r="D2010" t="s">
        <v>27</v>
      </c>
      <c r="E2010" t="s">
        <v>11</v>
      </c>
      <c r="F2010" t="s">
        <v>35</v>
      </c>
      <c r="G2010">
        <v>6</v>
      </c>
      <c r="H2010">
        <v>10</v>
      </c>
      <c r="I2010" s="13">
        <v>45591</v>
      </c>
      <c r="J2010" s="13" t="str">
        <f>TEXT(Table1[[#This Row],[Date]],"[$-en-US]mmm yyyy")</f>
        <v>Oct 2024</v>
      </c>
      <c r="K2010" s="13" t="str">
        <f>TEXT(Table1[[#This Row],[Date]],"[$-en-US]ddd")</f>
        <v>Sat</v>
      </c>
    </row>
    <row r="2011" spans="1:11" x14ac:dyDescent="0.25">
      <c r="A2011">
        <v>8</v>
      </c>
      <c r="B2011" t="s">
        <v>9</v>
      </c>
      <c r="C2011">
        <v>25.96</v>
      </c>
      <c r="D2011" t="s">
        <v>22</v>
      </c>
      <c r="E2011" t="s">
        <v>11</v>
      </c>
      <c r="F2011" t="s">
        <v>35</v>
      </c>
      <c r="G2011">
        <v>6</v>
      </c>
      <c r="H2011">
        <v>10</v>
      </c>
      <c r="I2011" s="13">
        <v>45591</v>
      </c>
      <c r="J2011" s="13" t="str">
        <f>TEXT(Table1[[#This Row],[Date]],"[$-en-US]mmm yyyy")</f>
        <v>Oct 2024</v>
      </c>
      <c r="K2011" s="13" t="str">
        <f>TEXT(Table1[[#This Row],[Date]],"[$-en-US]ddd")</f>
        <v>Sat</v>
      </c>
    </row>
    <row r="2012" spans="1:11" x14ac:dyDescent="0.25">
      <c r="A2012">
        <v>8</v>
      </c>
      <c r="B2012" t="s">
        <v>9</v>
      </c>
      <c r="C2012">
        <v>35.76</v>
      </c>
      <c r="D2012" t="s">
        <v>27</v>
      </c>
      <c r="E2012" t="s">
        <v>11</v>
      </c>
      <c r="F2012" t="s">
        <v>35</v>
      </c>
      <c r="G2012">
        <v>6</v>
      </c>
      <c r="H2012">
        <v>10</v>
      </c>
      <c r="I2012" s="13">
        <v>45591</v>
      </c>
      <c r="J2012" s="13" t="str">
        <f>TEXT(Table1[[#This Row],[Date]],"[$-en-US]mmm yyyy")</f>
        <v>Oct 2024</v>
      </c>
      <c r="K2012" s="13" t="str">
        <f>TEXT(Table1[[#This Row],[Date]],"[$-en-US]ddd")</f>
        <v>Sat</v>
      </c>
    </row>
    <row r="2013" spans="1:11" x14ac:dyDescent="0.25">
      <c r="A2013">
        <v>10</v>
      </c>
      <c r="B2013" t="s">
        <v>9</v>
      </c>
      <c r="C2013">
        <v>25.96</v>
      </c>
      <c r="D2013" t="s">
        <v>16</v>
      </c>
      <c r="E2013" t="s">
        <v>11</v>
      </c>
      <c r="F2013" t="s">
        <v>35</v>
      </c>
      <c r="G2013">
        <v>6</v>
      </c>
      <c r="H2013">
        <v>10</v>
      </c>
      <c r="I2013" s="13">
        <v>45591</v>
      </c>
      <c r="J2013" s="13" t="str">
        <f>TEXT(Table1[[#This Row],[Date]],"[$-en-US]mmm yyyy")</f>
        <v>Oct 2024</v>
      </c>
      <c r="K2013" s="13" t="str">
        <f>TEXT(Table1[[#This Row],[Date]],"[$-en-US]ddd")</f>
        <v>Sat</v>
      </c>
    </row>
    <row r="2014" spans="1:11" x14ac:dyDescent="0.25">
      <c r="A2014">
        <v>12</v>
      </c>
      <c r="B2014" t="s">
        <v>9</v>
      </c>
      <c r="C2014">
        <v>35.76</v>
      </c>
      <c r="D2014" t="s">
        <v>19</v>
      </c>
      <c r="E2014" t="s">
        <v>15</v>
      </c>
      <c r="F2014" t="s">
        <v>35</v>
      </c>
      <c r="G2014">
        <v>6</v>
      </c>
      <c r="H2014">
        <v>10</v>
      </c>
      <c r="I2014" s="13">
        <v>45591</v>
      </c>
      <c r="J2014" s="13" t="str">
        <f>TEXT(Table1[[#This Row],[Date]],"[$-en-US]mmm yyyy")</f>
        <v>Oct 2024</v>
      </c>
      <c r="K2014" s="13" t="str">
        <f>TEXT(Table1[[#This Row],[Date]],"[$-en-US]ddd")</f>
        <v>Sat</v>
      </c>
    </row>
    <row r="2015" spans="1:11" x14ac:dyDescent="0.25">
      <c r="A2015">
        <v>13</v>
      </c>
      <c r="B2015" t="s">
        <v>9</v>
      </c>
      <c r="C2015">
        <v>35.76</v>
      </c>
      <c r="D2015" t="s">
        <v>10</v>
      </c>
      <c r="E2015" t="s">
        <v>15</v>
      </c>
      <c r="F2015" t="s">
        <v>35</v>
      </c>
      <c r="G2015">
        <v>6</v>
      </c>
      <c r="H2015">
        <v>10</v>
      </c>
      <c r="I2015" s="13">
        <v>45591</v>
      </c>
      <c r="J2015" s="13" t="str">
        <f>TEXT(Table1[[#This Row],[Date]],"[$-en-US]mmm yyyy")</f>
        <v>Oct 2024</v>
      </c>
      <c r="K2015" s="13" t="str">
        <f>TEXT(Table1[[#This Row],[Date]],"[$-en-US]ddd")</f>
        <v>Sat</v>
      </c>
    </row>
    <row r="2016" spans="1:11" x14ac:dyDescent="0.25">
      <c r="A2016">
        <v>14</v>
      </c>
      <c r="B2016" t="s">
        <v>9</v>
      </c>
      <c r="C2016">
        <v>35.76</v>
      </c>
      <c r="D2016" t="s">
        <v>10</v>
      </c>
      <c r="E2016" t="s">
        <v>15</v>
      </c>
      <c r="F2016" t="s">
        <v>35</v>
      </c>
      <c r="G2016">
        <v>6</v>
      </c>
      <c r="H2016">
        <v>10</v>
      </c>
      <c r="I2016" s="13">
        <v>45591</v>
      </c>
      <c r="J2016" s="13" t="str">
        <f>TEXT(Table1[[#This Row],[Date]],"[$-en-US]mmm yyyy")</f>
        <v>Oct 2024</v>
      </c>
      <c r="K2016" s="13" t="str">
        <f>TEXT(Table1[[#This Row],[Date]],"[$-en-US]ddd")</f>
        <v>Sat</v>
      </c>
    </row>
    <row r="2017" spans="1:11" x14ac:dyDescent="0.25">
      <c r="A2017">
        <v>14</v>
      </c>
      <c r="B2017" t="s">
        <v>9</v>
      </c>
      <c r="C2017">
        <v>30.86</v>
      </c>
      <c r="D2017" t="s">
        <v>17</v>
      </c>
      <c r="E2017" t="s">
        <v>15</v>
      </c>
      <c r="F2017" t="s">
        <v>35</v>
      </c>
      <c r="G2017">
        <v>6</v>
      </c>
      <c r="H2017">
        <v>10</v>
      </c>
      <c r="I2017" s="13">
        <v>45591</v>
      </c>
      <c r="J2017" s="13" t="str">
        <f>TEXT(Table1[[#This Row],[Date]],"[$-en-US]mmm yyyy")</f>
        <v>Oct 2024</v>
      </c>
      <c r="K2017" s="13" t="str">
        <f>TEXT(Table1[[#This Row],[Date]],"[$-en-US]ddd")</f>
        <v>Sat</v>
      </c>
    </row>
    <row r="2018" spans="1:11" x14ac:dyDescent="0.25">
      <c r="A2018">
        <v>15</v>
      </c>
      <c r="B2018" t="s">
        <v>9</v>
      </c>
      <c r="C2018">
        <v>25.96</v>
      </c>
      <c r="D2018" t="s">
        <v>22</v>
      </c>
      <c r="E2018" t="s">
        <v>15</v>
      </c>
      <c r="F2018" t="s">
        <v>35</v>
      </c>
      <c r="G2018">
        <v>6</v>
      </c>
      <c r="H2018">
        <v>10</v>
      </c>
      <c r="I2018" s="13">
        <v>45591</v>
      </c>
      <c r="J2018" s="13" t="str">
        <f>TEXT(Table1[[#This Row],[Date]],"[$-en-US]mmm yyyy")</f>
        <v>Oct 2024</v>
      </c>
      <c r="K2018" s="13" t="str">
        <f>TEXT(Table1[[#This Row],[Date]],"[$-en-US]ddd")</f>
        <v>Sat</v>
      </c>
    </row>
    <row r="2019" spans="1:11" x14ac:dyDescent="0.25">
      <c r="A2019">
        <v>15</v>
      </c>
      <c r="B2019" t="s">
        <v>9</v>
      </c>
      <c r="C2019">
        <v>25.96</v>
      </c>
      <c r="D2019" t="s">
        <v>22</v>
      </c>
      <c r="E2019" t="s">
        <v>15</v>
      </c>
      <c r="F2019" t="s">
        <v>35</v>
      </c>
      <c r="G2019">
        <v>6</v>
      </c>
      <c r="H2019">
        <v>10</v>
      </c>
      <c r="I2019" s="13">
        <v>45591</v>
      </c>
      <c r="J2019" s="13" t="str">
        <f>TEXT(Table1[[#This Row],[Date]],"[$-en-US]mmm yyyy")</f>
        <v>Oct 2024</v>
      </c>
      <c r="K2019" s="13" t="str">
        <f>TEXT(Table1[[#This Row],[Date]],"[$-en-US]ddd")</f>
        <v>Sat</v>
      </c>
    </row>
    <row r="2020" spans="1:11" x14ac:dyDescent="0.25">
      <c r="A2020">
        <v>15</v>
      </c>
      <c r="B2020" t="s">
        <v>9</v>
      </c>
      <c r="C2020">
        <v>35.76</v>
      </c>
      <c r="D2020" t="s">
        <v>10</v>
      </c>
      <c r="E2020" t="s">
        <v>15</v>
      </c>
      <c r="F2020" t="s">
        <v>35</v>
      </c>
      <c r="G2020">
        <v>6</v>
      </c>
      <c r="H2020">
        <v>10</v>
      </c>
      <c r="I2020" s="13">
        <v>45591</v>
      </c>
      <c r="J2020" s="13" t="str">
        <f>TEXT(Table1[[#This Row],[Date]],"[$-en-US]mmm yyyy")</f>
        <v>Oct 2024</v>
      </c>
      <c r="K2020" s="13" t="str">
        <f>TEXT(Table1[[#This Row],[Date]],"[$-en-US]ddd")</f>
        <v>Sat</v>
      </c>
    </row>
    <row r="2021" spans="1:11" x14ac:dyDescent="0.25">
      <c r="A2021">
        <v>15</v>
      </c>
      <c r="B2021" t="s">
        <v>9</v>
      </c>
      <c r="C2021">
        <v>35.76</v>
      </c>
      <c r="D2021" t="s">
        <v>10</v>
      </c>
      <c r="E2021" t="s">
        <v>15</v>
      </c>
      <c r="F2021" t="s">
        <v>35</v>
      </c>
      <c r="G2021">
        <v>6</v>
      </c>
      <c r="H2021">
        <v>10</v>
      </c>
      <c r="I2021" s="13">
        <v>45591</v>
      </c>
      <c r="J2021" s="13" t="str">
        <f>TEXT(Table1[[#This Row],[Date]],"[$-en-US]mmm yyyy")</f>
        <v>Oct 2024</v>
      </c>
      <c r="K2021" s="13" t="str">
        <f>TEXT(Table1[[#This Row],[Date]],"[$-en-US]ddd")</f>
        <v>Sat</v>
      </c>
    </row>
    <row r="2022" spans="1:11" x14ac:dyDescent="0.25">
      <c r="A2022">
        <v>15</v>
      </c>
      <c r="B2022" t="s">
        <v>9</v>
      </c>
      <c r="C2022">
        <v>30.86</v>
      </c>
      <c r="D2022" t="s">
        <v>17</v>
      </c>
      <c r="E2022" t="s">
        <v>15</v>
      </c>
      <c r="F2022" t="s">
        <v>35</v>
      </c>
      <c r="G2022">
        <v>6</v>
      </c>
      <c r="H2022">
        <v>10</v>
      </c>
      <c r="I2022" s="13">
        <v>45591</v>
      </c>
      <c r="J2022" s="13" t="str">
        <f>TEXT(Table1[[#This Row],[Date]],"[$-en-US]mmm yyyy")</f>
        <v>Oct 2024</v>
      </c>
      <c r="K2022" s="13" t="str">
        <f>TEXT(Table1[[#This Row],[Date]],"[$-en-US]ddd")</f>
        <v>Sat</v>
      </c>
    </row>
    <row r="2023" spans="1:11" x14ac:dyDescent="0.25">
      <c r="A2023">
        <v>15</v>
      </c>
      <c r="B2023" t="s">
        <v>9</v>
      </c>
      <c r="C2023">
        <v>30.86</v>
      </c>
      <c r="D2023" t="s">
        <v>17</v>
      </c>
      <c r="E2023" t="s">
        <v>15</v>
      </c>
      <c r="F2023" t="s">
        <v>35</v>
      </c>
      <c r="G2023">
        <v>6</v>
      </c>
      <c r="H2023">
        <v>10</v>
      </c>
      <c r="I2023" s="13">
        <v>45591</v>
      </c>
      <c r="J2023" s="13" t="str">
        <f>TEXT(Table1[[#This Row],[Date]],"[$-en-US]mmm yyyy")</f>
        <v>Oct 2024</v>
      </c>
      <c r="K2023" s="13" t="str">
        <f>TEXT(Table1[[#This Row],[Date]],"[$-en-US]ddd")</f>
        <v>Sat</v>
      </c>
    </row>
    <row r="2024" spans="1:11" x14ac:dyDescent="0.25">
      <c r="A2024">
        <v>19</v>
      </c>
      <c r="B2024" t="s">
        <v>9</v>
      </c>
      <c r="C2024">
        <v>35.76</v>
      </c>
      <c r="D2024" t="s">
        <v>27</v>
      </c>
      <c r="E2024" t="s">
        <v>18</v>
      </c>
      <c r="F2024" t="s">
        <v>35</v>
      </c>
      <c r="G2024">
        <v>6</v>
      </c>
      <c r="H2024">
        <v>10</v>
      </c>
      <c r="I2024" s="13">
        <v>45591</v>
      </c>
      <c r="J2024" s="13" t="str">
        <f>TEXT(Table1[[#This Row],[Date]],"[$-en-US]mmm yyyy")</f>
        <v>Oct 2024</v>
      </c>
      <c r="K2024" s="13" t="str">
        <f>TEXT(Table1[[#This Row],[Date]],"[$-en-US]ddd")</f>
        <v>Sat</v>
      </c>
    </row>
    <row r="2025" spans="1:11" x14ac:dyDescent="0.25">
      <c r="A2025">
        <v>20</v>
      </c>
      <c r="B2025" t="s">
        <v>9</v>
      </c>
      <c r="C2025">
        <v>30.86</v>
      </c>
      <c r="D2025" t="s">
        <v>17</v>
      </c>
      <c r="E2025" t="s">
        <v>18</v>
      </c>
      <c r="F2025" t="s">
        <v>35</v>
      </c>
      <c r="G2025">
        <v>6</v>
      </c>
      <c r="H2025">
        <v>10</v>
      </c>
      <c r="I2025" s="13">
        <v>45591</v>
      </c>
      <c r="J2025" s="13" t="str">
        <f>TEXT(Table1[[#This Row],[Date]],"[$-en-US]mmm yyyy")</f>
        <v>Oct 2024</v>
      </c>
      <c r="K2025" s="13" t="str">
        <f>TEXT(Table1[[#This Row],[Date]],"[$-en-US]ddd")</f>
        <v>Sat</v>
      </c>
    </row>
    <row r="2026" spans="1:11" x14ac:dyDescent="0.25">
      <c r="A2026">
        <v>11</v>
      </c>
      <c r="B2026" t="s">
        <v>9</v>
      </c>
      <c r="C2026">
        <v>30.86</v>
      </c>
      <c r="D2026" t="s">
        <v>17</v>
      </c>
      <c r="E2026" t="s">
        <v>11</v>
      </c>
      <c r="F2026" t="s">
        <v>35</v>
      </c>
      <c r="G2026">
        <v>7</v>
      </c>
      <c r="H2026">
        <v>10</v>
      </c>
      <c r="I2026" s="13">
        <v>45592</v>
      </c>
      <c r="J2026" s="13" t="str">
        <f>TEXT(Table1[[#This Row],[Date]],"[$-en-US]mmm yyyy")</f>
        <v>Oct 2024</v>
      </c>
      <c r="K2026" s="13" t="str">
        <f>TEXT(Table1[[#This Row],[Date]],"[$-en-US]ddd")</f>
        <v>Sun</v>
      </c>
    </row>
    <row r="2027" spans="1:11" x14ac:dyDescent="0.25">
      <c r="A2027">
        <v>12</v>
      </c>
      <c r="B2027" t="s">
        <v>9</v>
      </c>
      <c r="C2027">
        <v>35.76</v>
      </c>
      <c r="D2027" t="s">
        <v>10</v>
      </c>
      <c r="E2027" t="s">
        <v>15</v>
      </c>
      <c r="F2027" t="s">
        <v>35</v>
      </c>
      <c r="G2027">
        <v>7</v>
      </c>
      <c r="H2027">
        <v>10</v>
      </c>
      <c r="I2027" s="13">
        <v>45592</v>
      </c>
      <c r="J2027" s="13" t="str">
        <f>TEXT(Table1[[#This Row],[Date]],"[$-en-US]mmm yyyy")</f>
        <v>Oct 2024</v>
      </c>
      <c r="K2027" s="13" t="str">
        <f>TEXT(Table1[[#This Row],[Date]],"[$-en-US]ddd")</f>
        <v>Sun</v>
      </c>
    </row>
    <row r="2028" spans="1:11" x14ac:dyDescent="0.25">
      <c r="A2028">
        <v>12</v>
      </c>
      <c r="B2028" t="s">
        <v>9</v>
      </c>
      <c r="C2028">
        <v>30.86</v>
      </c>
      <c r="D2028" t="s">
        <v>17</v>
      </c>
      <c r="E2028" t="s">
        <v>15</v>
      </c>
      <c r="F2028" t="s">
        <v>35</v>
      </c>
      <c r="G2028">
        <v>7</v>
      </c>
      <c r="H2028">
        <v>10</v>
      </c>
      <c r="I2028" s="13">
        <v>45592</v>
      </c>
      <c r="J2028" s="13" t="str">
        <f>TEXT(Table1[[#This Row],[Date]],"[$-en-US]mmm yyyy")</f>
        <v>Oct 2024</v>
      </c>
      <c r="K2028" s="13" t="str">
        <f>TEXT(Table1[[#This Row],[Date]],"[$-en-US]ddd")</f>
        <v>Sun</v>
      </c>
    </row>
    <row r="2029" spans="1:11" x14ac:dyDescent="0.25">
      <c r="A2029">
        <v>13</v>
      </c>
      <c r="B2029" t="s">
        <v>9</v>
      </c>
      <c r="C2029">
        <v>35.76</v>
      </c>
      <c r="D2029" t="s">
        <v>27</v>
      </c>
      <c r="E2029" t="s">
        <v>15</v>
      </c>
      <c r="F2029" t="s">
        <v>35</v>
      </c>
      <c r="G2029">
        <v>7</v>
      </c>
      <c r="H2029">
        <v>10</v>
      </c>
      <c r="I2029" s="13">
        <v>45592</v>
      </c>
      <c r="J2029" s="13" t="str">
        <f>TEXT(Table1[[#This Row],[Date]],"[$-en-US]mmm yyyy")</f>
        <v>Oct 2024</v>
      </c>
      <c r="K2029" s="13" t="str">
        <f>TEXT(Table1[[#This Row],[Date]],"[$-en-US]ddd")</f>
        <v>Sun</v>
      </c>
    </row>
    <row r="2030" spans="1:11" x14ac:dyDescent="0.25">
      <c r="A2030">
        <v>16</v>
      </c>
      <c r="B2030" t="s">
        <v>9</v>
      </c>
      <c r="C2030">
        <v>35.76</v>
      </c>
      <c r="D2030" t="s">
        <v>10</v>
      </c>
      <c r="E2030" t="s">
        <v>15</v>
      </c>
      <c r="F2030" t="s">
        <v>35</v>
      </c>
      <c r="G2030">
        <v>7</v>
      </c>
      <c r="H2030">
        <v>10</v>
      </c>
      <c r="I2030" s="13">
        <v>45592</v>
      </c>
      <c r="J2030" s="13" t="str">
        <f>TEXT(Table1[[#This Row],[Date]],"[$-en-US]mmm yyyy")</f>
        <v>Oct 2024</v>
      </c>
      <c r="K2030" s="13" t="str">
        <f>TEXT(Table1[[#This Row],[Date]],"[$-en-US]ddd")</f>
        <v>Sun</v>
      </c>
    </row>
    <row r="2031" spans="1:11" x14ac:dyDescent="0.25">
      <c r="A2031">
        <v>7</v>
      </c>
      <c r="B2031" t="s">
        <v>9</v>
      </c>
      <c r="C2031">
        <v>35.76</v>
      </c>
      <c r="D2031" t="s">
        <v>27</v>
      </c>
      <c r="E2031" t="s">
        <v>11</v>
      </c>
      <c r="F2031" t="s">
        <v>35</v>
      </c>
      <c r="G2031">
        <v>1</v>
      </c>
      <c r="H2031">
        <v>10</v>
      </c>
      <c r="I2031" s="13">
        <v>45593</v>
      </c>
      <c r="J2031" s="13" t="str">
        <f>TEXT(Table1[[#This Row],[Date]],"[$-en-US]mmm yyyy")</f>
        <v>Oct 2024</v>
      </c>
      <c r="K2031" s="13" t="str">
        <f>TEXT(Table1[[#This Row],[Date]],"[$-en-US]ddd")</f>
        <v>Mon</v>
      </c>
    </row>
    <row r="2032" spans="1:11" x14ac:dyDescent="0.25">
      <c r="A2032">
        <v>8</v>
      </c>
      <c r="B2032" t="s">
        <v>9</v>
      </c>
      <c r="C2032">
        <v>25.96</v>
      </c>
      <c r="D2032" t="s">
        <v>16</v>
      </c>
      <c r="E2032" t="s">
        <v>11</v>
      </c>
      <c r="F2032" t="s">
        <v>35</v>
      </c>
      <c r="G2032">
        <v>1</v>
      </c>
      <c r="H2032">
        <v>10</v>
      </c>
      <c r="I2032" s="13">
        <v>45593</v>
      </c>
      <c r="J2032" s="13" t="str">
        <f>TEXT(Table1[[#This Row],[Date]],"[$-en-US]mmm yyyy")</f>
        <v>Oct 2024</v>
      </c>
      <c r="K2032" s="13" t="str">
        <f>TEXT(Table1[[#This Row],[Date]],"[$-en-US]ddd")</f>
        <v>Mon</v>
      </c>
    </row>
    <row r="2033" spans="1:11" x14ac:dyDescent="0.25">
      <c r="A2033">
        <v>8</v>
      </c>
      <c r="B2033" t="s">
        <v>9</v>
      </c>
      <c r="C2033">
        <v>35.76</v>
      </c>
      <c r="D2033" t="s">
        <v>10</v>
      </c>
      <c r="E2033" t="s">
        <v>11</v>
      </c>
      <c r="F2033" t="s">
        <v>35</v>
      </c>
      <c r="G2033">
        <v>1</v>
      </c>
      <c r="H2033">
        <v>10</v>
      </c>
      <c r="I2033" s="13">
        <v>45593</v>
      </c>
      <c r="J2033" s="13" t="str">
        <f>TEXT(Table1[[#This Row],[Date]],"[$-en-US]mmm yyyy")</f>
        <v>Oct 2024</v>
      </c>
      <c r="K2033" s="13" t="str">
        <f>TEXT(Table1[[#This Row],[Date]],"[$-en-US]ddd")</f>
        <v>Mon</v>
      </c>
    </row>
    <row r="2034" spans="1:11" x14ac:dyDescent="0.25">
      <c r="A2034">
        <v>9</v>
      </c>
      <c r="B2034" t="s">
        <v>9</v>
      </c>
      <c r="C2034">
        <v>30.86</v>
      </c>
      <c r="D2034" t="s">
        <v>17</v>
      </c>
      <c r="E2034" t="s">
        <v>11</v>
      </c>
      <c r="F2034" t="s">
        <v>35</v>
      </c>
      <c r="G2034">
        <v>1</v>
      </c>
      <c r="H2034">
        <v>10</v>
      </c>
      <c r="I2034" s="13">
        <v>45593</v>
      </c>
      <c r="J2034" s="13" t="str">
        <f>TEXT(Table1[[#This Row],[Date]],"[$-en-US]mmm yyyy")</f>
        <v>Oct 2024</v>
      </c>
      <c r="K2034" s="13" t="str">
        <f>TEXT(Table1[[#This Row],[Date]],"[$-en-US]ddd")</f>
        <v>Mon</v>
      </c>
    </row>
    <row r="2035" spans="1:11" x14ac:dyDescent="0.25">
      <c r="A2035">
        <v>11</v>
      </c>
      <c r="B2035" t="s">
        <v>9</v>
      </c>
      <c r="C2035">
        <v>35.76</v>
      </c>
      <c r="D2035" t="s">
        <v>10</v>
      </c>
      <c r="E2035" t="s">
        <v>11</v>
      </c>
      <c r="F2035" t="s">
        <v>35</v>
      </c>
      <c r="G2035">
        <v>1</v>
      </c>
      <c r="H2035">
        <v>10</v>
      </c>
      <c r="I2035" s="13">
        <v>45593</v>
      </c>
      <c r="J2035" s="13" t="str">
        <f>TEXT(Table1[[#This Row],[Date]],"[$-en-US]mmm yyyy")</f>
        <v>Oct 2024</v>
      </c>
      <c r="K2035" s="13" t="str">
        <f>TEXT(Table1[[#This Row],[Date]],"[$-en-US]ddd")</f>
        <v>Mon</v>
      </c>
    </row>
    <row r="2036" spans="1:11" x14ac:dyDescent="0.25">
      <c r="A2036">
        <v>11</v>
      </c>
      <c r="B2036" t="s">
        <v>9</v>
      </c>
      <c r="C2036">
        <v>35.76</v>
      </c>
      <c r="D2036" t="s">
        <v>10</v>
      </c>
      <c r="E2036" t="s">
        <v>11</v>
      </c>
      <c r="F2036" t="s">
        <v>35</v>
      </c>
      <c r="G2036">
        <v>1</v>
      </c>
      <c r="H2036">
        <v>10</v>
      </c>
      <c r="I2036" s="13">
        <v>45593</v>
      </c>
      <c r="J2036" s="13" t="str">
        <f>TEXT(Table1[[#This Row],[Date]],"[$-en-US]mmm yyyy")</f>
        <v>Oct 2024</v>
      </c>
      <c r="K2036" s="13" t="str">
        <f>TEXT(Table1[[#This Row],[Date]],"[$-en-US]ddd")</f>
        <v>Mon</v>
      </c>
    </row>
    <row r="2037" spans="1:11" x14ac:dyDescent="0.25">
      <c r="A2037">
        <v>12</v>
      </c>
      <c r="B2037" t="s">
        <v>9</v>
      </c>
      <c r="C2037">
        <v>35.76</v>
      </c>
      <c r="D2037" t="s">
        <v>14</v>
      </c>
      <c r="E2037" t="s">
        <v>15</v>
      </c>
      <c r="F2037" t="s">
        <v>35</v>
      </c>
      <c r="G2037">
        <v>1</v>
      </c>
      <c r="H2037">
        <v>10</v>
      </c>
      <c r="I2037" s="13">
        <v>45593</v>
      </c>
      <c r="J2037" s="13" t="str">
        <f>TEXT(Table1[[#This Row],[Date]],"[$-en-US]mmm yyyy")</f>
        <v>Oct 2024</v>
      </c>
      <c r="K2037" s="13" t="str">
        <f>TEXT(Table1[[#This Row],[Date]],"[$-en-US]ddd")</f>
        <v>Mon</v>
      </c>
    </row>
    <row r="2038" spans="1:11" x14ac:dyDescent="0.25">
      <c r="A2038">
        <v>12</v>
      </c>
      <c r="B2038" t="s">
        <v>9</v>
      </c>
      <c r="C2038">
        <v>30.86</v>
      </c>
      <c r="D2038" t="s">
        <v>17</v>
      </c>
      <c r="E2038" t="s">
        <v>15</v>
      </c>
      <c r="F2038" t="s">
        <v>35</v>
      </c>
      <c r="G2038">
        <v>1</v>
      </c>
      <c r="H2038">
        <v>10</v>
      </c>
      <c r="I2038" s="13">
        <v>45593</v>
      </c>
      <c r="J2038" s="13" t="str">
        <f>TEXT(Table1[[#This Row],[Date]],"[$-en-US]mmm yyyy")</f>
        <v>Oct 2024</v>
      </c>
      <c r="K2038" s="13" t="str">
        <f>TEXT(Table1[[#This Row],[Date]],"[$-en-US]ddd")</f>
        <v>Mon</v>
      </c>
    </row>
    <row r="2039" spans="1:11" x14ac:dyDescent="0.25">
      <c r="A2039">
        <v>12</v>
      </c>
      <c r="B2039" t="s">
        <v>9</v>
      </c>
      <c r="C2039">
        <v>35.76</v>
      </c>
      <c r="D2039" t="s">
        <v>27</v>
      </c>
      <c r="E2039" t="s">
        <v>15</v>
      </c>
      <c r="F2039" t="s">
        <v>35</v>
      </c>
      <c r="G2039">
        <v>1</v>
      </c>
      <c r="H2039">
        <v>10</v>
      </c>
      <c r="I2039" s="13">
        <v>45593</v>
      </c>
      <c r="J2039" s="13" t="str">
        <f>TEXT(Table1[[#This Row],[Date]],"[$-en-US]mmm yyyy")</f>
        <v>Oct 2024</v>
      </c>
      <c r="K2039" s="13" t="str">
        <f>TEXT(Table1[[#This Row],[Date]],"[$-en-US]ddd")</f>
        <v>Mon</v>
      </c>
    </row>
    <row r="2040" spans="1:11" x14ac:dyDescent="0.25">
      <c r="A2040">
        <v>14</v>
      </c>
      <c r="B2040" t="s">
        <v>9</v>
      </c>
      <c r="C2040">
        <v>30.86</v>
      </c>
      <c r="D2040" t="s">
        <v>17</v>
      </c>
      <c r="E2040" t="s">
        <v>15</v>
      </c>
      <c r="F2040" t="s">
        <v>35</v>
      </c>
      <c r="G2040">
        <v>1</v>
      </c>
      <c r="H2040">
        <v>10</v>
      </c>
      <c r="I2040" s="13">
        <v>45593</v>
      </c>
      <c r="J2040" s="13" t="str">
        <f>TEXT(Table1[[#This Row],[Date]],"[$-en-US]mmm yyyy")</f>
        <v>Oct 2024</v>
      </c>
      <c r="K2040" s="13" t="str">
        <f>TEXT(Table1[[#This Row],[Date]],"[$-en-US]ddd")</f>
        <v>Mon</v>
      </c>
    </row>
    <row r="2041" spans="1:11" x14ac:dyDescent="0.25">
      <c r="A2041">
        <v>14</v>
      </c>
      <c r="B2041" t="s">
        <v>9</v>
      </c>
      <c r="C2041">
        <v>30.86</v>
      </c>
      <c r="D2041" t="s">
        <v>17</v>
      </c>
      <c r="E2041" t="s">
        <v>15</v>
      </c>
      <c r="F2041" t="s">
        <v>35</v>
      </c>
      <c r="G2041">
        <v>1</v>
      </c>
      <c r="H2041">
        <v>10</v>
      </c>
      <c r="I2041" s="13">
        <v>45593</v>
      </c>
      <c r="J2041" s="13" t="str">
        <f>TEXT(Table1[[#This Row],[Date]],"[$-en-US]mmm yyyy")</f>
        <v>Oct 2024</v>
      </c>
      <c r="K2041" s="13" t="str">
        <f>TEXT(Table1[[#This Row],[Date]],"[$-en-US]ddd")</f>
        <v>Mon</v>
      </c>
    </row>
    <row r="2042" spans="1:11" x14ac:dyDescent="0.25">
      <c r="A2042">
        <v>14</v>
      </c>
      <c r="B2042" t="s">
        <v>9</v>
      </c>
      <c r="C2042">
        <v>30.86</v>
      </c>
      <c r="D2042" t="s">
        <v>17</v>
      </c>
      <c r="E2042" t="s">
        <v>15</v>
      </c>
      <c r="F2042" t="s">
        <v>35</v>
      </c>
      <c r="G2042">
        <v>1</v>
      </c>
      <c r="H2042">
        <v>10</v>
      </c>
      <c r="I2042" s="13">
        <v>45593</v>
      </c>
      <c r="J2042" s="13" t="str">
        <f>TEXT(Table1[[#This Row],[Date]],"[$-en-US]mmm yyyy")</f>
        <v>Oct 2024</v>
      </c>
      <c r="K2042" s="13" t="str">
        <f>TEXT(Table1[[#This Row],[Date]],"[$-en-US]ddd")</f>
        <v>Mon</v>
      </c>
    </row>
    <row r="2043" spans="1:11" x14ac:dyDescent="0.25">
      <c r="A2043">
        <v>16</v>
      </c>
      <c r="B2043" t="s">
        <v>9</v>
      </c>
      <c r="C2043">
        <v>35.76</v>
      </c>
      <c r="D2043" t="s">
        <v>10</v>
      </c>
      <c r="E2043" t="s">
        <v>15</v>
      </c>
      <c r="F2043" t="s">
        <v>35</v>
      </c>
      <c r="G2043">
        <v>1</v>
      </c>
      <c r="H2043">
        <v>10</v>
      </c>
      <c r="I2043" s="13">
        <v>45593</v>
      </c>
      <c r="J2043" s="13" t="str">
        <f>TEXT(Table1[[#This Row],[Date]],"[$-en-US]mmm yyyy")</f>
        <v>Oct 2024</v>
      </c>
      <c r="K2043" s="13" t="str">
        <f>TEXT(Table1[[#This Row],[Date]],"[$-en-US]ddd")</f>
        <v>Mon</v>
      </c>
    </row>
    <row r="2044" spans="1:11" x14ac:dyDescent="0.25">
      <c r="A2044">
        <v>17</v>
      </c>
      <c r="B2044" t="s">
        <v>9</v>
      </c>
      <c r="C2044">
        <v>35.76</v>
      </c>
      <c r="D2044" t="s">
        <v>19</v>
      </c>
      <c r="E2044" t="s">
        <v>18</v>
      </c>
      <c r="F2044" t="s">
        <v>35</v>
      </c>
      <c r="G2044">
        <v>1</v>
      </c>
      <c r="H2044">
        <v>10</v>
      </c>
      <c r="I2044" s="13">
        <v>45593</v>
      </c>
      <c r="J2044" s="13" t="str">
        <f>TEXT(Table1[[#This Row],[Date]],"[$-en-US]mmm yyyy")</f>
        <v>Oct 2024</v>
      </c>
      <c r="K2044" s="13" t="str">
        <f>TEXT(Table1[[#This Row],[Date]],"[$-en-US]ddd")</f>
        <v>Mon</v>
      </c>
    </row>
    <row r="2045" spans="1:11" x14ac:dyDescent="0.25">
      <c r="A2045">
        <v>17</v>
      </c>
      <c r="B2045" t="s">
        <v>9</v>
      </c>
      <c r="C2045">
        <v>35.76</v>
      </c>
      <c r="D2045" t="s">
        <v>19</v>
      </c>
      <c r="E2045" t="s">
        <v>18</v>
      </c>
      <c r="F2045" t="s">
        <v>35</v>
      </c>
      <c r="G2045">
        <v>1</v>
      </c>
      <c r="H2045">
        <v>10</v>
      </c>
      <c r="I2045" s="13">
        <v>45593</v>
      </c>
      <c r="J2045" s="13" t="str">
        <f>TEXT(Table1[[#This Row],[Date]],"[$-en-US]mmm yyyy")</f>
        <v>Oct 2024</v>
      </c>
      <c r="K2045" s="13" t="str">
        <f>TEXT(Table1[[#This Row],[Date]],"[$-en-US]ddd")</f>
        <v>Mon</v>
      </c>
    </row>
    <row r="2046" spans="1:11" x14ac:dyDescent="0.25">
      <c r="A2046">
        <v>19</v>
      </c>
      <c r="B2046" t="s">
        <v>9</v>
      </c>
      <c r="C2046">
        <v>35.76</v>
      </c>
      <c r="D2046" t="s">
        <v>27</v>
      </c>
      <c r="E2046" t="s">
        <v>18</v>
      </c>
      <c r="F2046" t="s">
        <v>35</v>
      </c>
      <c r="G2046">
        <v>1</v>
      </c>
      <c r="H2046">
        <v>10</v>
      </c>
      <c r="I2046" s="13">
        <v>45593</v>
      </c>
      <c r="J2046" s="13" t="str">
        <f>TEXT(Table1[[#This Row],[Date]],"[$-en-US]mmm yyyy")</f>
        <v>Oct 2024</v>
      </c>
      <c r="K2046" s="13" t="str">
        <f>TEXT(Table1[[#This Row],[Date]],"[$-en-US]ddd")</f>
        <v>Mon</v>
      </c>
    </row>
    <row r="2047" spans="1:11" x14ac:dyDescent="0.25">
      <c r="A2047">
        <v>21</v>
      </c>
      <c r="B2047" t="s">
        <v>9</v>
      </c>
      <c r="C2047">
        <v>30.86</v>
      </c>
      <c r="D2047" t="s">
        <v>17</v>
      </c>
      <c r="E2047" t="s">
        <v>18</v>
      </c>
      <c r="F2047" t="s">
        <v>35</v>
      </c>
      <c r="G2047">
        <v>1</v>
      </c>
      <c r="H2047">
        <v>10</v>
      </c>
      <c r="I2047" s="13">
        <v>45593</v>
      </c>
      <c r="J2047" s="13" t="str">
        <f>TEXT(Table1[[#This Row],[Date]],"[$-en-US]mmm yyyy")</f>
        <v>Oct 2024</v>
      </c>
      <c r="K2047" s="13" t="str">
        <f>TEXT(Table1[[#This Row],[Date]],"[$-en-US]ddd")</f>
        <v>Mon</v>
      </c>
    </row>
    <row r="2048" spans="1:11" x14ac:dyDescent="0.25">
      <c r="A2048">
        <v>22</v>
      </c>
      <c r="B2048" t="s">
        <v>9</v>
      </c>
      <c r="C2048">
        <v>30.86</v>
      </c>
      <c r="D2048" t="s">
        <v>17</v>
      </c>
      <c r="E2048" t="s">
        <v>18</v>
      </c>
      <c r="F2048" t="s">
        <v>35</v>
      </c>
      <c r="G2048">
        <v>1</v>
      </c>
      <c r="H2048">
        <v>10</v>
      </c>
      <c r="I2048" s="13">
        <v>45593</v>
      </c>
      <c r="J2048" s="13" t="str">
        <f>TEXT(Table1[[#This Row],[Date]],"[$-en-US]mmm yyyy")</f>
        <v>Oct 2024</v>
      </c>
      <c r="K2048" s="13" t="str">
        <f>TEXT(Table1[[#This Row],[Date]],"[$-en-US]ddd")</f>
        <v>Mon</v>
      </c>
    </row>
    <row r="2049" spans="1:11" x14ac:dyDescent="0.25">
      <c r="A2049">
        <v>8</v>
      </c>
      <c r="B2049" t="s">
        <v>9</v>
      </c>
      <c r="C2049">
        <v>35.76</v>
      </c>
      <c r="D2049" t="s">
        <v>10</v>
      </c>
      <c r="E2049" t="s">
        <v>11</v>
      </c>
      <c r="F2049" t="s">
        <v>35</v>
      </c>
      <c r="G2049">
        <v>2</v>
      </c>
      <c r="H2049">
        <v>10</v>
      </c>
      <c r="I2049" s="13">
        <v>45594</v>
      </c>
      <c r="J2049" s="13" t="str">
        <f>TEXT(Table1[[#This Row],[Date]],"[$-en-US]mmm yyyy")</f>
        <v>Oct 2024</v>
      </c>
      <c r="K2049" s="13" t="str">
        <f>TEXT(Table1[[#This Row],[Date]],"[$-en-US]ddd")</f>
        <v>Tue</v>
      </c>
    </row>
    <row r="2050" spans="1:11" x14ac:dyDescent="0.25">
      <c r="A2050">
        <v>8</v>
      </c>
      <c r="B2050" t="s">
        <v>9</v>
      </c>
      <c r="C2050">
        <v>35.76</v>
      </c>
      <c r="D2050" t="s">
        <v>10</v>
      </c>
      <c r="E2050" t="s">
        <v>11</v>
      </c>
      <c r="F2050" t="s">
        <v>35</v>
      </c>
      <c r="G2050">
        <v>2</v>
      </c>
      <c r="H2050">
        <v>10</v>
      </c>
      <c r="I2050" s="13">
        <v>45594</v>
      </c>
      <c r="J2050" s="13" t="str">
        <f>TEXT(Table1[[#This Row],[Date]],"[$-en-US]mmm yyyy")</f>
        <v>Oct 2024</v>
      </c>
      <c r="K2050" s="13" t="str">
        <f>TEXT(Table1[[#This Row],[Date]],"[$-en-US]ddd")</f>
        <v>Tue</v>
      </c>
    </row>
    <row r="2051" spans="1:11" x14ac:dyDescent="0.25">
      <c r="A2051">
        <v>9</v>
      </c>
      <c r="B2051" t="s">
        <v>9</v>
      </c>
      <c r="C2051">
        <v>35.76</v>
      </c>
      <c r="D2051" t="s">
        <v>10</v>
      </c>
      <c r="E2051" t="s">
        <v>11</v>
      </c>
      <c r="F2051" t="s">
        <v>35</v>
      </c>
      <c r="G2051">
        <v>2</v>
      </c>
      <c r="H2051">
        <v>10</v>
      </c>
      <c r="I2051" s="13">
        <v>45594</v>
      </c>
      <c r="J2051" s="13" t="str">
        <f>TEXT(Table1[[#This Row],[Date]],"[$-en-US]mmm yyyy")</f>
        <v>Oct 2024</v>
      </c>
      <c r="K2051" s="13" t="str">
        <f>TEXT(Table1[[#This Row],[Date]],"[$-en-US]ddd")</f>
        <v>Tue</v>
      </c>
    </row>
    <row r="2052" spans="1:11" x14ac:dyDescent="0.25">
      <c r="A2052">
        <v>11</v>
      </c>
      <c r="B2052" t="s">
        <v>9</v>
      </c>
      <c r="C2052">
        <v>30.86</v>
      </c>
      <c r="D2052" t="s">
        <v>17</v>
      </c>
      <c r="E2052" t="s">
        <v>11</v>
      </c>
      <c r="F2052" t="s">
        <v>35</v>
      </c>
      <c r="G2052">
        <v>2</v>
      </c>
      <c r="H2052">
        <v>10</v>
      </c>
      <c r="I2052" s="13">
        <v>45594</v>
      </c>
      <c r="J2052" s="13" t="str">
        <f>TEXT(Table1[[#This Row],[Date]],"[$-en-US]mmm yyyy")</f>
        <v>Oct 2024</v>
      </c>
      <c r="K2052" s="13" t="str">
        <f>TEXT(Table1[[#This Row],[Date]],"[$-en-US]ddd")</f>
        <v>Tue</v>
      </c>
    </row>
    <row r="2053" spans="1:11" x14ac:dyDescent="0.25">
      <c r="A2053">
        <v>12</v>
      </c>
      <c r="B2053" t="s">
        <v>9</v>
      </c>
      <c r="C2053">
        <v>21.06</v>
      </c>
      <c r="D2053" t="s">
        <v>24</v>
      </c>
      <c r="E2053" t="s">
        <v>15</v>
      </c>
      <c r="F2053" t="s">
        <v>35</v>
      </c>
      <c r="G2053">
        <v>2</v>
      </c>
      <c r="H2053">
        <v>10</v>
      </c>
      <c r="I2053" s="13">
        <v>45594</v>
      </c>
      <c r="J2053" s="13" t="str">
        <f>TEXT(Table1[[#This Row],[Date]],"[$-en-US]mmm yyyy")</f>
        <v>Oct 2024</v>
      </c>
      <c r="K2053" s="13" t="str">
        <f>TEXT(Table1[[#This Row],[Date]],"[$-en-US]ddd")</f>
        <v>Tue</v>
      </c>
    </row>
    <row r="2054" spans="1:11" x14ac:dyDescent="0.25">
      <c r="A2054">
        <v>14</v>
      </c>
      <c r="B2054" t="s">
        <v>9</v>
      </c>
      <c r="C2054">
        <v>25.96</v>
      </c>
      <c r="D2054" t="s">
        <v>22</v>
      </c>
      <c r="E2054" t="s">
        <v>15</v>
      </c>
      <c r="F2054" t="s">
        <v>35</v>
      </c>
      <c r="G2054">
        <v>2</v>
      </c>
      <c r="H2054">
        <v>10</v>
      </c>
      <c r="I2054" s="13">
        <v>45594</v>
      </c>
      <c r="J2054" s="13" t="str">
        <f>TEXT(Table1[[#This Row],[Date]],"[$-en-US]mmm yyyy")</f>
        <v>Oct 2024</v>
      </c>
      <c r="K2054" s="13" t="str">
        <f>TEXT(Table1[[#This Row],[Date]],"[$-en-US]ddd")</f>
        <v>Tue</v>
      </c>
    </row>
    <row r="2055" spans="1:11" x14ac:dyDescent="0.25">
      <c r="A2055">
        <v>14</v>
      </c>
      <c r="B2055" t="s">
        <v>9</v>
      </c>
      <c r="C2055">
        <v>25.96</v>
      </c>
      <c r="D2055" t="s">
        <v>22</v>
      </c>
      <c r="E2055" t="s">
        <v>15</v>
      </c>
      <c r="F2055" t="s">
        <v>35</v>
      </c>
      <c r="G2055">
        <v>2</v>
      </c>
      <c r="H2055">
        <v>10</v>
      </c>
      <c r="I2055" s="13">
        <v>45594</v>
      </c>
      <c r="J2055" s="13" t="str">
        <f>TEXT(Table1[[#This Row],[Date]],"[$-en-US]mmm yyyy")</f>
        <v>Oct 2024</v>
      </c>
      <c r="K2055" s="13" t="str">
        <f>TEXT(Table1[[#This Row],[Date]],"[$-en-US]ddd")</f>
        <v>Tue</v>
      </c>
    </row>
    <row r="2056" spans="1:11" x14ac:dyDescent="0.25">
      <c r="A2056">
        <v>14</v>
      </c>
      <c r="B2056" t="s">
        <v>9</v>
      </c>
      <c r="C2056">
        <v>35.76</v>
      </c>
      <c r="D2056" t="s">
        <v>27</v>
      </c>
      <c r="E2056" t="s">
        <v>15</v>
      </c>
      <c r="F2056" t="s">
        <v>35</v>
      </c>
      <c r="G2056">
        <v>2</v>
      </c>
      <c r="H2056">
        <v>10</v>
      </c>
      <c r="I2056" s="13">
        <v>45594</v>
      </c>
      <c r="J2056" s="13" t="str">
        <f>TEXT(Table1[[#This Row],[Date]],"[$-en-US]mmm yyyy")</f>
        <v>Oct 2024</v>
      </c>
      <c r="K2056" s="13" t="str">
        <f>TEXT(Table1[[#This Row],[Date]],"[$-en-US]ddd")</f>
        <v>Tue</v>
      </c>
    </row>
    <row r="2057" spans="1:11" x14ac:dyDescent="0.25">
      <c r="A2057">
        <v>16</v>
      </c>
      <c r="B2057" t="s">
        <v>9</v>
      </c>
      <c r="C2057">
        <v>35.76</v>
      </c>
      <c r="D2057" t="s">
        <v>14</v>
      </c>
      <c r="E2057" t="s">
        <v>15</v>
      </c>
      <c r="F2057" t="s">
        <v>35</v>
      </c>
      <c r="G2057">
        <v>2</v>
      </c>
      <c r="H2057">
        <v>10</v>
      </c>
      <c r="I2057" s="13">
        <v>45594</v>
      </c>
      <c r="J2057" s="13" t="str">
        <f>TEXT(Table1[[#This Row],[Date]],"[$-en-US]mmm yyyy")</f>
        <v>Oct 2024</v>
      </c>
      <c r="K2057" s="13" t="str">
        <f>TEXT(Table1[[#This Row],[Date]],"[$-en-US]ddd")</f>
        <v>Tue</v>
      </c>
    </row>
    <row r="2058" spans="1:11" x14ac:dyDescent="0.25">
      <c r="A2058">
        <v>16</v>
      </c>
      <c r="B2058" t="s">
        <v>9</v>
      </c>
      <c r="C2058">
        <v>35.76</v>
      </c>
      <c r="D2058" t="s">
        <v>19</v>
      </c>
      <c r="E2058" t="s">
        <v>15</v>
      </c>
      <c r="F2058" t="s">
        <v>35</v>
      </c>
      <c r="G2058">
        <v>2</v>
      </c>
      <c r="H2058">
        <v>10</v>
      </c>
      <c r="I2058" s="13">
        <v>45594</v>
      </c>
      <c r="J2058" s="13" t="str">
        <f>TEXT(Table1[[#This Row],[Date]],"[$-en-US]mmm yyyy")</f>
        <v>Oct 2024</v>
      </c>
      <c r="K2058" s="13" t="str">
        <f>TEXT(Table1[[#This Row],[Date]],"[$-en-US]ddd")</f>
        <v>Tue</v>
      </c>
    </row>
    <row r="2059" spans="1:11" x14ac:dyDescent="0.25">
      <c r="A2059">
        <v>16</v>
      </c>
      <c r="B2059" t="s">
        <v>9</v>
      </c>
      <c r="C2059">
        <v>35.76</v>
      </c>
      <c r="D2059" t="s">
        <v>19</v>
      </c>
      <c r="E2059" t="s">
        <v>15</v>
      </c>
      <c r="F2059" t="s">
        <v>35</v>
      </c>
      <c r="G2059">
        <v>2</v>
      </c>
      <c r="H2059">
        <v>10</v>
      </c>
      <c r="I2059" s="13">
        <v>45594</v>
      </c>
      <c r="J2059" s="13" t="str">
        <f>TEXT(Table1[[#This Row],[Date]],"[$-en-US]mmm yyyy")</f>
        <v>Oct 2024</v>
      </c>
      <c r="K2059" s="13" t="str">
        <f>TEXT(Table1[[#This Row],[Date]],"[$-en-US]ddd")</f>
        <v>Tue</v>
      </c>
    </row>
    <row r="2060" spans="1:11" x14ac:dyDescent="0.25">
      <c r="A2060">
        <v>18</v>
      </c>
      <c r="B2060" t="s">
        <v>9</v>
      </c>
      <c r="C2060">
        <v>30.86</v>
      </c>
      <c r="D2060" t="s">
        <v>17</v>
      </c>
      <c r="E2060" t="s">
        <v>18</v>
      </c>
      <c r="F2060" t="s">
        <v>35</v>
      </c>
      <c r="G2060">
        <v>2</v>
      </c>
      <c r="H2060">
        <v>10</v>
      </c>
      <c r="I2060" s="13">
        <v>45594</v>
      </c>
      <c r="J2060" s="13" t="str">
        <f>TEXT(Table1[[#This Row],[Date]],"[$-en-US]mmm yyyy")</f>
        <v>Oct 2024</v>
      </c>
      <c r="K2060" s="13" t="str">
        <f>TEXT(Table1[[#This Row],[Date]],"[$-en-US]ddd")</f>
        <v>Tue</v>
      </c>
    </row>
    <row r="2061" spans="1:11" x14ac:dyDescent="0.25">
      <c r="A2061">
        <v>18</v>
      </c>
      <c r="B2061" t="s">
        <v>9</v>
      </c>
      <c r="C2061">
        <v>30.86</v>
      </c>
      <c r="D2061" t="s">
        <v>17</v>
      </c>
      <c r="E2061" t="s">
        <v>18</v>
      </c>
      <c r="F2061" t="s">
        <v>35</v>
      </c>
      <c r="G2061">
        <v>2</v>
      </c>
      <c r="H2061">
        <v>10</v>
      </c>
      <c r="I2061" s="13">
        <v>45594</v>
      </c>
      <c r="J2061" s="13" t="str">
        <f>TEXT(Table1[[#This Row],[Date]],"[$-en-US]mmm yyyy")</f>
        <v>Oct 2024</v>
      </c>
      <c r="K2061" s="13" t="str">
        <f>TEXT(Table1[[#This Row],[Date]],"[$-en-US]ddd")</f>
        <v>Tue</v>
      </c>
    </row>
    <row r="2062" spans="1:11" x14ac:dyDescent="0.25">
      <c r="A2062">
        <v>19</v>
      </c>
      <c r="B2062" t="s">
        <v>9</v>
      </c>
      <c r="C2062">
        <v>30.86</v>
      </c>
      <c r="D2062" t="s">
        <v>17</v>
      </c>
      <c r="E2062" t="s">
        <v>18</v>
      </c>
      <c r="F2062" t="s">
        <v>35</v>
      </c>
      <c r="G2062">
        <v>2</v>
      </c>
      <c r="H2062">
        <v>10</v>
      </c>
      <c r="I2062" s="13">
        <v>45594</v>
      </c>
      <c r="J2062" s="13" t="str">
        <f>TEXT(Table1[[#This Row],[Date]],"[$-en-US]mmm yyyy")</f>
        <v>Oct 2024</v>
      </c>
      <c r="K2062" s="13" t="str">
        <f>TEXT(Table1[[#This Row],[Date]],"[$-en-US]ddd")</f>
        <v>Tue</v>
      </c>
    </row>
    <row r="2063" spans="1:11" x14ac:dyDescent="0.25">
      <c r="A2063">
        <v>19</v>
      </c>
      <c r="B2063" t="s">
        <v>9</v>
      </c>
      <c r="C2063">
        <v>35.76</v>
      </c>
      <c r="D2063" t="s">
        <v>27</v>
      </c>
      <c r="E2063" t="s">
        <v>18</v>
      </c>
      <c r="F2063" t="s">
        <v>35</v>
      </c>
      <c r="G2063">
        <v>2</v>
      </c>
      <c r="H2063">
        <v>10</v>
      </c>
      <c r="I2063" s="13">
        <v>45594</v>
      </c>
      <c r="J2063" s="13" t="str">
        <f>TEXT(Table1[[#This Row],[Date]],"[$-en-US]mmm yyyy")</f>
        <v>Oct 2024</v>
      </c>
      <c r="K2063" s="13" t="str">
        <f>TEXT(Table1[[#This Row],[Date]],"[$-en-US]ddd")</f>
        <v>Tue</v>
      </c>
    </row>
    <row r="2064" spans="1:11" x14ac:dyDescent="0.25">
      <c r="A2064">
        <v>19</v>
      </c>
      <c r="B2064" t="s">
        <v>9</v>
      </c>
      <c r="C2064">
        <v>35.76</v>
      </c>
      <c r="D2064" t="s">
        <v>14</v>
      </c>
      <c r="E2064" t="s">
        <v>18</v>
      </c>
      <c r="F2064" t="s">
        <v>35</v>
      </c>
      <c r="G2064">
        <v>2</v>
      </c>
      <c r="H2064">
        <v>10</v>
      </c>
      <c r="I2064" s="13">
        <v>45594</v>
      </c>
      <c r="J2064" s="13" t="str">
        <f>TEXT(Table1[[#This Row],[Date]],"[$-en-US]mmm yyyy")</f>
        <v>Oct 2024</v>
      </c>
      <c r="K2064" s="13" t="str">
        <f>TEXT(Table1[[#This Row],[Date]],"[$-en-US]ddd")</f>
        <v>Tue</v>
      </c>
    </row>
    <row r="2065" spans="1:11" x14ac:dyDescent="0.25">
      <c r="A2065">
        <v>19</v>
      </c>
      <c r="B2065" t="s">
        <v>9</v>
      </c>
      <c r="C2065">
        <v>35.76</v>
      </c>
      <c r="D2065" t="s">
        <v>10</v>
      </c>
      <c r="E2065" t="s">
        <v>18</v>
      </c>
      <c r="F2065" t="s">
        <v>35</v>
      </c>
      <c r="G2065">
        <v>2</v>
      </c>
      <c r="H2065">
        <v>10</v>
      </c>
      <c r="I2065" s="13">
        <v>45594</v>
      </c>
      <c r="J2065" s="13" t="str">
        <f>TEXT(Table1[[#This Row],[Date]],"[$-en-US]mmm yyyy")</f>
        <v>Oct 2024</v>
      </c>
      <c r="K2065" s="13" t="str">
        <f>TEXT(Table1[[#This Row],[Date]],"[$-en-US]ddd")</f>
        <v>Tue</v>
      </c>
    </row>
    <row r="2066" spans="1:11" x14ac:dyDescent="0.25">
      <c r="A2066">
        <v>20</v>
      </c>
      <c r="B2066" t="s">
        <v>9</v>
      </c>
      <c r="C2066">
        <v>35.76</v>
      </c>
      <c r="D2066" t="s">
        <v>10</v>
      </c>
      <c r="E2066" t="s">
        <v>18</v>
      </c>
      <c r="F2066" t="s">
        <v>35</v>
      </c>
      <c r="G2066">
        <v>2</v>
      </c>
      <c r="H2066">
        <v>10</v>
      </c>
      <c r="I2066" s="13">
        <v>45594</v>
      </c>
      <c r="J2066" s="13" t="str">
        <f>TEXT(Table1[[#This Row],[Date]],"[$-en-US]mmm yyyy")</f>
        <v>Oct 2024</v>
      </c>
      <c r="K2066" s="13" t="str">
        <f>TEXT(Table1[[#This Row],[Date]],"[$-en-US]ddd")</f>
        <v>Tue</v>
      </c>
    </row>
    <row r="2067" spans="1:11" x14ac:dyDescent="0.25">
      <c r="A2067">
        <v>7</v>
      </c>
      <c r="B2067" t="s">
        <v>9</v>
      </c>
      <c r="C2067">
        <v>35.76</v>
      </c>
      <c r="D2067" t="s">
        <v>10</v>
      </c>
      <c r="E2067" t="s">
        <v>11</v>
      </c>
      <c r="F2067" t="s">
        <v>35</v>
      </c>
      <c r="G2067">
        <v>3</v>
      </c>
      <c r="H2067">
        <v>10</v>
      </c>
      <c r="I2067" s="13">
        <v>45595</v>
      </c>
      <c r="J2067" s="13" t="str">
        <f>TEXT(Table1[[#This Row],[Date]],"[$-en-US]mmm yyyy")</f>
        <v>Oct 2024</v>
      </c>
      <c r="K2067" s="13" t="str">
        <f>TEXT(Table1[[#This Row],[Date]],"[$-en-US]ddd")</f>
        <v>Wed</v>
      </c>
    </row>
    <row r="2068" spans="1:11" x14ac:dyDescent="0.25">
      <c r="A2068">
        <v>8</v>
      </c>
      <c r="B2068" t="s">
        <v>9</v>
      </c>
      <c r="C2068">
        <v>30.86</v>
      </c>
      <c r="D2068" t="s">
        <v>17</v>
      </c>
      <c r="E2068" t="s">
        <v>11</v>
      </c>
      <c r="F2068" t="s">
        <v>35</v>
      </c>
      <c r="G2068">
        <v>3</v>
      </c>
      <c r="H2068">
        <v>10</v>
      </c>
      <c r="I2068" s="13">
        <v>45595</v>
      </c>
      <c r="J2068" s="13" t="str">
        <f>TEXT(Table1[[#This Row],[Date]],"[$-en-US]mmm yyyy")</f>
        <v>Oct 2024</v>
      </c>
      <c r="K2068" s="13" t="str">
        <f>TEXT(Table1[[#This Row],[Date]],"[$-en-US]ddd")</f>
        <v>Wed</v>
      </c>
    </row>
    <row r="2069" spans="1:11" x14ac:dyDescent="0.25">
      <c r="A2069">
        <v>8</v>
      </c>
      <c r="B2069" t="s">
        <v>9</v>
      </c>
      <c r="C2069">
        <v>30.86</v>
      </c>
      <c r="D2069" t="s">
        <v>17</v>
      </c>
      <c r="E2069" t="s">
        <v>11</v>
      </c>
      <c r="F2069" t="s">
        <v>35</v>
      </c>
      <c r="G2069">
        <v>3</v>
      </c>
      <c r="H2069">
        <v>10</v>
      </c>
      <c r="I2069" s="13">
        <v>45595</v>
      </c>
      <c r="J2069" s="13" t="str">
        <f>TEXT(Table1[[#This Row],[Date]],"[$-en-US]mmm yyyy")</f>
        <v>Oct 2024</v>
      </c>
      <c r="K2069" s="13" t="str">
        <f>TEXT(Table1[[#This Row],[Date]],"[$-en-US]ddd")</f>
        <v>Wed</v>
      </c>
    </row>
    <row r="2070" spans="1:11" x14ac:dyDescent="0.25">
      <c r="A2070">
        <v>9</v>
      </c>
      <c r="B2070" t="s">
        <v>9</v>
      </c>
      <c r="C2070">
        <v>35.76</v>
      </c>
      <c r="D2070" t="s">
        <v>10</v>
      </c>
      <c r="E2070" t="s">
        <v>11</v>
      </c>
      <c r="F2070" t="s">
        <v>35</v>
      </c>
      <c r="G2070">
        <v>3</v>
      </c>
      <c r="H2070">
        <v>10</v>
      </c>
      <c r="I2070" s="13">
        <v>45595</v>
      </c>
      <c r="J2070" s="13" t="str">
        <f>TEXT(Table1[[#This Row],[Date]],"[$-en-US]mmm yyyy")</f>
        <v>Oct 2024</v>
      </c>
      <c r="K2070" s="13" t="str">
        <f>TEXT(Table1[[#This Row],[Date]],"[$-en-US]ddd")</f>
        <v>Wed</v>
      </c>
    </row>
    <row r="2071" spans="1:11" x14ac:dyDescent="0.25">
      <c r="A2071">
        <v>10</v>
      </c>
      <c r="B2071" t="s">
        <v>9</v>
      </c>
      <c r="C2071">
        <v>35.76</v>
      </c>
      <c r="D2071" t="s">
        <v>10</v>
      </c>
      <c r="E2071" t="s">
        <v>11</v>
      </c>
      <c r="F2071" t="s">
        <v>35</v>
      </c>
      <c r="G2071">
        <v>3</v>
      </c>
      <c r="H2071">
        <v>10</v>
      </c>
      <c r="I2071" s="13">
        <v>45595</v>
      </c>
      <c r="J2071" s="13" t="str">
        <f>TEXT(Table1[[#This Row],[Date]],"[$-en-US]mmm yyyy")</f>
        <v>Oct 2024</v>
      </c>
      <c r="K2071" s="13" t="str">
        <f>TEXT(Table1[[#This Row],[Date]],"[$-en-US]ddd")</f>
        <v>Wed</v>
      </c>
    </row>
    <row r="2072" spans="1:11" x14ac:dyDescent="0.25">
      <c r="A2072">
        <v>10</v>
      </c>
      <c r="B2072" t="s">
        <v>9</v>
      </c>
      <c r="C2072">
        <v>35.76</v>
      </c>
      <c r="D2072" t="s">
        <v>10</v>
      </c>
      <c r="E2072" t="s">
        <v>11</v>
      </c>
      <c r="F2072" t="s">
        <v>35</v>
      </c>
      <c r="G2072">
        <v>3</v>
      </c>
      <c r="H2072">
        <v>10</v>
      </c>
      <c r="I2072" s="13">
        <v>45595</v>
      </c>
      <c r="J2072" s="13" t="str">
        <f>TEXT(Table1[[#This Row],[Date]],"[$-en-US]mmm yyyy")</f>
        <v>Oct 2024</v>
      </c>
      <c r="K2072" s="13" t="str">
        <f>TEXT(Table1[[#This Row],[Date]],"[$-en-US]ddd")</f>
        <v>Wed</v>
      </c>
    </row>
    <row r="2073" spans="1:11" x14ac:dyDescent="0.25">
      <c r="A2073">
        <v>12</v>
      </c>
      <c r="B2073" t="s">
        <v>9</v>
      </c>
      <c r="C2073">
        <v>35.76</v>
      </c>
      <c r="D2073" t="s">
        <v>10</v>
      </c>
      <c r="E2073" t="s">
        <v>15</v>
      </c>
      <c r="F2073" t="s">
        <v>35</v>
      </c>
      <c r="G2073">
        <v>3</v>
      </c>
      <c r="H2073">
        <v>10</v>
      </c>
      <c r="I2073" s="13">
        <v>45595</v>
      </c>
      <c r="J2073" s="13" t="str">
        <f>TEXT(Table1[[#This Row],[Date]],"[$-en-US]mmm yyyy")</f>
        <v>Oct 2024</v>
      </c>
      <c r="K2073" s="13" t="str">
        <f>TEXT(Table1[[#This Row],[Date]],"[$-en-US]ddd")</f>
        <v>Wed</v>
      </c>
    </row>
    <row r="2074" spans="1:11" x14ac:dyDescent="0.25">
      <c r="A2074">
        <v>12</v>
      </c>
      <c r="B2074" t="s">
        <v>9</v>
      </c>
      <c r="C2074">
        <v>25.96</v>
      </c>
      <c r="D2074" t="s">
        <v>16</v>
      </c>
      <c r="E2074" t="s">
        <v>15</v>
      </c>
      <c r="F2074" t="s">
        <v>35</v>
      </c>
      <c r="G2074">
        <v>3</v>
      </c>
      <c r="H2074">
        <v>10</v>
      </c>
      <c r="I2074" s="13">
        <v>45595</v>
      </c>
      <c r="J2074" s="13" t="str">
        <f>TEXT(Table1[[#This Row],[Date]],"[$-en-US]mmm yyyy")</f>
        <v>Oct 2024</v>
      </c>
      <c r="K2074" s="13" t="str">
        <f>TEXT(Table1[[#This Row],[Date]],"[$-en-US]ddd")</f>
        <v>Wed</v>
      </c>
    </row>
    <row r="2075" spans="1:11" x14ac:dyDescent="0.25">
      <c r="A2075">
        <v>12</v>
      </c>
      <c r="B2075" t="s">
        <v>9</v>
      </c>
      <c r="C2075">
        <v>30.86</v>
      </c>
      <c r="D2075" t="s">
        <v>17</v>
      </c>
      <c r="E2075" t="s">
        <v>15</v>
      </c>
      <c r="F2075" t="s">
        <v>35</v>
      </c>
      <c r="G2075">
        <v>3</v>
      </c>
      <c r="H2075">
        <v>10</v>
      </c>
      <c r="I2075" s="13">
        <v>45595</v>
      </c>
      <c r="J2075" s="13" t="str">
        <f>TEXT(Table1[[#This Row],[Date]],"[$-en-US]mmm yyyy")</f>
        <v>Oct 2024</v>
      </c>
      <c r="K2075" s="13" t="str">
        <f>TEXT(Table1[[#This Row],[Date]],"[$-en-US]ddd")</f>
        <v>Wed</v>
      </c>
    </row>
    <row r="2076" spans="1:11" x14ac:dyDescent="0.25">
      <c r="A2076">
        <v>12</v>
      </c>
      <c r="B2076" t="s">
        <v>9</v>
      </c>
      <c r="C2076">
        <v>25.96</v>
      </c>
      <c r="D2076" t="s">
        <v>16</v>
      </c>
      <c r="E2076" t="s">
        <v>15</v>
      </c>
      <c r="F2076" t="s">
        <v>35</v>
      </c>
      <c r="G2076">
        <v>3</v>
      </c>
      <c r="H2076">
        <v>10</v>
      </c>
      <c r="I2076" s="13">
        <v>45595</v>
      </c>
      <c r="J2076" s="13" t="str">
        <f>TEXT(Table1[[#This Row],[Date]],"[$-en-US]mmm yyyy")</f>
        <v>Oct 2024</v>
      </c>
      <c r="K2076" s="13" t="str">
        <f>TEXT(Table1[[#This Row],[Date]],"[$-en-US]ddd")</f>
        <v>Wed</v>
      </c>
    </row>
    <row r="2077" spans="1:11" x14ac:dyDescent="0.25">
      <c r="A2077">
        <v>15</v>
      </c>
      <c r="B2077" t="s">
        <v>9</v>
      </c>
      <c r="C2077">
        <v>35.76</v>
      </c>
      <c r="D2077" t="s">
        <v>10</v>
      </c>
      <c r="E2077" t="s">
        <v>15</v>
      </c>
      <c r="F2077" t="s">
        <v>35</v>
      </c>
      <c r="G2077">
        <v>3</v>
      </c>
      <c r="H2077">
        <v>10</v>
      </c>
      <c r="I2077" s="13">
        <v>45595</v>
      </c>
      <c r="J2077" s="13" t="str">
        <f>TEXT(Table1[[#This Row],[Date]],"[$-en-US]mmm yyyy")</f>
        <v>Oct 2024</v>
      </c>
      <c r="K2077" s="13" t="str">
        <f>TEXT(Table1[[#This Row],[Date]],"[$-en-US]ddd")</f>
        <v>Wed</v>
      </c>
    </row>
    <row r="2078" spans="1:11" x14ac:dyDescent="0.25">
      <c r="A2078">
        <v>15</v>
      </c>
      <c r="B2078" t="s">
        <v>9</v>
      </c>
      <c r="C2078">
        <v>35.76</v>
      </c>
      <c r="D2078" t="s">
        <v>10</v>
      </c>
      <c r="E2078" t="s">
        <v>15</v>
      </c>
      <c r="F2078" t="s">
        <v>35</v>
      </c>
      <c r="G2078">
        <v>3</v>
      </c>
      <c r="H2078">
        <v>10</v>
      </c>
      <c r="I2078" s="13">
        <v>45595</v>
      </c>
      <c r="J2078" s="13" t="str">
        <f>TEXT(Table1[[#This Row],[Date]],"[$-en-US]mmm yyyy")</f>
        <v>Oct 2024</v>
      </c>
      <c r="K2078" s="13" t="str">
        <f>TEXT(Table1[[#This Row],[Date]],"[$-en-US]ddd")</f>
        <v>Wed</v>
      </c>
    </row>
    <row r="2079" spans="1:11" x14ac:dyDescent="0.25">
      <c r="A2079">
        <v>16</v>
      </c>
      <c r="B2079" t="s">
        <v>9</v>
      </c>
      <c r="C2079">
        <v>30.86</v>
      </c>
      <c r="D2079" t="s">
        <v>17</v>
      </c>
      <c r="E2079" t="s">
        <v>15</v>
      </c>
      <c r="F2079" t="s">
        <v>35</v>
      </c>
      <c r="G2079">
        <v>3</v>
      </c>
      <c r="H2079">
        <v>10</v>
      </c>
      <c r="I2079" s="13">
        <v>45595</v>
      </c>
      <c r="J2079" s="13" t="str">
        <f>TEXT(Table1[[#This Row],[Date]],"[$-en-US]mmm yyyy")</f>
        <v>Oct 2024</v>
      </c>
      <c r="K2079" s="13" t="str">
        <f>TEXT(Table1[[#This Row],[Date]],"[$-en-US]ddd")</f>
        <v>Wed</v>
      </c>
    </row>
    <row r="2080" spans="1:11" x14ac:dyDescent="0.25">
      <c r="A2080">
        <v>18</v>
      </c>
      <c r="B2080" t="s">
        <v>9</v>
      </c>
      <c r="C2080">
        <v>35.76</v>
      </c>
      <c r="D2080" t="s">
        <v>14</v>
      </c>
      <c r="E2080" t="s">
        <v>18</v>
      </c>
      <c r="F2080" t="s">
        <v>35</v>
      </c>
      <c r="G2080">
        <v>3</v>
      </c>
      <c r="H2080">
        <v>10</v>
      </c>
      <c r="I2080" s="13">
        <v>45595</v>
      </c>
      <c r="J2080" s="13" t="str">
        <f>TEXT(Table1[[#This Row],[Date]],"[$-en-US]mmm yyyy")</f>
        <v>Oct 2024</v>
      </c>
      <c r="K2080" s="13" t="str">
        <f>TEXT(Table1[[#This Row],[Date]],"[$-en-US]ddd")</f>
        <v>Wed</v>
      </c>
    </row>
    <row r="2081" spans="1:11" x14ac:dyDescent="0.25">
      <c r="A2081">
        <v>19</v>
      </c>
      <c r="B2081" t="s">
        <v>9</v>
      </c>
      <c r="C2081">
        <v>30.86</v>
      </c>
      <c r="D2081" t="s">
        <v>17</v>
      </c>
      <c r="E2081" t="s">
        <v>18</v>
      </c>
      <c r="F2081" t="s">
        <v>35</v>
      </c>
      <c r="G2081">
        <v>3</v>
      </c>
      <c r="H2081">
        <v>10</v>
      </c>
      <c r="I2081" s="13">
        <v>45595</v>
      </c>
      <c r="J2081" s="13" t="str">
        <f>TEXT(Table1[[#This Row],[Date]],"[$-en-US]mmm yyyy")</f>
        <v>Oct 2024</v>
      </c>
      <c r="K2081" s="13" t="str">
        <f>TEXT(Table1[[#This Row],[Date]],"[$-en-US]ddd")</f>
        <v>Wed</v>
      </c>
    </row>
    <row r="2082" spans="1:11" x14ac:dyDescent="0.25">
      <c r="A2082">
        <v>19</v>
      </c>
      <c r="B2082" t="s">
        <v>9</v>
      </c>
      <c r="C2082">
        <v>30.86</v>
      </c>
      <c r="D2082" t="s">
        <v>17</v>
      </c>
      <c r="E2082" t="s">
        <v>18</v>
      </c>
      <c r="F2082" t="s">
        <v>35</v>
      </c>
      <c r="G2082">
        <v>3</v>
      </c>
      <c r="H2082">
        <v>10</v>
      </c>
      <c r="I2082" s="13">
        <v>45595</v>
      </c>
      <c r="J2082" s="13" t="str">
        <f>TEXT(Table1[[#This Row],[Date]],"[$-en-US]mmm yyyy")</f>
        <v>Oct 2024</v>
      </c>
      <c r="K2082" s="13" t="str">
        <f>TEXT(Table1[[#This Row],[Date]],"[$-en-US]ddd")</f>
        <v>Wed</v>
      </c>
    </row>
    <row r="2083" spans="1:11" x14ac:dyDescent="0.25">
      <c r="A2083">
        <v>7</v>
      </c>
      <c r="B2083" t="s">
        <v>9</v>
      </c>
      <c r="C2083">
        <v>35.76</v>
      </c>
      <c r="D2083" t="s">
        <v>10</v>
      </c>
      <c r="E2083" t="s">
        <v>11</v>
      </c>
      <c r="F2083" t="s">
        <v>35</v>
      </c>
      <c r="G2083">
        <v>4</v>
      </c>
      <c r="H2083">
        <v>10</v>
      </c>
      <c r="I2083" s="13">
        <v>45596</v>
      </c>
      <c r="J2083" s="13" t="str">
        <f>TEXT(Table1[[#This Row],[Date]],"[$-en-US]mmm yyyy")</f>
        <v>Oct 2024</v>
      </c>
      <c r="K2083" s="13" t="str">
        <f>TEXT(Table1[[#This Row],[Date]],"[$-en-US]ddd")</f>
        <v>Thu</v>
      </c>
    </row>
    <row r="2084" spans="1:11" x14ac:dyDescent="0.25">
      <c r="A2084">
        <v>8</v>
      </c>
      <c r="B2084" t="s">
        <v>9</v>
      </c>
      <c r="C2084">
        <v>35.76</v>
      </c>
      <c r="D2084" t="s">
        <v>10</v>
      </c>
      <c r="E2084" t="s">
        <v>11</v>
      </c>
      <c r="F2084" t="s">
        <v>35</v>
      </c>
      <c r="G2084">
        <v>4</v>
      </c>
      <c r="H2084">
        <v>10</v>
      </c>
      <c r="I2084" s="13">
        <v>45596</v>
      </c>
      <c r="J2084" s="13" t="str">
        <f>TEXT(Table1[[#This Row],[Date]],"[$-en-US]mmm yyyy")</f>
        <v>Oct 2024</v>
      </c>
      <c r="K2084" s="13" t="str">
        <f>TEXT(Table1[[#This Row],[Date]],"[$-en-US]ddd")</f>
        <v>Thu</v>
      </c>
    </row>
    <row r="2085" spans="1:11" x14ac:dyDescent="0.25">
      <c r="A2085">
        <v>9</v>
      </c>
      <c r="B2085" t="s">
        <v>9</v>
      </c>
      <c r="C2085">
        <v>30.86</v>
      </c>
      <c r="D2085" t="s">
        <v>17</v>
      </c>
      <c r="E2085" t="s">
        <v>11</v>
      </c>
      <c r="F2085" t="s">
        <v>35</v>
      </c>
      <c r="G2085">
        <v>4</v>
      </c>
      <c r="H2085">
        <v>10</v>
      </c>
      <c r="I2085" s="13">
        <v>45596</v>
      </c>
      <c r="J2085" s="13" t="str">
        <f>TEXT(Table1[[#This Row],[Date]],"[$-en-US]mmm yyyy")</f>
        <v>Oct 2024</v>
      </c>
      <c r="K2085" s="13" t="str">
        <f>TEXT(Table1[[#This Row],[Date]],"[$-en-US]ddd")</f>
        <v>Thu</v>
      </c>
    </row>
    <row r="2086" spans="1:11" x14ac:dyDescent="0.25">
      <c r="A2086">
        <v>15</v>
      </c>
      <c r="B2086" t="s">
        <v>9</v>
      </c>
      <c r="C2086">
        <v>35.76</v>
      </c>
      <c r="D2086" t="s">
        <v>10</v>
      </c>
      <c r="E2086" t="s">
        <v>15</v>
      </c>
      <c r="F2086" t="s">
        <v>35</v>
      </c>
      <c r="G2086">
        <v>4</v>
      </c>
      <c r="H2086">
        <v>10</v>
      </c>
      <c r="I2086" s="13">
        <v>45596</v>
      </c>
      <c r="J2086" s="13" t="str">
        <f>TEXT(Table1[[#This Row],[Date]],"[$-en-US]mmm yyyy")</f>
        <v>Oct 2024</v>
      </c>
      <c r="K2086" s="13" t="str">
        <f>TEXT(Table1[[#This Row],[Date]],"[$-en-US]ddd")</f>
        <v>Thu</v>
      </c>
    </row>
    <row r="2087" spans="1:11" x14ac:dyDescent="0.25">
      <c r="A2087">
        <v>16</v>
      </c>
      <c r="B2087" t="s">
        <v>9</v>
      </c>
      <c r="C2087">
        <v>30.86</v>
      </c>
      <c r="D2087" t="s">
        <v>17</v>
      </c>
      <c r="E2087" t="s">
        <v>15</v>
      </c>
      <c r="F2087" t="s">
        <v>35</v>
      </c>
      <c r="G2087">
        <v>4</v>
      </c>
      <c r="H2087">
        <v>10</v>
      </c>
      <c r="I2087" s="13">
        <v>45596</v>
      </c>
      <c r="J2087" s="13" t="str">
        <f>TEXT(Table1[[#This Row],[Date]],"[$-en-US]mmm yyyy")</f>
        <v>Oct 2024</v>
      </c>
      <c r="K2087" s="13" t="str">
        <f>TEXT(Table1[[#This Row],[Date]],"[$-en-US]ddd")</f>
        <v>Thu</v>
      </c>
    </row>
    <row r="2088" spans="1:11" x14ac:dyDescent="0.25">
      <c r="A2088">
        <v>8</v>
      </c>
      <c r="B2088" t="s">
        <v>9</v>
      </c>
      <c r="C2088">
        <v>35.76</v>
      </c>
      <c r="D2088" t="s">
        <v>19</v>
      </c>
      <c r="E2088" t="s">
        <v>11</v>
      </c>
      <c r="F2088" t="s">
        <v>36</v>
      </c>
      <c r="G2088">
        <v>5</v>
      </c>
      <c r="H2088">
        <v>11</v>
      </c>
      <c r="I2088" s="13">
        <v>45597</v>
      </c>
      <c r="J2088" s="13" t="str">
        <f>TEXT(Table1[[#This Row],[Date]],"[$-en-US]mmm yyyy")</f>
        <v>Nov 2024</v>
      </c>
      <c r="K2088" s="13" t="str">
        <f>TEXT(Table1[[#This Row],[Date]],"[$-en-US]ddd")</f>
        <v>Fri</v>
      </c>
    </row>
    <row r="2089" spans="1:11" x14ac:dyDescent="0.25">
      <c r="A2089">
        <v>8</v>
      </c>
      <c r="B2089" t="s">
        <v>9</v>
      </c>
      <c r="C2089">
        <v>25.96</v>
      </c>
      <c r="D2089" t="s">
        <v>16</v>
      </c>
      <c r="E2089" t="s">
        <v>11</v>
      </c>
      <c r="F2089" t="s">
        <v>36</v>
      </c>
      <c r="G2089">
        <v>5</v>
      </c>
      <c r="H2089">
        <v>11</v>
      </c>
      <c r="I2089" s="13">
        <v>45597</v>
      </c>
      <c r="J2089" s="13" t="str">
        <f>TEXT(Table1[[#This Row],[Date]],"[$-en-US]mmm yyyy")</f>
        <v>Nov 2024</v>
      </c>
      <c r="K2089" s="13" t="str">
        <f>TEXT(Table1[[#This Row],[Date]],"[$-en-US]ddd")</f>
        <v>Fri</v>
      </c>
    </row>
    <row r="2090" spans="1:11" x14ac:dyDescent="0.25">
      <c r="A2090">
        <v>10</v>
      </c>
      <c r="B2090" t="s">
        <v>9</v>
      </c>
      <c r="C2090">
        <v>35.76</v>
      </c>
      <c r="D2090" t="s">
        <v>10</v>
      </c>
      <c r="E2090" t="s">
        <v>11</v>
      </c>
      <c r="F2090" t="s">
        <v>36</v>
      </c>
      <c r="G2090">
        <v>5</v>
      </c>
      <c r="H2090">
        <v>11</v>
      </c>
      <c r="I2090" s="13">
        <v>45597</v>
      </c>
      <c r="J2090" s="13" t="str">
        <f>TEXT(Table1[[#This Row],[Date]],"[$-en-US]mmm yyyy")</f>
        <v>Nov 2024</v>
      </c>
      <c r="K2090" s="13" t="str">
        <f>TEXT(Table1[[#This Row],[Date]],"[$-en-US]ddd")</f>
        <v>Fri</v>
      </c>
    </row>
    <row r="2091" spans="1:11" x14ac:dyDescent="0.25">
      <c r="A2091">
        <v>12</v>
      </c>
      <c r="B2091" t="s">
        <v>9</v>
      </c>
      <c r="C2091">
        <v>35.76</v>
      </c>
      <c r="D2091" t="s">
        <v>19</v>
      </c>
      <c r="E2091" t="s">
        <v>15</v>
      </c>
      <c r="F2091" t="s">
        <v>36</v>
      </c>
      <c r="G2091">
        <v>5</v>
      </c>
      <c r="H2091">
        <v>11</v>
      </c>
      <c r="I2091" s="13">
        <v>45597</v>
      </c>
      <c r="J2091" s="13" t="str">
        <f>TEXT(Table1[[#This Row],[Date]],"[$-en-US]mmm yyyy")</f>
        <v>Nov 2024</v>
      </c>
      <c r="K2091" s="13" t="str">
        <f>TEXT(Table1[[#This Row],[Date]],"[$-en-US]ddd")</f>
        <v>Fri</v>
      </c>
    </row>
    <row r="2092" spans="1:11" x14ac:dyDescent="0.25">
      <c r="A2092">
        <v>12</v>
      </c>
      <c r="B2092" t="s">
        <v>9</v>
      </c>
      <c r="C2092">
        <v>35.76</v>
      </c>
      <c r="D2092" t="s">
        <v>19</v>
      </c>
      <c r="E2092" t="s">
        <v>15</v>
      </c>
      <c r="F2092" t="s">
        <v>36</v>
      </c>
      <c r="G2092">
        <v>5</v>
      </c>
      <c r="H2092">
        <v>11</v>
      </c>
      <c r="I2092" s="13">
        <v>45597</v>
      </c>
      <c r="J2092" s="13" t="str">
        <f>TEXT(Table1[[#This Row],[Date]],"[$-en-US]mmm yyyy")</f>
        <v>Nov 2024</v>
      </c>
      <c r="K2092" s="13" t="str">
        <f>TEXT(Table1[[#This Row],[Date]],"[$-en-US]ddd")</f>
        <v>Fri</v>
      </c>
    </row>
    <row r="2093" spans="1:11" x14ac:dyDescent="0.25">
      <c r="A2093">
        <v>15</v>
      </c>
      <c r="B2093" t="s">
        <v>9</v>
      </c>
      <c r="C2093">
        <v>25.96</v>
      </c>
      <c r="D2093" t="s">
        <v>22</v>
      </c>
      <c r="E2093" t="s">
        <v>15</v>
      </c>
      <c r="F2093" t="s">
        <v>36</v>
      </c>
      <c r="G2093">
        <v>5</v>
      </c>
      <c r="H2093">
        <v>11</v>
      </c>
      <c r="I2093" s="13">
        <v>45597</v>
      </c>
      <c r="J2093" s="13" t="str">
        <f>TEXT(Table1[[#This Row],[Date]],"[$-en-US]mmm yyyy")</f>
        <v>Nov 2024</v>
      </c>
      <c r="K2093" s="13" t="str">
        <f>TEXT(Table1[[#This Row],[Date]],"[$-en-US]ddd")</f>
        <v>Fri</v>
      </c>
    </row>
    <row r="2094" spans="1:11" x14ac:dyDescent="0.25">
      <c r="A2094">
        <v>22</v>
      </c>
      <c r="B2094" t="s">
        <v>9</v>
      </c>
      <c r="C2094">
        <v>30.86</v>
      </c>
      <c r="D2094" t="s">
        <v>17</v>
      </c>
      <c r="E2094" t="s">
        <v>18</v>
      </c>
      <c r="F2094" t="s">
        <v>36</v>
      </c>
      <c r="G2094">
        <v>5</v>
      </c>
      <c r="H2094">
        <v>11</v>
      </c>
      <c r="I2094" s="13">
        <v>45597</v>
      </c>
      <c r="J2094" s="13" t="str">
        <f>TEXT(Table1[[#This Row],[Date]],"[$-en-US]mmm yyyy")</f>
        <v>Nov 2024</v>
      </c>
      <c r="K2094" s="13" t="str">
        <f>TEXT(Table1[[#This Row],[Date]],"[$-en-US]ddd")</f>
        <v>Fri</v>
      </c>
    </row>
    <row r="2095" spans="1:11" x14ac:dyDescent="0.25">
      <c r="A2095">
        <v>8</v>
      </c>
      <c r="B2095" t="s">
        <v>9</v>
      </c>
      <c r="C2095">
        <v>25.96</v>
      </c>
      <c r="D2095" t="s">
        <v>22</v>
      </c>
      <c r="E2095" t="s">
        <v>11</v>
      </c>
      <c r="F2095" t="s">
        <v>36</v>
      </c>
      <c r="G2095">
        <v>6</v>
      </c>
      <c r="H2095">
        <v>11</v>
      </c>
      <c r="I2095" s="13">
        <v>45598</v>
      </c>
      <c r="J2095" s="13" t="str">
        <f>TEXT(Table1[[#This Row],[Date]],"[$-en-US]mmm yyyy")</f>
        <v>Nov 2024</v>
      </c>
      <c r="K2095" s="13" t="str">
        <f>TEXT(Table1[[#This Row],[Date]],"[$-en-US]ddd")</f>
        <v>Sat</v>
      </c>
    </row>
    <row r="2096" spans="1:11" x14ac:dyDescent="0.25">
      <c r="A2096">
        <v>10</v>
      </c>
      <c r="B2096" t="s">
        <v>9</v>
      </c>
      <c r="C2096">
        <v>35.76</v>
      </c>
      <c r="D2096" t="s">
        <v>19</v>
      </c>
      <c r="E2096" t="s">
        <v>11</v>
      </c>
      <c r="F2096" t="s">
        <v>36</v>
      </c>
      <c r="G2096">
        <v>6</v>
      </c>
      <c r="H2096">
        <v>11</v>
      </c>
      <c r="I2096" s="13">
        <v>45598</v>
      </c>
      <c r="J2096" s="13" t="str">
        <f>TEXT(Table1[[#This Row],[Date]],"[$-en-US]mmm yyyy")</f>
        <v>Nov 2024</v>
      </c>
      <c r="K2096" s="13" t="str">
        <f>TEXT(Table1[[#This Row],[Date]],"[$-en-US]ddd")</f>
        <v>Sat</v>
      </c>
    </row>
    <row r="2097" spans="1:11" x14ac:dyDescent="0.25">
      <c r="A2097">
        <v>10</v>
      </c>
      <c r="B2097" t="s">
        <v>9</v>
      </c>
      <c r="C2097">
        <v>30.86</v>
      </c>
      <c r="D2097" t="s">
        <v>17</v>
      </c>
      <c r="E2097" t="s">
        <v>11</v>
      </c>
      <c r="F2097" t="s">
        <v>36</v>
      </c>
      <c r="G2097">
        <v>6</v>
      </c>
      <c r="H2097">
        <v>11</v>
      </c>
      <c r="I2097" s="13">
        <v>45598</v>
      </c>
      <c r="J2097" s="13" t="str">
        <f>TEXT(Table1[[#This Row],[Date]],"[$-en-US]mmm yyyy")</f>
        <v>Nov 2024</v>
      </c>
      <c r="K2097" s="13" t="str">
        <f>TEXT(Table1[[#This Row],[Date]],"[$-en-US]ddd")</f>
        <v>Sat</v>
      </c>
    </row>
    <row r="2098" spans="1:11" x14ac:dyDescent="0.25">
      <c r="A2098">
        <v>14</v>
      </c>
      <c r="B2098" t="s">
        <v>9</v>
      </c>
      <c r="C2098">
        <v>30.86</v>
      </c>
      <c r="D2098" t="s">
        <v>17</v>
      </c>
      <c r="E2098" t="s">
        <v>15</v>
      </c>
      <c r="F2098" t="s">
        <v>36</v>
      </c>
      <c r="G2098">
        <v>6</v>
      </c>
      <c r="H2098">
        <v>11</v>
      </c>
      <c r="I2098" s="13">
        <v>45598</v>
      </c>
      <c r="J2098" s="13" t="str">
        <f>TEXT(Table1[[#This Row],[Date]],"[$-en-US]mmm yyyy")</f>
        <v>Nov 2024</v>
      </c>
      <c r="K2098" s="13" t="str">
        <f>TEXT(Table1[[#This Row],[Date]],"[$-en-US]ddd")</f>
        <v>Sat</v>
      </c>
    </row>
    <row r="2099" spans="1:11" x14ac:dyDescent="0.25">
      <c r="A2099">
        <v>16</v>
      </c>
      <c r="B2099" t="s">
        <v>9</v>
      </c>
      <c r="C2099">
        <v>35.76</v>
      </c>
      <c r="D2099" t="s">
        <v>14</v>
      </c>
      <c r="E2099" t="s">
        <v>15</v>
      </c>
      <c r="F2099" t="s">
        <v>36</v>
      </c>
      <c r="G2099">
        <v>6</v>
      </c>
      <c r="H2099">
        <v>11</v>
      </c>
      <c r="I2099" s="13">
        <v>45598</v>
      </c>
      <c r="J2099" s="13" t="str">
        <f>TEXT(Table1[[#This Row],[Date]],"[$-en-US]mmm yyyy")</f>
        <v>Nov 2024</v>
      </c>
      <c r="K2099" s="13" t="str">
        <f>TEXT(Table1[[#This Row],[Date]],"[$-en-US]ddd")</f>
        <v>Sat</v>
      </c>
    </row>
    <row r="2100" spans="1:11" x14ac:dyDescent="0.25">
      <c r="A2100">
        <v>16</v>
      </c>
      <c r="B2100" t="s">
        <v>9</v>
      </c>
      <c r="C2100">
        <v>35.76</v>
      </c>
      <c r="D2100" t="s">
        <v>10</v>
      </c>
      <c r="E2100" t="s">
        <v>15</v>
      </c>
      <c r="F2100" t="s">
        <v>36</v>
      </c>
      <c r="G2100">
        <v>6</v>
      </c>
      <c r="H2100">
        <v>11</v>
      </c>
      <c r="I2100" s="13">
        <v>45598</v>
      </c>
      <c r="J2100" s="13" t="str">
        <f>TEXT(Table1[[#This Row],[Date]],"[$-en-US]mmm yyyy")</f>
        <v>Nov 2024</v>
      </c>
      <c r="K2100" s="13" t="str">
        <f>TEXT(Table1[[#This Row],[Date]],"[$-en-US]ddd")</f>
        <v>Sat</v>
      </c>
    </row>
    <row r="2101" spans="1:11" x14ac:dyDescent="0.25">
      <c r="A2101">
        <v>16</v>
      </c>
      <c r="B2101" t="s">
        <v>9</v>
      </c>
      <c r="C2101">
        <v>35.76</v>
      </c>
      <c r="D2101" t="s">
        <v>10</v>
      </c>
      <c r="E2101" t="s">
        <v>15</v>
      </c>
      <c r="F2101" t="s">
        <v>36</v>
      </c>
      <c r="G2101">
        <v>6</v>
      </c>
      <c r="H2101">
        <v>11</v>
      </c>
      <c r="I2101" s="13">
        <v>45598</v>
      </c>
      <c r="J2101" s="13" t="str">
        <f>TEXT(Table1[[#This Row],[Date]],"[$-en-US]mmm yyyy")</f>
        <v>Nov 2024</v>
      </c>
      <c r="K2101" s="13" t="str">
        <f>TEXT(Table1[[#This Row],[Date]],"[$-en-US]ddd")</f>
        <v>Sat</v>
      </c>
    </row>
    <row r="2102" spans="1:11" x14ac:dyDescent="0.25">
      <c r="A2102">
        <v>18</v>
      </c>
      <c r="B2102" t="s">
        <v>9</v>
      </c>
      <c r="C2102">
        <v>30.86</v>
      </c>
      <c r="D2102" t="s">
        <v>17</v>
      </c>
      <c r="E2102" t="s">
        <v>18</v>
      </c>
      <c r="F2102" t="s">
        <v>36</v>
      </c>
      <c r="G2102">
        <v>6</v>
      </c>
      <c r="H2102">
        <v>11</v>
      </c>
      <c r="I2102" s="13">
        <v>45598</v>
      </c>
      <c r="J2102" s="13" t="str">
        <f>TEXT(Table1[[#This Row],[Date]],"[$-en-US]mmm yyyy")</f>
        <v>Nov 2024</v>
      </c>
      <c r="K2102" s="13" t="str">
        <f>TEXT(Table1[[#This Row],[Date]],"[$-en-US]ddd")</f>
        <v>Sat</v>
      </c>
    </row>
    <row r="2103" spans="1:11" x14ac:dyDescent="0.25">
      <c r="A2103">
        <v>18</v>
      </c>
      <c r="B2103" t="s">
        <v>9</v>
      </c>
      <c r="C2103">
        <v>25.96</v>
      </c>
      <c r="D2103" t="s">
        <v>16</v>
      </c>
      <c r="E2103" t="s">
        <v>18</v>
      </c>
      <c r="F2103" t="s">
        <v>36</v>
      </c>
      <c r="G2103">
        <v>6</v>
      </c>
      <c r="H2103">
        <v>11</v>
      </c>
      <c r="I2103" s="13">
        <v>45598</v>
      </c>
      <c r="J2103" s="13" t="str">
        <f>TEXT(Table1[[#This Row],[Date]],"[$-en-US]mmm yyyy")</f>
        <v>Nov 2024</v>
      </c>
      <c r="K2103" s="13" t="str">
        <f>TEXT(Table1[[#This Row],[Date]],"[$-en-US]ddd")</f>
        <v>Sat</v>
      </c>
    </row>
    <row r="2104" spans="1:11" x14ac:dyDescent="0.25">
      <c r="A2104">
        <v>8</v>
      </c>
      <c r="B2104" t="s">
        <v>9</v>
      </c>
      <c r="C2104">
        <v>25.96</v>
      </c>
      <c r="D2104" t="s">
        <v>22</v>
      </c>
      <c r="E2104" t="s">
        <v>11</v>
      </c>
      <c r="F2104" t="s">
        <v>36</v>
      </c>
      <c r="G2104">
        <v>7</v>
      </c>
      <c r="H2104">
        <v>11</v>
      </c>
      <c r="I2104" s="13">
        <v>45599</v>
      </c>
      <c r="J2104" s="13" t="str">
        <f>TEXT(Table1[[#This Row],[Date]],"[$-en-US]mmm yyyy")</f>
        <v>Nov 2024</v>
      </c>
      <c r="K2104" s="13" t="str">
        <f>TEXT(Table1[[#This Row],[Date]],"[$-en-US]ddd")</f>
        <v>Sun</v>
      </c>
    </row>
    <row r="2105" spans="1:11" x14ac:dyDescent="0.25">
      <c r="A2105">
        <v>9</v>
      </c>
      <c r="B2105" t="s">
        <v>9</v>
      </c>
      <c r="C2105">
        <v>30.86</v>
      </c>
      <c r="D2105" t="s">
        <v>17</v>
      </c>
      <c r="E2105" t="s">
        <v>11</v>
      </c>
      <c r="F2105" t="s">
        <v>36</v>
      </c>
      <c r="G2105">
        <v>7</v>
      </c>
      <c r="H2105">
        <v>11</v>
      </c>
      <c r="I2105" s="13">
        <v>45599</v>
      </c>
      <c r="J2105" s="13" t="str">
        <f>TEXT(Table1[[#This Row],[Date]],"[$-en-US]mmm yyyy")</f>
        <v>Nov 2024</v>
      </c>
      <c r="K2105" s="13" t="str">
        <f>TEXT(Table1[[#This Row],[Date]],"[$-en-US]ddd")</f>
        <v>Sun</v>
      </c>
    </row>
    <row r="2106" spans="1:11" x14ac:dyDescent="0.25">
      <c r="A2106">
        <v>9</v>
      </c>
      <c r="B2106" t="s">
        <v>9</v>
      </c>
      <c r="C2106">
        <v>30.86</v>
      </c>
      <c r="D2106" t="s">
        <v>17</v>
      </c>
      <c r="E2106" t="s">
        <v>11</v>
      </c>
      <c r="F2106" t="s">
        <v>36</v>
      </c>
      <c r="G2106">
        <v>7</v>
      </c>
      <c r="H2106">
        <v>11</v>
      </c>
      <c r="I2106" s="13">
        <v>45599</v>
      </c>
      <c r="J2106" s="13" t="str">
        <f>TEXT(Table1[[#This Row],[Date]],"[$-en-US]mmm yyyy")</f>
        <v>Nov 2024</v>
      </c>
      <c r="K2106" s="13" t="str">
        <f>TEXT(Table1[[#This Row],[Date]],"[$-en-US]ddd")</f>
        <v>Sun</v>
      </c>
    </row>
    <row r="2107" spans="1:11" x14ac:dyDescent="0.25">
      <c r="A2107">
        <v>13</v>
      </c>
      <c r="B2107" t="s">
        <v>9</v>
      </c>
      <c r="C2107">
        <v>35.76</v>
      </c>
      <c r="D2107" t="s">
        <v>10</v>
      </c>
      <c r="E2107" t="s">
        <v>15</v>
      </c>
      <c r="F2107" t="s">
        <v>36</v>
      </c>
      <c r="G2107">
        <v>7</v>
      </c>
      <c r="H2107">
        <v>11</v>
      </c>
      <c r="I2107" s="13">
        <v>45599</v>
      </c>
      <c r="J2107" s="13" t="str">
        <f>TEXT(Table1[[#This Row],[Date]],"[$-en-US]mmm yyyy")</f>
        <v>Nov 2024</v>
      </c>
      <c r="K2107" s="13" t="str">
        <f>TEXT(Table1[[#This Row],[Date]],"[$-en-US]ddd")</f>
        <v>Sun</v>
      </c>
    </row>
    <row r="2108" spans="1:11" x14ac:dyDescent="0.25">
      <c r="A2108">
        <v>13</v>
      </c>
      <c r="B2108" t="s">
        <v>9</v>
      </c>
      <c r="C2108">
        <v>30.86</v>
      </c>
      <c r="D2108" t="s">
        <v>17</v>
      </c>
      <c r="E2108" t="s">
        <v>15</v>
      </c>
      <c r="F2108" t="s">
        <v>36</v>
      </c>
      <c r="G2108">
        <v>7</v>
      </c>
      <c r="H2108">
        <v>11</v>
      </c>
      <c r="I2108" s="13">
        <v>45599</v>
      </c>
      <c r="J2108" s="13" t="str">
        <f>TEXT(Table1[[#This Row],[Date]],"[$-en-US]mmm yyyy")</f>
        <v>Nov 2024</v>
      </c>
      <c r="K2108" s="13" t="str">
        <f>TEXT(Table1[[#This Row],[Date]],"[$-en-US]ddd")</f>
        <v>Sun</v>
      </c>
    </row>
    <row r="2109" spans="1:11" x14ac:dyDescent="0.25">
      <c r="A2109">
        <v>13</v>
      </c>
      <c r="B2109" t="s">
        <v>9</v>
      </c>
      <c r="C2109">
        <v>35.76</v>
      </c>
      <c r="D2109" t="s">
        <v>19</v>
      </c>
      <c r="E2109" t="s">
        <v>15</v>
      </c>
      <c r="F2109" t="s">
        <v>36</v>
      </c>
      <c r="G2109">
        <v>7</v>
      </c>
      <c r="H2109">
        <v>11</v>
      </c>
      <c r="I2109" s="13">
        <v>45599</v>
      </c>
      <c r="J2109" s="13" t="str">
        <f>TEXT(Table1[[#This Row],[Date]],"[$-en-US]mmm yyyy")</f>
        <v>Nov 2024</v>
      </c>
      <c r="K2109" s="13" t="str">
        <f>TEXT(Table1[[#This Row],[Date]],"[$-en-US]ddd")</f>
        <v>Sun</v>
      </c>
    </row>
    <row r="2110" spans="1:11" x14ac:dyDescent="0.25">
      <c r="A2110">
        <v>13</v>
      </c>
      <c r="B2110" t="s">
        <v>9</v>
      </c>
      <c r="C2110">
        <v>25.96</v>
      </c>
      <c r="D2110" t="s">
        <v>16</v>
      </c>
      <c r="E2110" t="s">
        <v>15</v>
      </c>
      <c r="F2110" t="s">
        <v>36</v>
      </c>
      <c r="G2110">
        <v>7</v>
      </c>
      <c r="H2110">
        <v>11</v>
      </c>
      <c r="I2110" s="13">
        <v>45599</v>
      </c>
      <c r="J2110" s="13" t="str">
        <f>TEXT(Table1[[#This Row],[Date]],"[$-en-US]mmm yyyy")</f>
        <v>Nov 2024</v>
      </c>
      <c r="K2110" s="13" t="str">
        <f>TEXT(Table1[[#This Row],[Date]],"[$-en-US]ddd")</f>
        <v>Sun</v>
      </c>
    </row>
    <row r="2111" spans="1:11" x14ac:dyDescent="0.25">
      <c r="A2111">
        <v>13</v>
      </c>
      <c r="B2111" t="s">
        <v>9</v>
      </c>
      <c r="C2111">
        <v>30.86</v>
      </c>
      <c r="D2111" t="s">
        <v>17</v>
      </c>
      <c r="E2111" t="s">
        <v>15</v>
      </c>
      <c r="F2111" t="s">
        <v>36</v>
      </c>
      <c r="G2111">
        <v>7</v>
      </c>
      <c r="H2111">
        <v>11</v>
      </c>
      <c r="I2111" s="13">
        <v>45599</v>
      </c>
      <c r="J2111" s="13" t="str">
        <f>TEXT(Table1[[#This Row],[Date]],"[$-en-US]mmm yyyy")</f>
        <v>Nov 2024</v>
      </c>
      <c r="K2111" s="13" t="str">
        <f>TEXT(Table1[[#This Row],[Date]],"[$-en-US]ddd")</f>
        <v>Sun</v>
      </c>
    </row>
    <row r="2112" spans="1:11" x14ac:dyDescent="0.25">
      <c r="A2112">
        <v>16</v>
      </c>
      <c r="B2112" t="s">
        <v>9</v>
      </c>
      <c r="C2112">
        <v>35.76</v>
      </c>
      <c r="D2112" t="s">
        <v>14</v>
      </c>
      <c r="E2112" t="s">
        <v>15</v>
      </c>
      <c r="F2112" t="s">
        <v>36</v>
      </c>
      <c r="G2112">
        <v>7</v>
      </c>
      <c r="H2112">
        <v>11</v>
      </c>
      <c r="I2112" s="13">
        <v>45599</v>
      </c>
      <c r="J2112" s="13" t="str">
        <f>TEXT(Table1[[#This Row],[Date]],"[$-en-US]mmm yyyy")</f>
        <v>Nov 2024</v>
      </c>
      <c r="K2112" s="13" t="str">
        <f>TEXT(Table1[[#This Row],[Date]],"[$-en-US]ddd")</f>
        <v>Sun</v>
      </c>
    </row>
    <row r="2113" spans="1:11" x14ac:dyDescent="0.25">
      <c r="A2113">
        <v>16</v>
      </c>
      <c r="B2113" t="s">
        <v>9</v>
      </c>
      <c r="C2113">
        <v>35.76</v>
      </c>
      <c r="D2113" t="s">
        <v>14</v>
      </c>
      <c r="E2113" t="s">
        <v>15</v>
      </c>
      <c r="F2113" t="s">
        <v>36</v>
      </c>
      <c r="G2113">
        <v>7</v>
      </c>
      <c r="H2113">
        <v>11</v>
      </c>
      <c r="I2113" s="13">
        <v>45599</v>
      </c>
      <c r="J2113" s="13" t="str">
        <f>TEXT(Table1[[#This Row],[Date]],"[$-en-US]mmm yyyy")</f>
        <v>Nov 2024</v>
      </c>
      <c r="K2113" s="13" t="str">
        <f>TEXT(Table1[[#This Row],[Date]],"[$-en-US]ddd")</f>
        <v>Sun</v>
      </c>
    </row>
    <row r="2114" spans="1:11" x14ac:dyDescent="0.25">
      <c r="A2114">
        <v>16</v>
      </c>
      <c r="B2114" t="s">
        <v>9</v>
      </c>
      <c r="C2114">
        <v>25.96</v>
      </c>
      <c r="D2114" t="s">
        <v>16</v>
      </c>
      <c r="E2114" t="s">
        <v>15</v>
      </c>
      <c r="F2114" t="s">
        <v>36</v>
      </c>
      <c r="G2114">
        <v>7</v>
      </c>
      <c r="H2114">
        <v>11</v>
      </c>
      <c r="I2114" s="13">
        <v>45599</v>
      </c>
      <c r="J2114" s="13" t="str">
        <f>TEXT(Table1[[#This Row],[Date]],"[$-en-US]mmm yyyy")</f>
        <v>Nov 2024</v>
      </c>
      <c r="K2114" s="13" t="str">
        <f>TEXT(Table1[[#This Row],[Date]],"[$-en-US]ddd")</f>
        <v>Sun</v>
      </c>
    </row>
    <row r="2115" spans="1:11" x14ac:dyDescent="0.25">
      <c r="A2115">
        <v>16</v>
      </c>
      <c r="B2115" t="s">
        <v>9</v>
      </c>
      <c r="C2115">
        <v>25.96</v>
      </c>
      <c r="D2115" t="s">
        <v>16</v>
      </c>
      <c r="E2115" t="s">
        <v>15</v>
      </c>
      <c r="F2115" t="s">
        <v>36</v>
      </c>
      <c r="G2115">
        <v>7</v>
      </c>
      <c r="H2115">
        <v>11</v>
      </c>
      <c r="I2115" s="13">
        <v>45599</v>
      </c>
      <c r="J2115" s="13" t="str">
        <f>TEXT(Table1[[#This Row],[Date]],"[$-en-US]mmm yyyy")</f>
        <v>Nov 2024</v>
      </c>
      <c r="K2115" s="13" t="str">
        <f>TEXT(Table1[[#This Row],[Date]],"[$-en-US]ddd")</f>
        <v>Sun</v>
      </c>
    </row>
    <row r="2116" spans="1:11" x14ac:dyDescent="0.25">
      <c r="A2116">
        <v>20</v>
      </c>
      <c r="B2116" t="s">
        <v>9</v>
      </c>
      <c r="C2116">
        <v>35.76</v>
      </c>
      <c r="D2116" t="s">
        <v>19</v>
      </c>
      <c r="E2116" t="s">
        <v>18</v>
      </c>
      <c r="F2116" t="s">
        <v>36</v>
      </c>
      <c r="G2116">
        <v>7</v>
      </c>
      <c r="H2116">
        <v>11</v>
      </c>
      <c r="I2116" s="13">
        <v>45599</v>
      </c>
      <c r="J2116" s="13" t="str">
        <f>TEXT(Table1[[#This Row],[Date]],"[$-en-US]mmm yyyy")</f>
        <v>Nov 2024</v>
      </c>
      <c r="K2116" s="13" t="str">
        <f>TEXT(Table1[[#This Row],[Date]],"[$-en-US]ddd")</f>
        <v>Sun</v>
      </c>
    </row>
    <row r="2117" spans="1:11" x14ac:dyDescent="0.25">
      <c r="A2117">
        <v>7</v>
      </c>
      <c r="B2117" t="s">
        <v>9</v>
      </c>
      <c r="C2117">
        <v>35.76</v>
      </c>
      <c r="D2117" t="s">
        <v>10</v>
      </c>
      <c r="E2117" t="s">
        <v>11</v>
      </c>
      <c r="F2117" t="s">
        <v>36</v>
      </c>
      <c r="G2117">
        <v>1</v>
      </c>
      <c r="H2117">
        <v>11</v>
      </c>
      <c r="I2117" s="13">
        <v>45600</v>
      </c>
      <c r="J2117" s="13" t="str">
        <f>TEXT(Table1[[#This Row],[Date]],"[$-en-US]mmm yyyy")</f>
        <v>Nov 2024</v>
      </c>
      <c r="K2117" s="13" t="str">
        <f>TEXT(Table1[[#This Row],[Date]],"[$-en-US]ddd")</f>
        <v>Mon</v>
      </c>
    </row>
    <row r="2118" spans="1:11" x14ac:dyDescent="0.25">
      <c r="A2118">
        <v>8</v>
      </c>
      <c r="B2118" t="s">
        <v>9</v>
      </c>
      <c r="C2118">
        <v>35.76</v>
      </c>
      <c r="D2118" t="s">
        <v>10</v>
      </c>
      <c r="E2118" t="s">
        <v>11</v>
      </c>
      <c r="F2118" t="s">
        <v>36</v>
      </c>
      <c r="G2118">
        <v>1</v>
      </c>
      <c r="H2118">
        <v>11</v>
      </c>
      <c r="I2118" s="13">
        <v>45600</v>
      </c>
      <c r="J2118" s="13" t="str">
        <f>TEXT(Table1[[#This Row],[Date]],"[$-en-US]mmm yyyy")</f>
        <v>Nov 2024</v>
      </c>
      <c r="K2118" s="13" t="str">
        <f>TEXT(Table1[[#This Row],[Date]],"[$-en-US]ddd")</f>
        <v>Mon</v>
      </c>
    </row>
    <row r="2119" spans="1:11" x14ac:dyDescent="0.25">
      <c r="A2119">
        <v>8</v>
      </c>
      <c r="B2119" t="s">
        <v>9</v>
      </c>
      <c r="C2119">
        <v>30.86</v>
      </c>
      <c r="D2119" t="s">
        <v>17</v>
      </c>
      <c r="E2119" t="s">
        <v>11</v>
      </c>
      <c r="F2119" t="s">
        <v>36</v>
      </c>
      <c r="G2119">
        <v>1</v>
      </c>
      <c r="H2119">
        <v>11</v>
      </c>
      <c r="I2119" s="13">
        <v>45600</v>
      </c>
      <c r="J2119" s="13" t="str">
        <f>TEXT(Table1[[#This Row],[Date]],"[$-en-US]mmm yyyy")</f>
        <v>Nov 2024</v>
      </c>
      <c r="K2119" s="13" t="str">
        <f>TEXT(Table1[[#This Row],[Date]],"[$-en-US]ddd")</f>
        <v>Mon</v>
      </c>
    </row>
    <row r="2120" spans="1:11" x14ac:dyDescent="0.25">
      <c r="A2120">
        <v>12</v>
      </c>
      <c r="B2120" t="s">
        <v>9</v>
      </c>
      <c r="C2120">
        <v>25.96</v>
      </c>
      <c r="D2120" t="s">
        <v>16</v>
      </c>
      <c r="E2120" t="s">
        <v>15</v>
      </c>
      <c r="F2120" t="s">
        <v>36</v>
      </c>
      <c r="G2120">
        <v>1</v>
      </c>
      <c r="H2120">
        <v>11</v>
      </c>
      <c r="I2120" s="13">
        <v>45600</v>
      </c>
      <c r="J2120" s="13" t="str">
        <f>TEXT(Table1[[#This Row],[Date]],"[$-en-US]mmm yyyy")</f>
        <v>Nov 2024</v>
      </c>
      <c r="K2120" s="13" t="str">
        <f>TEXT(Table1[[#This Row],[Date]],"[$-en-US]ddd")</f>
        <v>Mon</v>
      </c>
    </row>
    <row r="2121" spans="1:11" x14ac:dyDescent="0.25">
      <c r="A2121">
        <v>12</v>
      </c>
      <c r="B2121" t="s">
        <v>9</v>
      </c>
      <c r="C2121">
        <v>30.86</v>
      </c>
      <c r="D2121" t="s">
        <v>17</v>
      </c>
      <c r="E2121" t="s">
        <v>15</v>
      </c>
      <c r="F2121" t="s">
        <v>36</v>
      </c>
      <c r="G2121">
        <v>1</v>
      </c>
      <c r="H2121">
        <v>11</v>
      </c>
      <c r="I2121" s="13">
        <v>45600</v>
      </c>
      <c r="J2121" s="13" t="str">
        <f>TEXT(Table1[[#This Row],[Date]],"[$-en-US]mmm yyyy")</f>
        <v>Nov 2024</v>
      </c>
      <c r="K2121" s="13" t="str">
        <f>TEXT(Table1[[#This Row],[Date]],"[$-en-US]ddd")</f>
        <v>Mon</v>
      </c>
    </row>
    <row r="2122" spans="1:11" x14ac:dyDescent="0.25">
      <c r="A2122">
        <v>14</v>
      </c>
      <c r="B2122" t="s">
        <v>9</v>
      </c>
      <c r="C2122">
        <v>35.76</v>
      </c>
      <c r="D2122" t="s">
        <v>19</v>
      </c>
      <c r="E2122" t="s">
        <v>15</v>
      </c>
      <c r="F2122" t="s">
        <v>36</v>
      </c>
      <c r="G2122">
        <v>1</v>
      </c>
      <c r="H2122">
        <v>11</v>
      </c>
      <c r="I2122" s="13">
        <v>45600</v>
      </c>
      <c r="J2122" s="13" t="str">
        <f>TEXT(Table1[[#This Row],[Date]],"[$-en-US]mmm yyyy")</f>
        <v>Nov 2024</v>
      </c>
      <c r="K2122" s="13" t="str">
        <f>TEXT(Table1[[#This Row],[Date]],"[$-en-US]ddd")</f>
        <v>Mon</v>
      </c>
    </row>
    <row r="2123" spans="1:11" x14ac:dyDescent="0.25">
      <c r="A2123">
        <v>14</v>
      </c>
      <c r="B2123" t="s">
        <v>9</v>
      </c>
      <c r="C2123">
        <v>35.76</v>
      </c>
      <c r="D2123" t="s">
        <v>19</v>
      </c>
      <c r="E2123" t="s">
        <v>15</v>
      </c>
      <c r="F2123" t="s">
        <v>36</v>
      </c>
      <c r="G2123">
        <v>1</v>
      </c>
      <c r="H2123">
        <v>11</v>
      </c>
      <c r="I2123" s="13">
        <v>45600</v>
      </c>
      <c r="J2123" s="13" t="str">
        <f>TEXT(Table1[[#This Row],[Date]],"[$-en-US]mmm yyyy")</f>
        <v>Nov 2024</v>
      </c>
      <c r="K2123" s="13" t="str">
        <f>TEXT(Table1[[#This Row],[Date]],"[$-en-US]ddd")</f>
        <v>Mon</v>
      </c>
    </row>
    <row r="2124" spans="1:11" x14ac:dyDescent="0.25">
      <c r="A2124">
        <v>7</v>
      </c>
      <c r="B2124" t="s">
        <v>9</v>
      </c>
      <c r="C2124">
        <v>35.76</v>
      </c>
      <c r="D2124" t="s">
        <v>19</v>
      </c>
      <c r="E2124" t="s">
        <v>11</v>
      </c>
      <c r="F2124" t="s">
        <v>36</v>
      </c>
      <c r="G2124">
        <v>2</v>
      </c>
      <c r="H2124">
        <v>11</v>
      </c>
      <c r="I2124" s="13">
        <v>45601</v>
      </c>
      <c r="J2124" s="13" t="str">
        <f>TEXT(Table1[[#This Row],[Date]],"[$-en-US]mmm yyyy")</f>
        <v>Nov 2024</v>
      </c>
      <c r="K2124" s="13" t="str">
        <f>TEXT(Table1[[#This Row],[Date]],"[$-en-US]ddd")</f>
        <v>Tue</v>
      </c>
    </row>
    <row r="2125" spans="1:11" x14ac:dyDescent="0.25">
      <c r="A2125">
        <v>9</v>
      </c>
      <c r="B2125" t="s">
        <v>9</v>
      </c>
      <c r="C2125">
        <v>30.86</v>
      </c>
      <c r="D2125" t="s">
        <v>17</v>
      </c>
      <c r="E2125" t="s">
        <v>11</v>
      </c>
      <c r="F2125" t="s">
        <v>36</v>
      </c>
      <c r="G2125">
        <v>2</v>
      </c>
      <c r="H2125">
        <v>11</v>
      </c>
      <c r="I2125" s="13">
        <v>45601</v>
      </c>
      <c r="J2125" s="13" t="str">
        <f>TEXT(Table1[[#This Row],[Date]],"[$-en-US]mmm yyyy")</f>
        <v>Nov 2024</v>
      </c>
      <c r="K2125" s="13" t="str">
        <f>TEXT(Table1[[#This Row],[Date]],"[$-en-US]ddd")</f>
        <v>Tue</v>
      </c>
    </row>
    <row r="2126" spans="1:11" x14ac:dyDescent="0.25">
      <c r="A2126">
        <v>9</v>
      </c>
      <c r="B2126" t="s">
        <v>9</v>
      </c>
      <c r="C2126">
        <v>35.76</v>
      </c>
      <c r="D2126" t="s">
        <v>27</v>
      </c>
      <c r="E2126" t="s">
        <v>11</v>
      </c>
      <c r="F2126" t="s">
        <v>36</v>
      </c>
      <c r="G2126">
        <v>2</v>
      </c>
      <c r="H2126">
        <v>11</v>
      </c>
      <c r="I2126" s="13">
        <v>45601</v>
      </c>
      <c r="J2126" s="13" t="str">
        <f>TEXT(Table1[[#This Row],[Date]],"[$-en-US]mmm yyyy")</f>
        <v>Nov 2024</v>
      </c>
      <c r="K2126" s="13" t="str">
        <f>TEXT(Table1[[#This Row],[Date]],"[$-en-US]ddd")</f>
        <v>Tue</v>
      </c>
    </row>
    <row r="2127" spans="1:11" x14ac:dyDescent="0.25">
      <c r="A2127">
        <v>9</v>
      </c>
      <c r="B2127" t="s">
        <v>9</v>
      </c>
      <c r="C2127">
        <v>30.86</v>
      </c>
      <c r="D2127" t="s">
        <v>17</v>
      </c>
      <c r="E2127" t="s">
        <v>11</v>
      </c>
      <c r="F2127" t="s">
        <v>36</v>
      </c>
      <c r="G2127">
        <v>2</v>
      </c>
      <c r="H2127">
        <v>11</v>
      </c>
      <c r="I2127" s="13">
        <v>45601</v>
      </c>
      <c r="J2127" s="13" t="str">
        <f>TEXT(Table1[[#This Row],[Date]],"[$-en-US]mmm yyyy")</f>
        <v>Nov 2024</v>
      </c>
      <c r="K2127" s="13" t="str">
        <f>TEXT(Table1[[#This Row],[Date]],"[$-en-US]ddd")</f>
        <v>Tue</v>
      </c>
    </row>
    <row r="2128" spans="1:11" x14ac:dyDescent="0.25">
      <c r="A2128">
        <v>10</v>
      </c>
      <c r="B2128" t="s">
        <v>9</v>
      </c>
      <c r="C2128">
        <v>30.86</v>
      </c>
      <c r="D2128" t="s">
        <v>17</v>
      </c>
      <c r="E2128" t="s">
        <v>11</v>
      </c>
      <c r="F2128" t="s">
        <v>36</v>
      </c>
      <c r="G2128">
        <v>2</v>
      </c>
      <c r="H2128">
        <v>11</v>
      </c>
      <c r="I2128" s="13">
        <v>45601</v>
      </c>
      <c r="J2128" s="13" t="str">
        <f>TEXT(Table1[[#This Row],[Date]],"[$-en-US]mmm yyyy")</f>
        <v>Nov 2024</v>
      </c>
      <c r="K2128" s="13" t="str">
        <f>TEXT(Table1[[#This Row],[Date]],"[$-en-US]ddd")</f>
        <v>Tue</v>
      </c>
    </row>
    <row r="2129" spans="1:11" x14ac:dyDescent="0.25">
      <c r="A2129">
        <v>11</v>
      </c>
      <c r="B2129" t="s">
        <v>9</v>
      </c>
      <c r="C2129">
        <v>35.76</v>
      </c>
      <c r="D2129" t="s">
        <v>19</v>
      </c>
      <c r="E2129" t="s">
        <v>11</v>
      </c>
      <c r="F2129" t="s">
        <v>36</v>
      </c>
      <c r="G2129">
        <v>2</v>
      </c>
      <c r="H2129">
        <v>11</v>
      </c>
      <c r="I2129" s="13">
        <v>45601</v>
      </c>
      <c r="J2129" s="13" t="str">
        <f>TEXT(Table1[[#This Row],[Date]],"[$-en-US]mmm yyyy")</f>
        <v>Nov 2024</v>
      </c>
      <c r="K2129" s="13" t="str">
        <f>TEXT(Table1[[#This Row],[Date]],"[$-en-US]ddd")</f>
        <v>Tue</v>
      </c>
    </row>
    <row r="2130" spans="1:11" x14ac:dyDescent="0.25">
      <c r="A2130">
        <v>11</v>
      </c>
      <c r="B2130" t="s">
        <v>9</v>
      </c>
      <c r="C2130">
        <v>35.76</v>
      </c>
      <c r="D2130" t="s">
        <v>10</v>
      </c>
      <c r="E2130" t="s">
        <v>11</v>
      </c>
      <c r="F2130" t="s">
        <v>36</v>
      </c>
      <c r="G2130">
        <v>2</v>
      </c>
      <c r="H2130">
        <v>11</v>
      </c>
      <c r="I2130" s="13">
        <v>45601</v>
      </c>
      <c r="J2130" s="13" t="str">
        <f>TEXT(Table1[[#This Row],[Date]],"[$-en-US]mmm yyyy")</f>
        <v>Nov 2024</v>
      </c>
      <c r="K2130" s="13" t="str">
        <f>TEXT(Table1[[#This Row],[Date]],"[$-en-US]ddd")</f>
        <v>Tue</v>
      </c>
    </row>
    <row r="2131" spans="1:11" x14ac:dyDescent="0.25">
      <c r="A2131">
        <v>14</v>
      </c>
      <c r="B2131" t="s">
        <v>9</v>
      </c>
      <c r="C2131">
        <v>35.76</v>
      </c>
      <c r="D2131" t="s">
        <v>10</v>
      </c>
      <c r="E2131" t="s">
        <v>15</v>
      </c>
      <c r="F2131" t="s">
        <v>36</v>
      </c>
      <c r="G2131">
        <v>2</v>
      </c>
      <c r="H2131">
        <v>11</v>
      </c>
      <c r="I2131" s="13">
        <v>45601</v>
      </c>
      <c r="J2131" s="13" t="str">
        <f>TEXT(Table1[[#This Row],[Date]],"[$-en-US]mmm yyyy")</f>
        <v>Nov 2024</v>
      </c>
      <c r="K2131" s="13" t="str">
        <f>TEXT(Table1[[#This Row],[Date]],"[$-en-US]ddd")</f>
        <v>Tue</v>
      </c>
    </row>
    <row r="2132" spans="1:11" x14ac:dyDescent="0.25">
      <c r="A2132">
        <v>14</v>
      </c>
      <c r="B2132" t="s">
        <v>9</v>
      </c>
      <c r="C2132">
        <v>35.76</v>
      </c>
      <c r="D2132" t="s">
        <v>10</v>
      </c>
      <c r="E2132" t="s">
        <v>15</v>
      </c>
      <c r="F2132" t="s">
        <v>36</v>
      </c>
      <c r="G2132">
        <v>2</v>
      </c>
      <c r="H2132">
        <v>11</v>
      </c>
      <c r="I2132" s="13">
        <v>45601</v>
      </c>
      <c r="J2132" s="13" t="str">
        <f>TEXT(Table1[[#This Row],[Date]],"[$-en-US]mmm yyyy")</f>
        <v>Nov 2024</v>
      </c>
      <c r="K2132" s="13" t="str">
        <f>TEXT(Table1[[#This Row],[Date]],"[$-en-US]ddd")</f>
        <v>Tue</v>
      </c>
    </row>
    <row r="2133" spans="1:11" x14ac:dyDescent="0.25">
      <c r="A2133">
        <v>18</v>
      </c>
      <c r="B2133" t="s">
        <v>9</v>
      </c>
      <c r="C2133">
        <v>35.76</v>
      </c>
      <c r="D2133" t="s">
        <v>27</v>
      </c>
      <c r="E2133" t="s">
        <v>18</v>
      </c>
      <c r="F2133" t="s">
        <v>36</v>
      </c>
      <c r="G2133">
        <v>2</v>
      </c>
      <c r="H2133">
        <v>11</v>
      </c>
      <c r="I2133" s="13">
        <v>45601</v>
      </c>
      <c r="J2133" s="13" t="str">
        <f>TEXT(Table1[[#This Row],[Date]],"[$-en-US]mmm yyyy")</f>
        <v>Nov 2024</v>
      </c>
      <c r="K2133" s="13" t="str">
        <f>TEXT(Table1[[#This Row],[Date]],"[$-en-US]ddd")</f>
        <v>Tue</v>
      </c>
    </row>
    <row r="2134" spans="1:11" x14ac:dyDescent="0.25">
      <c r="A2134">
        <v>18</v>
      </c>
      <c r="B2134" t="s">
        <v>9</v>
      </c>
      <c r="C2134">
        <v>35.76</v>
      </c>
      <c r="D2134" t="s">
        <v>27</v>
      </c>
      <c r="E2134" t="s">
        <v>18</v>
      </c>
      <c r="F2134" t="s">
        <v>36</v>
      </c>
      <c r="G2134">
        <v>2</v>
      </c>
      <c r="H2134">
        <v>11</v>
      </c>
      <c r="I2134" s="13">
        <v>45601</v>
      </c>
      <c r="J2134" s="13" t="str">
        <f>TEXT(Table1[[#This Row],[Date]],"[$-en-US]mmm yyyy")</f>
        <v>Nov 2024</v>
      </c>
      <c r="K2134" s="13" t="str">
        <f>TEXT(Table1[[#This Row],[Date]],"[$-en-US]ddd")</f>
        <v>Tue</v>
      </c>
    </row>
    <row r="2135" spans="1:11" x14ac:dyDescent="0.25">
      <c r="A2135">
        <v>18</v>
      </c>
      <c r="B2135" t="s">
        <v>9</v>
      </c>
      <c r="C2135">
        <v>35.76</v>
      </c>
      <c r="D2135" t="s">
        <v>27</v>
      </c>
      <c r="E2135" t="s">
        <v>18</v>
      </c>
      <c r="F2135" t="s">
        <v>36</v>
      </c>
      <c r="G2135">
        <v>2</v>
      </c>
      <c r="H2135">
        <v>11</v>
      </c>
      <c r="I2135" s="13">
        <v>45601</v>
      </c>
      <c r="J2135" s="13" t="str">
        <f>TEXT(Table1[[#This Row],[Date]],"[$-en-US]mmm yyyy")</f>
        <v>Nov 2024</v>
      </c>
      <c r="K2135" s="13" t="str">
        <f>TEXT(Table1[[#This Row],[Date]],"[$-en-US]ddd")</f>
        <v>Tue</v>
      </c>
    </row>
    <row r="2136" spans="1:11" x14ac:dyDescent="0.25">
      <c r="A2136">
        <v>21</v>
      </c>
      <c r="B2136" t="s">
        <v>9</v>
      </c>
      <c r="C2136">
        <v>35.76</v>
      </c>
      <c r="D2136" t="s">
        <v>19</v>
      </c>
      <c r="E2136" t="s">
        <v>18</v>
      </c>
      <c r="F2136" t="s">
        <v>36</v>
      </c>
      <c r="G2136">
        <v>2</v>
      </c>
      <c r="H2136">
        <v>11</v>
      </c>
      <c r="I2136" s="13">
        <v>45601</v>
      </c>
      <c r="J2136" s="13" t="str">
        <f>TEXT(Table1[[#This Row],[Date]],"[$-en-US]mmm yyyy")</f>
        <v>Nov 2024</v>
      </c>
      <c r="K2136" s="13" t="str">
        <f>TEXT(Table1[[#This Row],[Date]],"[$-en-US]ddd")</f>
        <v>Tue</v>
      </c>
    </row>
    <row r="2137" spans="1:11" x14ac:dyDescent="0.25">
      <c r="A2137">
        <v>21</v>
      </c>
      <c r="B2137" t="s">
        <v>9</v>
      </c>
      <c r="C2137">
        <v>35.76</v>
      </c>
      <c r="D2137" t="s">
        <v>19</v>
      </c>
      <c r="E2137" t="s">
        <v>18</v>
      </c>
      <c r="F2137" t="s">
        <v>36</v>
      </c>
      <c r="G2137">
        <v>2</v>
      </c>
      <c r="H2137">
        <v>11</v>
      </c>
      <c r="I2137" s="13">
        <v>45601</v>
      </c>
      <c r="J2137" s="13" t="str">
        <f>TEXT(Table1[[#This Row],[Date]],"[$-en-US]mmm yyyy")</f>
        <v>Nov 2024</v>
      </c>
      <c r="K2137" s="13" t="str">
        <f>TEXT(Table1[[#This Row],[Date]],"[$-en-US]ddd")</f>
        <v>Tue</v>
      </c>
    </row>
    <row r="2138" spans="1:11" x14ac:dyDescent="0.25">
      <c r="A2138">
        <v>21</v>
      </c>
      <c r="B2138" t="s">
        <v>9</v>
      </c>
      <c r="C2138">
        <v>35.76</v>
      </c>
      <c r="D2138" t="s">
        <v>14</v>
      </c>
      <c r="E2138" t="s">
        <v>18</v>
      </c>
      <c r="F2138" t="s">
        <v>36</v>
      </c>
      <c r="G2138">
        <v>2</v>
      </c>
      <c r="H2138">
        <v>11</v>
      </c>
      <c r="I2138" s="13">
        <v>45601</v>
      </c>
      <c r="J2138" s="13" t="str">
        <f>TEXT(Table1[[#This Row],[Date]],"[$-en-US]mmm yyyy")</f>
        <v>Nov 2024</v>
      </c>
      <c r="K2138" s="13" t="str">
        <f>TEXT(Table1[[#This Row],[Date]],"[$-en-US]ddd")</f>
        <v>Tue</v>
      </c>
    </row>
    <row r="2139" spans="1:11" x14ac:dyDescent="0.25">
      <c r="A2139">
        <v>22</v>
      </c>
      <c r="B2139" t="s">
        <v>9</v>
      </c>
      <c r="C2139">
        <v>35.76</v>
      </c>
      <c r="D2139" t="s">
        <v>14</v>
      </c>
      <c r="E2139" t="s">
        <v>18</v>
      </c>
      <c r="F2139" t="s">
        <v>36</v>
      </c>
      <c r="G2139">
        <v>2</v>
      </c>
      <c r="H2139">
        <v>11</v>
      </c>
      <c r="I2139" s="13">
        <v>45601</v>
      </c>
      <c r="J2139" s="13" t="str">
        <f>TEXT(Table1[[#This Row],[Date]],"[$-en-US]mmm yyyy")</f>
        <v>Nov 2024</v>
      </c>
      <c r="K2139" s="13" t="str">
        <f>TEXT(Table1[[#This Row],[Date]],"[$-en-US]ddd")</f>
        <v>Tue</v>
      </c>
    </row>
    <row r="2140" spans="1:11" x14ac:dyDescent="0.25">
      <c r="A2140">
        <v>22</v>
      </c>
      <c r="B2140" t="s">
        <v>9</v>
      </c>
      <c r="C2140">
        <v>30.86</v>
      </c>
      <c r="D2140" t="s">
        <v>17</v>
      </c>
      <c r="E2140" t="s">
        <v>18</v>
      </c>
      <c r="F2140" t="s">
        <v>36</v>
      </c>
      <c r="G2140">
        <v>2</v>
      </c>
      <c r="H2140">
        <v>11</v>
      </c>
      <c r="I2140" s="13">
        <v>45601</v>
      </c>
      <c r="J2140" s="13" t="str">
        <f>TEXT(Table1[[#This Row],[Date]],"[$-en-US]mmm yyyy")</f>
        <v>Nov 2024</v>
      </c>
      <c r="K2140" s="13" t="str">
        <f>TEXT(Table1[[#This Row],[Date]],"[$-en-US]ddd")</f>
        <v>Tue</v>
      </c>
    </row>
    <row r="2141" spans="1:11" x14ac:dyDescent="0.25">
      <c r="A2141">
        <v>8</v>
      </c>
      <c r="B2141" t="s">
        <v>9</v>
      </c>
      <c r="C2141">
        <v>35.76</v>
      </c>
      <c r="D2141" t="s">
        <v>10</v>
      </c>
      <c r="E2141" t="s">
        <v>11</v>
      </c>
      <c r="F2141" t="s">
        <v>36</v>
      </c>
      <c r="G2141">
        <v>3</v>
      </c>
      <c r="H2141">
        <v>11</v>
      </c>
      <c r="I2141" s="13">
        <v>45602</v>
      </c>
      <c r="J2141" s="13" t="str">
        <f>TEXT(Table1[[#This Row],[Date]],"[$-en-US]mmm yyyy")</f>
        <v>Nov 2024</v>
      </c>
      <c r="K2141" s="13" t="str">
        <f>TEXT(Table1[[#This Row],[Date]],"[$-en-US]ddd")</f>
        <v>Wed</v>
      </c>
    </row>
    <row r="2142" spans="1:11" x14ac:dyDescent="0.25">
      <c r="A2142">
        <v>11</v>
      </c>
      <c r="B2142" t="s">
        <v>9</v>
      </c>
      <c r="C2142">
        <v>21.06</v>
      </c>
      <c r="D2142" t="s">
        <v>24</v>
      </c>
      <c r="E2142" t="s">
        <v>11</v>
      </c>
      <c r="F2142" t="s">
        <v>36</v>
      </c>
      <c r="G2142">
        <v>3</v>
      </c>
      <c r="H2142">
        <v>11</v>
      </c>
      <c r="I2142" s="13">
        <v>45602</v>
      </c>
      <c r="J2142" s="13" t="str">
        <f>TEXT(Table1[[#This Row],[Date]],"[$-en-US]mmm yyyy")</f>
        <v>Nov 2024</v>
      </c>
      <c r="K2142" s="13" t="str">
        <f>TEXT(Table1[[#This Row],[Date]],"[$-en-US]ddd")</f>
        <v>Wed</v>
      </c>
    </row>
    <row r="2143" spans="1:11" x14ac:dyDescent="0.25">
      <c r="A2143">
        <v>13</v>
      </c>
      <c r="B2143" t="s">
        <v>9</v>
      </c>
      <c r="C2143">
        <v>25.96</v>
      </c>
      <c r="D2143" t="s">
        <v>16</v>
      </c>
      <c r="E2143" t="s">
        <v>15</v>
      </c>
      <c r="F2143" t="s">
        <v>36</v>
      </c>
      <c r="G2143">
        <v>3</v>
      </c>
      <c r="H2143">
        <v>11</v>
      </c>
      <c r="I2143" s="13">
        <v>45602</v>
      </c>
      <c r="J2143" s="13" t="str">
        <f>TEXT(Table1[[#This Row],[Date]],"[$-en-US]mmm yyyy")</f>
        <v>Nov 2024</v>
      </c>
      <c r="K2143" s="13" t="str">
        <f>TEXT(Table1[[#This Row],[Date]],"[$-en-US]ddd")</f>
        <v>Wed</v>
      </c>
    </row>
    <row r="2144" spans="1:11" x14ac:dyDescent="0.25">
      <c r="A2144">
        <v>15</v>
      </c>
      <c r="B2144" t="s">
        <v>9</v>
      </c>
      <c r="C2144">
        <v>35.76</v>
      </c>
      <c r="D2144" t="s">
        <v>27</v>
      </c>
      <c r="E2144" t="s">
        <v>15</v>
      </c>
      <c r="F2144" t="s">
        <v>36</v>
      </c>
      <c r="G2144">
        <v>3</v>
      </c>
      <c r="H2144">
        <v>11</v>
      </c>
      <c r="I2144" s="13">
        <v>45602</v>
      </c>
      <c r="J2144" s="13" t="str">
        <f>TEXT(Table1[[#This Row],[Date]],"[$-en-US]mmm yyyy")</f>
        <v>Nov 2024</v>
      </c>
      <c r="K2144" s="13" t="str">
        <f>TEXT(Table1[[#This Row],[Date]],"[$-en-US]ddd")</f>
        <v>Wed</v>
      </c>
    </row>
    <row r="2145" spans="1:11" x14ac:dyDescent="0.25">
      <c r="A2145">
        <v>16</v>
      </c>
      <c r="B2145" t="s">
        <v>9</v>
      </c>
      <c r="C2145">
        <v>35.76</v>
      </c>
      <c r="D2145" t="s">
        <v>10</v>
      </c>
      <c r="E2145" t="s">
        <v>15</v>
      </c>
      <c r="F2145" t="s">
        <v>36</v>
      </c>
      <c r="G2145">
        <v>3</v>
      </c>
      <c r="H2145">
        <v>11</v>
      </c>
      <c r="I2145" s="13">
        <v>45602</v>
      </c>
      <c r="J2145" s="13" t="str">
        <f>TEXT(Table1[[#This Row],[Date]],"[$-en-US]mmm yyyy")</f>
        <v>Nov 2024</v>
      </c>
      <c r="K2145" s="13" t="str">
        <f>TEXT(Table1[[#This Row],[Date]],"[$-en-US]ddd")</f>
        <v>Wed</v>
      </c>
    </row>
    <row r="2146" spans="1:11" x14ac:dyDescent="0.25">
      <c r="A2146">
        <v>16</v>
      </c>
      <c r="B2146" t="s">
        <v>9</v>
      </c>
      <c r="C2146">
        <v>35.76</v>
      </c>
      <c r="D2146" t="s">
        <v>27</v>
      </c>
      <c r="E2146" t="s">
        <v>15</v>
      </c>
      <c r="F2146" t="s">
        <v>36</v>
      </c>
      <c r="G2146">
        <v>3</v>
      </c>
      <c r="H2146">
        <v>11</v>
      </c>
      <c r="I2146" s="13">
        <v>45602</v>
      </c>
      <c r="J2146" s="13" t="str">
        <f>TEXT(Table1[[#This Row],[Date]],"[$-en-US]mmm yyyy")</f>
        <v>Nov 2024</v>
      </c>
      <c r="K2146" s="13" t="str">
        <f>TEXT(Table1[[#This Row],[Date]],"[$-en-US]ddd")</f>
        <v>Wed</v>
      </c>
    </row>
    <row r="2147" spans="1:11" x14ac:dyDescent="0.25">
      <c r="A2147">
        <v>18</v>
      </c>
      <c r="B2147" t="s">
        <v>9</v>
      </c>
      <c r="C2147">
        <v>35.76</v>
      </c>
      <c r="D2147" t="s">
        <v>14</v>
      </c>
      <c r="E2147" t="s">
        <v>18</v>
      </c>
      <c r="F2147" t="s">
        <v>36</v>
      </c>
      <c r="G2147">
        <v>3</v>
      </c>
      <c r="H2147">
        <v>11</v>
      </c>
      <c r="I2147" s="13">
        <v>45602</v>
      </c>
      <c r="J2147" s="13" t="str">
        <f>TEXT(Table1[[#This Row],[Date]],"[$-en-US]mmm yyyy")</f>
        <v>Nov 2024</v>
      </c>
      <c r="K2147" s="13" t="str">
        <f>TEXT(Table1[[#This Row],[Date]],"[$-en-US]ddd")</f>
        <v>Wed</v>
      </c>
    </row>
    <row r="2148" spans="1:11" x14ac:dyDescent="0.25">
      <c r="A2148">
        <v>18</v>
      </c>
      <c r="B2148" t="s">
        <v>9</v>
      </c>
      <c r="C2148">
        <v>35.76</v>
      </c>
      <c r="D2148" t="s">
        <v>14</v>
      </c>
      <c r="E2148" t="s">
        <v>18</v>
      </c>
      <c r="F2148" t="s">
        <v>36</v>
      </c>
      <c r="G2148">
        <v>3</v>
      </c>
      <c r="H2148">
        <v>11</v>
      </c>
      <c r="I2148" s="13">
        <v>45602</v>
      </c>
      <c r="J2148" s="13" t="str">
        <f>TEXT(Table1[[#This Row],[Date]],"[$-en-US]mmm yyyy")</f>
        <v>Nov 2024</v>
      </c>
      <c r="K2148" s="13" t="str">
        <f>TEXT(Table1[[#This Row],[Date]],"[$-en-US]ddd")</f>
        <v>Wed</v>
      </c>
    </row>
    <row r="2149" spans="1:11" x14ac:dyDescent="0.25">
      <c r="A2149">
        <v>12</v>
      </c>
      <c r="B2149" t="s">
        <v>9</v>
      </c>
      <c r="C2149">
        <v>35.76</v>
      </c>
      <c r="D2149" t="s">
        <v>10</v>
      </c>
      <c r="E2149" t="s">
        <v>15</v>
      </c>
      <c r="F2149" t="s">
        <v>36</v>
      </c>
      <c r="G2149">
        <v>4</v>
      </c>
      <c r="H2149">
        <v>11</v>
      </c>
      <c r="I2149" s="13">
        <v>45603</v>
      </c>
      <c r="J2149" s="13" t="str">
        <f>TEXT(Table1[[#This Row],[Date]],"[$-en-US]mmm yyyy")</f>
        <v>Nov 2024</v>
      </c>
      <c r="K2149" s="13" t="str">
        <f>TEXT(Table1[[#This Row],[Date]],"[$-en-US]ddd")</f>
        <v>Thu</v>
      </c>
    </row>
    <row r="2150" spans="1:11" x14ac:dyDescent="0.25">
      <c r="A2150">
        <v>15</v>
      </c>
      <c r="B2150" t="s">
        <v>9</v>
      </c>
      <c r="C2150">
        <v>25.96</v>
      </c>
      <c r="D2150" t="s">
        <v>16</v>
      </c>
      <c r="E2150" t="s">
        <v>15</v>
      </c>
      <c r="F2150" t="s">
        <v>36</v>
      </c>
      <c r="G2150">
        <v>4</v>
      </c>
      <c r="H2150">
        <v>11</v>
      </c>
      <c r="I2150" s="13">
        <v>45603</v>
      </c>
      <c r="J2150" s="13" t="str">
        <f>TEXT(Table1[[#This Row],[Date]],"[$-en-US]mmm yyyy")</f>
        <v>Nov 2024</v>
      </c>
      <c r="K2150" s="13" t="str">
        <f>TEXT(Table1[[#This Row],[Date]],"[$-en-US]ddd")</f>
        <v>Thu</v>
      </c>
    </row>
    <row r="2151" spans="1:11" x14ac:dyDescent="0.25">
      <c r="A2151">
        <v>16</v>
      </c>
      <c r="B2151" t="s">
        <v>9</v>
      </c>
      <c r="C2151">
        <v>25.96</v>
      </c>
      <c r="D2151" t="s">
        <v>16</v>
      </c>
      <c r="E2151" t="s">
        <v>15</v>
      </c>
      <c r="F2151" t="s">
        <v>36</v>
      </c>
      <c r="G2151">
        <v>4</v>
      </c>
      <c r="H2151">
        <v>11</v>
      </c>
      <c r="I2151" s="13">
        <v>45603</v>
      </c>
      <c r="J2151" s="13" t="str">
        <f>TEXT(Table1[[#This Row],[Date]],"[$-en-US]mmm yyyy")</f>
        <v>Nov 2024</v>
      </c>
      <c r="K2151" s="13" t="str">
        <f>TEXT(Table1[[#This Row],[Date]],"[$-en-US]ddd")</f>
        <v>Thu</v>
      </c>
    </row>
    <row r="2152" spans="1:11" x14ac:dyDescent="0.25">
      <c r="A2152">
        <v>18</v>
      </c>
      <c r="B2152" t="s">
        <v>9</v>
      </c>
      <c r="C2152">
        <v>35.76</v>
      </c>
      <c r="D2152" t="s">
        <v>19</v>
      </c>
      <c r="E2152" t="s">
        <v>18</v>
      </c>
      <c r="F2152" t="s">
        <v>36</v>
      </c>
      <c r="G2152">
        <v>4</v>
      </c>
      <c r="H2152">
        <v>11</v>
      </c>
      <c r="I2152" s="13">
        <v>45603</v>
      </c>
      <c r="J2152" s="13" t="str">
        <f>TEXT(Table1[[#This Row],[Date]],"[$-en-US]mmm yyyy")</f>
        <v>Nov 2024</v>
      </c>
      <c r="K2152" s="13" t="str">
        <f>TEXT(Table1[[#This Row],[Date]],"[$-en-US]ddd")</f>
        <v>Thu</v>
      </c>
    </row>
    <row r="2153" spans="1:11" x14ac:dyDescent="0.25">
      <c r="A2153">
        <v>19</v>
      </c>
      <c r="B2153" t="s">
        <v>9</v>
      </c>
      <c r="C2153">
        <v>35.76</v>
      </c>
      <c r="D2153" t="s">
        <v>14</v>
      </c>
      <c r="E2153" t="s">
        <v>18</v>
      </c>
      <c r="F2153" t="s">
        <v>36</v>
      </c>
      <c r="G2153">
        <v>4</v>
      </c>
      <c r="H2153">
        <v>11</v>
      </c>
      <c r="I2153" s="13">
        <v>45603</v>
      </c>
      <c r="J2153" s="13" t="str">
        <f>TEXT(Table1[[#This Row],[Date]],"[$-en-US]mmm yyyy")</f>
        <v>Nov 2024</v>
      </c>
      <c r="K2153" s="13" t="str">
        <f>TEXT(Table1[[#This Row],[Date]],"[$-en-US]ddd")</f>
        <v>Thu</v>
      </c>
    </row>
    <row r="2154" spans="1:11" x14ac:dyDescent="0.25">
      <c r="A2154">
        <v>19</v>
      </c>
      <c r="B2154" t="s">
        <v>9</v>
      </c>
      <c r="C2154">
        <v>35.76</v>
      </c>
      <c r="D2154" t="s">
        <v>10</v>
      </c>
      <c r="E2154" t="s">
        <v>18</v>
      </c>
      <c r="F2154" t="s">
        <v>36</v>
      </c>
      <c r="G2154">
        <v>4</v>
      </c>
      <c r="H2154">
        <v>11</v>
      </c>
      <c r="I2154" s="13">
        <v>45603</v>
      </c>
      <c r="J2154" s="13" t="str">
        <f>TEXT(Table1[[#This Row],[Date]],"[$-en-US]mmm yyyy")</f>
        <v>Nov 2024</v>
      </c>
      <c r="K2154" s="13" t="str">
        <f>TEXT(Table1[[#This Row],[Date]],"[$-en-US]ddd")</f>
        <v>Thu</v>
      </c>
    </row>
    <row r="2155" spans="1:11" x14ac:dyDescent="0.25">
      <c r="A2155">
        <v>20</v>
      </c>
      <c r="B2155" t="s">
        <v>9</v>
      </c>
      <c r="C2155">
        <v>35.76</v>
      </c>
      <c r="D2155" t="s">
        <v>10</v>
      </c>
      <c r="E2155" t="s">
        <v>18</v>
      </c>
      <c r="F2155" t="s">
        <v>36</v>
      </c>
      <c r="G2155">
        <v>4</v>
      </c>
      <c r="H2155">
        <v>11</v>
      </c>
      <c r="I2155" s="13">
        <v>45603</v>
      </c>
      <c r="J2155" s="13" t="str">
        <f>TEXT(Table1[[#This Row],[Date]],"[$-en-US]mmm yyyy")</f>
        <v>Nov 2024</v>
      </c>
      <c r="K2155" s="13" t="str">
        <f>TEXT(Table1[[#This Row],[Date]],"[$-en-US]ddd")</f>
        <v>Thu</v>
      </c>
    </row>
    <row r="2156" spans="1:11" x14ac:dyDescent="0.25">
      <c r="A2156">
        <v>9</v>
      </c>
      <c r="B2156" t="s">
        <v>9</v>
      </c>
      <c r="C2156">
        <v>30.86</v>
      </c>
      <c r="D2156" t="s">
        <v>17</v>
      </c>
      <c r="E2156" t="s">
        <v>11</v>
      </c>
      <c r="F2156" t="s">
        <v>36</v>
      </c>
      <c r="G2156">
        <v>5</v>
      </c>
      <c r="H2156">
        <v>11</v>
      </c>
      <c r="I2156" s="13">
        <v>45604</v>
      </c>
      <c r="J2156" s="13" t="str">
        <f>TEXT(Table1[[#This Row],[Date]],"[$-en-US]mmm yyyy")</f>
        <v>Nov 2024</v>
      </c>
      <c r="K2156" s="13" t="str">
        <f>TEXT(Table1[[#This Row],[Date]],"[$-en-US]ddd")</f>
        <v>Fri</v>
      </c>
    </row>
    <row r="2157" spans="1:11" x14ac:dyDescent="0.25">
      <c r="A2157">
        <v>9</v>
      </c>
      <c r="B2157" t="s">
        <v>9</v>
      </c>
      <c r="C2157">
        <v>25.96</v>
      </c>
      <c r="D2157" t="s">
        <v>16</v>
      </c>
      <c r="E2157" t="s">
        <v>11</v>
      </c>
      <c r="F2157" t="s">
        <v>36</v>
      </c>
      <c r="G2157">
        <v>5</v>
      </c>
      <c r="H2157">
        <v>11</v>
      </c>
      <c r="I2157" s="13">
        <v>45604</v>
      </c>
      <c r="J2157" s="13" t="str">
        <f>TEXT(Table1[[#This Row],[Date]],"[$-en-US]mmm yyyy")</f>
        <v>Nov 2024</v>
      </c>
      <c r="K2157" s="13" t="str">
        <f>TEXT(Table1[[#This Row],[Date]],"[$-en-US]ddd")</f>
        <v>Fri</v>
      </c>
    </row>
    <row r="2158" spans="1:11" x14ac:dyDescent="0.25">
      <c r="A2158">
        <v>9</v>
      </c>
      <c r="B2158" t="s">
        <v>9</v>
      </c>
      <c r="C2158">
        <v>25.96</v>
      </c>
      <c r="D2158" t="s">
        <v>16</v>
      </c>
      <c r="E2158" t="s">
        <v>11</v>
      </c>
      <c r="F2158" t="s">
        <v>36</v>
      </c>
      <c r="G2158">
        <v>5</v>
      </c>
      <c r="H2158">
        <v>11</v>
      </c>
      <c r="I2158" s="13">
        <v>45604</v>
      </c>
      <c r="J2158" s="13" t="str">
        <f>TEXT(Table1[[#This Row],[Date]],"[$-en-US]mmm yyyy")</f>
        <v>Nov 2024</v>
      </c>
      <c r="K2158" s="13" t="str">
        <f>TEXT(Table1[[#This Row],[Date]],"[$-en-US]ddd")</f>
        <v>Fri</v>
      </c>
    </row>
    <row r="2159" spans="1:11" x14ac:dyDescent="0.25">
      <c r="A2159">
        <v>11</v>
      </c>
      <c r="B2159" t="s">
        <v>9</v>
      </c>
      <c r="C2159">
        <v>35.76</v>
      </c>
      <c r="D2159" t="s">
        <v>27</v>
      </c>
      <c r="E2159" t="s">
        <v>11</v>
      </c>
      <c r="F2159" t="s">
        <v>36</v>
      </c>
      <c r="G2159">
        <v>5</v>
      </c>
      <c r="H2159">
        <v>11</v>
      </c>
      <c r="I2159" s="13">
        <v>45604</v>
      </c>
      <c r="J2159" s="13" t="str">
        <f>TEXT(Table1[[#This Row],[Date]],"[$-en-US]mmm yyyy")</f>
        <v>Nov 2024</v>
      </c>
      <c r="K2159" s="13" t="str">
        <f>TEXT(Table1[[#This Row],[Date]],"[$-en-US]ddd")</f>
        <v>Fri</v>
      </c>
    </row>
    <row r="2160" spans="1:11" x14ac:dyDescent="0.25">
      <c r="A2160">
        <v>13</v>
      </c>
      <c r="B2160" t="s">
        <v>9</v>
      </c>
      <c r="C2160">
        <v>35.76</v>
      </c>
      <c r="D2160" t="s">
        <v>10</v>
      </c>
      <c r="E2160" t="s">
        <v>15</v>
      </c>
      <c r="F2160" t="s">
        <v>36</v>
      </c>
      <c r="G2160">
        <v>5</v>
      </c>
      <c r="H2160">
        <v>11</v>
      </c>
      <c r="I2160" s="13">
        <v>45604</v>
      </c>
      <c r="J2160" s="13" t="str">
        <f>TEXT(Table1[[#This Row],[Date]],"[$-en-US]mmm yyyy")</f>
        <v>Nov 2024</v>
      </c>
      <c r="K2160" s="13" t="str">
        <f>TEXT(Table1[[#This Row],[Date]],"[$-en-US]ddd")</f>
        <v>Fri</v>
      </c>
    </row>
    <row r="2161" spans="1:11" x14ac:dyDescent="0.25">
      <c r="A2161">
        <v>13</v>
      </c>
      <c r="B2161" t="s">
        <v>9</v>
      </c>
      <c r="C2161">
        <v>35.76</v>
      </c>
      <c r="D2161" t="s">
        <v>10</v>
      </c>
      <c r="E2161" t="s">
        <v>15</v>
      </c>
      <c r="F2161" t="s">
        <v>36</v>
      </c>
      <c r="G2161">
        <v>5</v>
      </c>
      <c r="H2161">
        <v>11</v>
      </c>
      <c r="I2161" s="13">
        <v>45604</v>
      </c>
      <c r="J2161" s="13" t="str">
        <f>TEXT(Table1[[#This Row],[Date]],"[$-en-US]mmm yyyy")</f>
        <v>Nov 2024</v>
      </c>
      <c r="K2161" s="13" t="str">
        <f>TEXT(Table1[[#This Row],[Date]],"[$-en-US]ddd")</f>
        <v>Fri</v>
      </c>
    </row>
    <row r="2162" spans="1:11" x14ac:dyDescent="0.25">
      <c r="A2162">
        <v>16</v>
      </c>
      <c r="B2162" t="s">
        <v>9</v>
      </c>
      <c r="C2162">
        <v>30.86</v>
      </c>
      <c r="D2162" t="s">
        <v>17</v>
      </c>
      <c r="E2162" t="s">
        <v>15</v>
      </c>
      <c r="F2162" t="s">
        <v>36</v>
      </c>
      <c r="G2162">
        <v>5</v>
      </c>
      <c r="H2162">
        <v>11</v>
      </c>
      <c r="I2162" s="13">
        <v>45604</v>
      </c>
      <c r="J2162" s="13" t="str">
        <f>TEXT(Table1[[#This Row],[Date]],"[$-en-US]mmm yyyy")</f>
        <v>Nov 2024</v>
      </c>
      <c r="K2162" s="13" t="str">
        <f>TEXT(Table1[[#This Row],[Date]],"[$-en-US]ddd")</f>
        <v>Fri</v>
      </c>
    </row>
    <row r="2163" spans="1:11" x14ac:dyDescent="0.25">
      <c r="A2163">
        <v>16</v>
      </c>
      <c r="B2163" t="s">
        <v>9</v>
      </c>
      <c r="C2163">
        <v>30.86</v>
      </c>
      <c r="D2163" t="s">
        <v>17</v>
      </c>
      <c r="E2163" t="s">
        <v>15</v>
      </c>
      <c r="F2163" t="s">
        <v>36</v>
      </c>
      <c r="G2163">
        <v>5</v>
      </c>
      <c r="H2163">
        <v>11</v>
      </c>
      <c r="I2163" s="13">
        <v>45604</v>
      </c>
      <c r="J2163" s="13" t="str">
        <f>TEXT(Table1[[#This Row],[Date]],"[$-en-US]mmm yyyy")</f>
        <v>Nov 2024</v>
      </c>
      <c r="K2163" s="13" t="str">
        <f>TEXT(Table1[[#This Row],[Date]],"[$-en-US]ddd")</f>
        <v>Fri</v>
      </c>
    </row>
    <row r="2164" spans="1:11" x14ac:dyDescent="0.25">
      <c r="A2164">
        <v>20</v>
      </c>
      <c r="B2164" t="s">
        <v>9</v>
      </c>
      <c r="C2164">
        <v>35.76</v>
      </c>
      <c r="D2164" t="s">
        <v>14</v>
      </c>
      <c r="E2164" t="s">
        <v>18</v>
      </c>
      <c r="F2164" t="s">
        <v>36</v>
      </c>
      <c r="G2164">
        <v>5</v>
      </c>
      <c r="H2164">
        <v>11</v>
      </c>
      <c r="I2164" s="13">
        <v>45604</v>
      </c>
      <c r="J2164" s="13" t="str">
        <f>TEXT(Table1[[#This Row],[Date]],"[$-en-US]mmm yyyy")</f>
        <v>Nov 2024</v>
      </c>
      <c r="K2164" s="13" t="str">
        <f>TEXT(Table1[[#This Row],[Date]],"[$-en-US]ddd")</f>
        <v>Fri</v>
      </c>
    </row>
    <row r="2165" spans="1:11" x14ac:dyDescent="0.25">
      <c r="A2165">
        <v>20</v>
      </c>
      <c r="B2165" t="s">
        <v>9</v>
      </c>
      <c r="C2165">
        <v>35.76</v>
      </c>
      <c r="D2165" t="s">
        <v>14</v>
      </c>
      <c r="E2165" t="s">
        <v>18</v>
      </c>
      <c r="F2165" t="s">
        <v>36</v>
      </c>
      <c r="G2165">
        <v>5</v>
      </c>
      <c r="H2165">
        <v>11</v>
      </c>
      <c r="I2165" s="13">
        <v>45604</v>
      </c>
      <c r="J2165" s="13" t="str">
        <f>TEXT(Table1[[#This Row],[Date]],"[$-en-US]mmm yyyy")</f>
        <v>Nov 2024</v>
      </c>
      <c r="K2165" s="13" t="str">
        <f>TEXT(Table1[[#This Row],[Date]],"[$-en-US]ddd")</f>
        <v>Fri</v>
      </c>
    </row>
    <row r="2166" spans="1:11" x14ac:dyDescent="0.25">
      <c r="A2166">
        <v>20</v>
      </c>
      <c r="B2166" t="s">
        <v>9</v>
      </c>
      <c r="C2166">
        <v>35.76</v>
      </c>
      <c r="D2166" t="s">
        <v>14</v>
      </c>
      <c r="E2166" t="s">
        <v>18</v>
      </c>
      <c r="F2166" t="s">
        <v>36</v>
      </c>
      <c r="G2166">
        <v>5</v>
      </c>
      <c r="H2166">
        <v>11</v>
      </c>
      <c r="I2166" s="13">
        <v>45604</v>
      </c>
      <c r="J2166" s="13" t="str">
        <f>TEXT(Table1[[#This Row],[Date]],"[$-en-US]mmm yyyy")</f>
        <v>Nov 2024</v>
      </c>
      <c r="K2166" s="13" t="str">
        <f>TEXT(Table1[[#This Row],[Date]],"[$-en-US]ddd")</f>
        <v>Fri</v>
      </c>
    </row>
    <row r="2167" spans="1:11" x14ac:dyDescent="0.25">
      <c r="A2167">
        <v>22</v>
      </c>
      <c r="B2167" t="s">
        <v>9</v>
      </c>
      <c r="C2167">
        <v>35.76</v>
      </c>
      <c r="D2167" t="s">
        <v>10</v>
      </c>
      <c r="E2167" t="s">
        <v>18</v>
      </c>
      <c r="F2167" t="s">
        <v>36</v>
      </c>
      <c r="G2167">
        <v>5</v>
      </c>
      <c r="H2167">
        <v>11</v>
      </c>
      <c r="I2167" s="13">
        <v>45604</v>
      </c>
      <c r="J2167" s="13" t="str">
        <f>TEXT(Table1[[#This Row],[Date]],"[$-en-US]mmm yyyy")</f>
        <v>Nov 2024</v>
      </c>
      <c r="K2167" s="13" t="str">
        <f>TEXT(Table1[[#This Row],[Date]],"[$-en-US]ddd")</f>
        <v>Fri</v>
      </c>
    </row>
    <row r="2168" spans="1:11" x14ac:dyDescent="0.25">
      <c r="A2168">
        <v>10</v>
      </c>
      <c r="B2168" t="s">
        <v>9</v>
      </c>
      <c r="C2168">
        <v>30.86</v>
      </c>
      <c r="D2168" t="s">
        <v>17</v>
      </c>
      <c r="E2168" t="s">
        <v>11</v>
      </c>
      <c r="F2168" t="s">
        <v>36</v>
      </c>
      <c r="G2168">
        <v>6</v>
      </c>
      <c r="H2168">
        <v>11</v>
      </c>
      <c r="I2168" s="13">
        <v>45605</v>
      </c>
      <c r="J2168" s="13" t="str">
        <f>TEXT(Table1[[#This Row],[Date]],"[$-en-US]mmm yyyy")</f>
        <v>Nov 2024</v>
      </c>
      <c r="K2168" s="13" t="str">
        <f>TEXT(Table1[[#This Row],[Date]],"[$-en-US]ddd")</f>
        <v>Sat</v>
      </c>
    </row>
    <row r="2169" spans="1:11" x14ac:dyDescent="0.25">
      <c r="A2169">
        <v>11</v>
      </c>
      <c r="B2169" t="s">
        <v>9</v>
      </c>
      <c r="C2169">
        <v>25.96</v>
      </c>
      <c r="D2169" t="s">
        <v>22</v>
      </c>
      <c r="E2169" t="s">
        <v>11</v>
      </c>
      <c r="F2169" t="s">
        <v>36</v>
      </c>
      <c r="G2169">
        <v>6</v>
      </c>
      <c r="H2169">
        <v>11</v>
      </c>
      <c r="I2169" s="13">
        <v>45605</v>
      </c>
      <c r="J2169" s="13" t="str">
        <f>TEXT(Table1[[#This Row],[Date]],"[$-en-US]mmm yyyy")</f>
        <v>Nov 2024</v>
      </c>
      <c r="K2169" s="13" t="str">
        <f>TEXT(Table1[[#This Row],[Date]],"[$-en-US]ddd")</f>
        <v>Sat</v>
      </c>
    </row>
    <row r="2170" spans="1:11" x14ac:dyDescent="0.25">
      <c r="A2170">
        <v>11</v>
      </c>
      <c r="B2170" t="s">
        <v>9</v>
      </c>
      <c r="C2170">
        <v>25.96</v>
      </c>
      <c r="D2170" t="s">
        <v>22</v>
      </c>
      <c r="E2170" t="s">
        <v>11</v>
      </c>
      <c r="F2170" t="s">
        <v>36</v>
      </c>
      <c r="G2170">
        <v>6</v>
      </c>
      <c r="H2170">
        <v>11</v>
      </c>
      <c r="I2170" s="13">
        <v>45605</v>
      </c>
      <c r="J2170" s="13" t="str">
        <f>TEXT(Table1[[#This Row],[Date]],"[$-en-US]mmm yyyy")</f>
        <v>Nov 2024</v>
      </c>
      <c r="K2170" s="13" t="str">
        <f>TEXT(Table1[[#This Row],[Date]],"[$-en-US]ddd")</f>
        <v>Sat</v>
      </c>
    </row>
    <row r="2171" spans="1:11" x14ac:dyDescent="0.25">
      <c r="A2171">
        <v>11</v>
      </c>
      <c r="B2171" t="s">
        <v>9</v>
      </c>
      <c r="C2171">
        <v>35.76</v>
      </c>
      <c r="D2171" t="s">
        <v>10</v>
      </c>
      <c r="E2171" t="s">
        <v>11</v>
      </c>
      <c r="F2171" t="s">
        <v>36</v>
      </c>
      <c r="G2171">
        <v>6</v>
      </c>
      <c r="H2171">
        <v>11</v>
      </c>
      <c r="I2171" s="13">
        <v>45605</v>
      </c>
      <c r="J2171" s="13" t="str">
        <f>TEXT(Table1[[#This Row],[Date]],"[$-en-US]mmm yyyy")</f>
        <v>Nov 2024</v>
      </c>
      <c r="K2171" s="13" t="str">
        <f>TEXT(Table1[[#This Row],[Date]],"[$-en-US]ddd")</f>
        <v>Sat</v>
      </c>
    </row>
    <row r="2172" spans="1:11" x14ac:dyDescent="0.25">
      <c r="A2172">
        <v>13</v>
      </c>
      <c r="B2172" t="s">
        <v>9</v>
      </c>
      <c r="C2172">
        <v>35.76</v>
      </c>
      <c r="D2172" t="s">
        <v>14</v>
      </c>
      <c r="E2172" t="s">
        <v>15</v>
      </c>
      <c r="F2172" t="s">
        <v>36</v>
      </c>
      <c r="G2172">
        <v>6</v>
      </c>
      <c r="H2172">
        <v>11</v>
      </c>
      <c r="I2172" s="13">
        <v>45605</v>
      </c>
      <c r="J2172" s="13" t="str">
        <f>TEXT(Table1[[#This Row],[Date]],"[$-en-US]mmm yyyy")</f>
        <v>Nov 2024</v>
      </c>
      <c r="K2172" s="13" t="str">
        <f>TEXT(Table1[[#This Row],[Date]],"[$-en-US]ddd")</f>
        <v>Sat</v>
      </c>
    </row>
    <row r="2173" spans="1:11" x14ac:dyDescent="0.25">
      <c r="A2173">
        <v>13</v>
      </c>
      <c r="B2173" t="s">
        <v>9</v>
      </c>
      <c r="C2173">
        <v>35.76</v>
      </c>
      <c r="D2173" t="s">
        <v>14</v>
      </c>
      <c r="E2173" t="s">
        <v>15</v>
      </c>
      <c r="F2173" t="s">
        <v>36</v>
      </c>
      <c r="G2173">
        <v>6</v>
      </c>
      <c r="H2173">
        <v>11</v>
      </c>
      <c r="I2173" s="13">
        <v>45605</v>
      </c>
      <c r="J2173" s="13" t="str">
        <f>TEXT(Table1[[#This Row],[Date]],"[$-en-US]mmm yyyy")</f>
        <v>Nov 2024</v>
      </c>
      <c r="K2173" s="13" t="str">
        <f>TEXT(Table1[[#This Row],[Date]],"[$-en-US]ddd")</f>
        <v>Sat</v>
      </c>
    </row>
    <row r="2174" spans="1:11" x14ac:dyDescent="0.25">
      <c r="A2174">
        <v>14</v>
      </c>
      <c r="B2174" t="s">
        <v>9</v>
      </c>
      <c r="C2174">
        <v>35.76</v>
      </c>
      <c r="D2174" t="s">
        <v>14</v>
      </c>
      <c r="E2174" t="s">
        <v>15</v>
      </c>
      <c r="F2174" t="s">
        <v>36</v>
      </c>
      <c r="G2174">
        <v>6</v>
      </c>
      <c r="H2174">
        <v>11</v>
      </c>
      <c r="I2174" s="13">
        <v>45605</v>
      </c>
      <c r="J2174" s="13" t="str">
        <f>TEXT(Table1[[#This Row],[Date]],"[$-en-US]mmm yyyy")</f>
        <v>Nov 2024</v>
      </c>
      <c r="K2174" s="13" t="str">
        <f>TEXT(Table1[[#This Row],[Date]],"[$-en-US]ddd")</f>
        <v>Sat</v>
      </c>
    </row>
    <row r="2175" spans="1:11" x14ac:dyDescent="0.25">
      <c r="A2175">
        <v>14</v>
      </c>
      <c r="B2175" t="s">
        <v>9</v>
      </c>
      <c r="C2175">
        <v>35.76</v>
      </c>
      <c r="D2175" t="s">
        <v>14</v>
      </c>
      <c r="E2175" t="s">
        <v>15</v>
      </c>
      <c r="F2175" t="s">
        <v>36</v>
      </c>
      <c r="G2175">
        <v>6</v>
      </c>
      <c r="H2175">
        <v>11</v>
      </c>
      <c r="I2175" s="13">
        <v>45605</v>
      </c>
      <c r="J2175" s="13" t="str">
        <f>TEXT(Table1[[#This Row],[Date]],"[$-en-US]mmm yyyy")</f>
        <v>Nov 2024</v>
      </c>
      <c r="K2175" s="13" t="str">
        <f>TEXT(Table1[[#This Row],[Date]],"[$-en-US]ddd")</f>
        <v>Sat</v>
      </c>
    </row>
    <row r="2176" spans="1:11" x14ac:dyDescent="0.25">
      <c r="A2176">
        <v>14</v>
      </c>
      <c r="B2176" t="s">
        <v>9</v>
      </c>
      <c r="C2176">
        <v>25.96</v>
      </c>
      <c r="D2176" t="s">
        <v>16</v>
      </c>
      <c r="E2176" t="s">
        <v>15</v>
      </c>
      <c r="F2176" t="s">
        <v>36</v>
      </c>
      <c r="G2176">
        <v>6</v>
      </c>
      <c r="H2176">
        <v>11</v>
      </c>
      <c r="I2176" s="13">
        <v>45605</v>
      </c>
      <c r="J2176" s="13" t="str">
        <f>TEXT(Table1[[#This Row],[Date]],"[$-en-US]mmm yyyy")</f>
        <v>Nov 2024</v>
      </c>
      <c r="K2176" s="13" t="str">
        <f>TEXT(Table1[[#This Row],[Date]],"[$-en-US]ddd")</f>
        <v>Sat</v>
      </c>
    </row>
    <row r="2177" spans="1:11" x14ac:dyDescent="0.25">
      <c r="A2177">
        <v>15</v>
      </c>
      <c r="B2177" t="s">
        <v>9</v>
      </c>
      <c r="C2177">
        <v>30.86</v>
      </c>
      <c r="D2177" t="s">
        <v>17</v>
      </c>
      <c r="E2177" t="s">
        <v>15</v>
      </c>
      <c r="F2177" t="s">
        <v>36</v>
      </c>
      <c r="G2177">
        <v>6</v>
      </c>
      <c r="H2177">
        <v>11</v>
      </c>
      <c r="I2177" s="13">
        <v>45605</v>
      </c>
      <c r="J2177" s="13" t="str">
        <f>TEXT(Table1[[#This Row],[Date]],"[$-en-US]mmm yyyy")</f>
        <v>Nov 2024</v>
      </c>
      <c r="K2177" s="13" t="str">
        <f>TEXT(Table1[[#This Row],[Date]],"[$-en-US]ddd")</f>
        <v>Sat</v>
      </c>
    </row>
    <row r="2178" spans="1:11" x14ac:dyDescent="0.25">
      <c r="A2178">
        <v>16</v>
      </c>
      <c r="B2178" t="s">
        <v>9</v>
      </c>
      <c r="C2178">
        <v>35.76</v>
      </c>
      <c r="D2178" t="s">
        <v>10</v>
      </c>
      <c r="E2178" t="s">
        <v>15</v>
      </c>
      <c r="F2178" t="s">
        <v>36</v>
      </c>
      <c r="G2178">
        <v>6</v>
      </c>
      <c r="H2178">
        <v>11</v>
      </c>
      <c r="I2178" s="13">
        <v>45605</v>
      </c>
      <c r="J2178" s="13" t="str">
        <f>TEXT(Table1[[#This Row],[Date]],"[$-en-US]mmm yyyy")</f>
        <v>Nov 2024</v>
      </c>
      <c r="K2178" s="13" t="str">
        <f>TEXT(Table1[[#This Row],[Date]],"[$-en-US]ddd")</f>
        <v>Sat</v>
      </c>
    </row>
    <row r="2179" spans="1:11" x14ac:dyDescent="0.25">
      <c r="A2179">
        <v>16</v>
      </c>
      <c r="B2179" t="s">
        <v>9</v>
      </c>
      <c r="C2179">
        <v>35.76</v>
      </c>
      <c r="D2179" t="s">
        <v>19</v>
      </c>
      <c r="E2179" t="s">
        <v>15</v>
      </c>
      <c r="F2179" t="s">
        <v>36</v>
      </c>
      <c r="G2179">
        <v>6</v>
      </c>
      <c r="H2179">
        <v>11</v>
      </c>
      <c r="I2179" s="13">
        <v>45605</v>
      </c>
      <c r="J2179" s="13" t="str">
        <f>TEXT(Table1[[#This Row],[Date]],"[$-en-US]mmm yyyy")</f>
        <v>Nov 2024</v>
      </c>
      <c r="K2179" s="13" t="str">
        <f>TEXT(Table1[[#This Row],[Date]],"[$-en-US]ddd")</f>
        <v>Sat</v>
      </c>
    </row>
    <row r="2180" spans="1:11" x14ac:dyDescent="0.25">
      <c r="A2180">
        <v>20</v>
      </c>
      <c r="B2180" t="s">
        <v>9</v>
      </c>
      <c r="C2180">
        <v>25.96</v>
      </c>
      <c r="D2180" t="s">
        <v>16</v>
      </c>
      <c r="E2180" t="s">
        <v>18</v>
      </c>
      <c r="F2180" t="s">
        <v>36</v>
      </c>
      <c r="G2180">
        <v>6</v>
      </c>
      <c r="H2180">
        <v>11</v>
      </c>
      <c r="I2180" s="13">
        <v>45605</v>
      </c>
      <c r="J2180" s="13" t="str">
        <f>TEXT(Table1[[#This Row],[Date]],"[$-en-US]mmm yyyy")</f>
        <v>Nov 2024</v>
      </c>
      <c r="K2180" s="13" t="str">
        <f>TEXT(Table1[[#This Row],[Date]],"[$-en-US]ddd")</f>
        <v>Sat</v>
      </c>
    </row>
    <row r="2181" spans="1:11" x14ac:dyDescent="0.25">
      <c r="A2181">
        <v>20</v>
      </c>
      <c r="B2181" t="s">
        <v>9</v>
      </c>
      <c r="C2181">
        <v>35.76</v>
      </c>
      <c r="D2181" t="s">
        <v>10</v>
      </c>
      <c r="E2181" t="s">
        <v>18</v>
      </c>
      <c r="F2181" t="s">
        <v>36</v>
      </c>
      <c r="G2181">
        <v>6</v>
      </c>
      <c r="H2181">
        <v>11</v>
      </c>
      <c r="I2181" s="13">
        <v>45605</v>
      </c>
      <c r="J2181" s="13" t="str">
        <f>TEXT(Table1[[#This Row],[Date]],"[$-en-US]mmm yyyy")</f>
        <v>Nov 2024</v>
      </c>
      <c r="K2181" s="13" t="str">
        <f>TEXT(Table1[[#This Row],[Date]],"[$-en-US]ddd")</f>
        <v>Sat</v>
      </c>
    </row>
    <row r="2182" spans="1:11" x14ac:dyDescent="0.25">
      <c r="A2182">
        <v>22</v>
      </c>
      <c r="B2182" t="s">
        <v>9</v>
      </c>
      <c r="C2182">
        <v>35.76</v>
      </c>
      <c r="D2182" t="s">
        <v>19</v>
      </c>
      <c r="E2182" t="s">
        <v>18</v>
      </c>
      <c r="F2182" t="s">
        <v>36</v>
      </c>
      <c r="G2182">
        <v>6</v>
      </c>
      <c r="H2182">
        <v>11</v>
      </c>
      <c r="I2182" s="13">
        <v>45605</v>
      </c>
      <c r="J2182" s="13" t="str">
        <f>TEXT(Table1[[#This Row],[Date]],"[$-en-US]mmm yyyy")</f>
        <v>Nov 2024</v>
      </c>
      <c r="K2182" s="13" t="str">
        <f>TEXT(Table1[[#This Row],[Date]],"[$-en-US]ddd")</f>
        <v>Sat</v>
      </c>
    </row>
    <row r="2183" spans="1:11" x14ac:dyDescent="0.25">
      <c r="A2183">
        <v>22</v>
      </c>
      <c r="B2183" t="s">
        <v>9</v>
      </c>
      <c r="C2183">
        <v>25.96</v>
      </c>
      <c r="D2183" t="s">
        <v>16</v>
      </c>
      <c r="E2183" t="s">
        <v>18</v>
      </c>
      <c r="F2183" t="s">
        <v>36</v>
      </c>
      <c r="G2183">
        <v>6</v>
      </c>
      <c r="H2183">
        <v>11</v>
      </c>
      <c r="I2183" s="13">
        <v>45605</v>
      </c>
      <c r="J2183" s="13" t="str">
        <f>TEXT(Table1[[#This Row],[Date]],"[$-en-US]mmm yyyy")</f>
        <v>Nov 2024</v>
      </c>
      <c r="K2183" s="13" t="str">
        <f>TEXT(Table1[[#This Row],[Date]],"[$-en-US]ddd")</f>
        <v>Sat</v>
      </c>
    </row>
    <row r="2184" spans="1:11" x14ac:dyDescent="0.25">
      <c r="A2184">
        <v>22</v>
      </c>
      <c r="B2184" t="s">
        <v>9</v>
      </c>
      <c r="C2184">
        <v>25.96</v>
      </c>
      <c r="D2184" t="s">
        <v>16</v>
      </c>
      <c r="E2184" t="s">
        <v>18</v>
      </c>
      <c r="F2184" t="s">
        <v>36</v>
      </c>
      <c r="G2184">
        <v>6</v>
      </c>
      <c r="H2184">
        <v>11</v>
      </c>
      <c r="I2184" s="13">
        <v>45605</v>
      </c>
      <c r="J2184" s="13" t="str">
        <f>TEXT(Table1[[#This Row],[Date]],"[$-en-US]mmm yyyy")</f>
        <v>Nov 2024</v>
      </c>
      <c r="K2184" s="13" t="str">
        <f>TEXT(Table1[[#This Row],[Date]],"[$-en-US]ddd")</f>
        <v>Sat</v>
      </c>
    </row>
    <row r="2185" spans="1:11" x14ac:dyDescent="0.25">
      <c r="A2185">
        <v>9</v>
      </c>
      <c r="B2185" t="s">
        <v>9</v>
      </c>
      <c r="C2185">
        <v>25.96</v>
      </c>
      <c r="D2185" t="s">
        <v>16</v>
      </c>
      <c r="E2185" t="s">
        <v>11</v>
      </c>
      <c r="F2185" t="s">
        <v>36</v>
      </c>
      <c r="G2185">
        <v>7</v>
      </c>
      <c r="H2185">
        <v>11</v>
      </c>
      <c r="I2185" s="13">
        <v>45606</v>
      </c>
      <c r="J2185" s="13" t="str">
        <f>TEXT(Table1[[#This Row],[Date]],"[$-en-US]mmm yyyy")</f>
        <v>Nov 2024</v>
      </c>
      <c r="K2185" s="13" t="str">
        <f>TEXT(Table1[[#This Row],[Date]],"[$-en-US]ddd")</f>
        <v>Sun</v>
      </c>
    </row>
    <row r="2186" spans="1:11" x14ac:dyDescent="0.25">
      <c r="A2186">
        <v>17</v>
      </c>
      <c r="B2186" t="s">
        <v>9</v>
      </c>
      <c r="C2186">
        <v>35.76</v>
      </c>
      <c r="D2186" t="s">
        <v>19</v>
      </c>
      <c r="E2186" t="s">
        <v>18</v>
      </c>
      <c r="F2186" t="s">
        <v>36</v>
      </c>
      <c r="G2186">
        <v>7</v>
      </c>
      <c r="H2186">
        <v>11</v>
      </c>
      <c r="I2186" s="13">
        <v>45606</v>
      </c>
      <c r="J2186" s="13" t="str">
        <f>TEXT(Table1[[#This Row],[Date]],"[$-en-US]mmm yyyy")</f>
        <v>Nov 2024</v>
      </c>
      <c r="K2186" s="13" t="str">
        <f>TEXT(Table1[[#This Row],[Date]],"[$-en-US]ddd")</f>
        <v>Sun</v>
      </c>
    </row>
    <row r="2187" spans="1:11" x14ac:dyDescent="0.25">
      <c r="A2187">
        <v>18</v>
      </c>
      <c r="B2187" t="s">
        <v>9</v>
      </c>
      <c r="C2187">
        <v>35.76</v>
      </c>
      <c r="D2187" t="s">
        <v>14</v>
      </c>
      <c r="E2187" t="s">
        <v>18</v>
      </c>
      <c r="F2187" t="s">
        <v>36</v>
      </c>
      <c r="G2187">
        <v>7</v>
      </c>
      <c r="H2187">
        <v>11</v>
      </c>
      <c r="I2187" s="13">
        <v>45606</v>
      </c>
      <c r="J2187" s="13" t="str">
        <f>TEXT(Table1[[#This Row],[Date]],"[$-en-US]mmm yyyy")</f>
        <v>Nov 2024</v>
      </c>
      <c r="K2187" s="13" t="str">
        <f>TEXT(Table1[[#This Row],[Date]],"[$-en-US]ddd")</f>
        <v>Sun</v>
      </c>
    </row>
    <row r="2188" spans="1:11" x14ac:dyDescent="0.25">
      <c r="A2188">
        <v>18</v>
      </c>
      <c r="B2188" t="s">
        <v>9</v>
      </c>
      <c r="C2188">
        <v>35.76</v>
      </c>
      <c r="D2188" t="s">
        <v>14</v>
      </c>
      <c r="E2188" t="s">
        <v>18</v>
      </c>
      <c r="F2188" t="s">
        <v>36</v>
      </c>
      <c r="G2188">
        <v>7</v>
      </c>
      <c r="H2188">
        <v>11</v>
      </c>
      <c r="I2188" s="13">
        <v>45606</v>
      </c>
      <c r="J2188" s="13" t="str">
        <f>TEXT(Table1[[#This Row],[Date]],"[$-en-US]mmm yyyy")</f>
        <v>Nov 2024</v>
      </c>
      <c r="K2188" s="13" t="str">
        <f>TEXT(Table1[[#This Row],[Date]],"[$-en-US]ddd")</f>
        <v>Sun</v>
      </c>
    </row>
    <row r="2189" spans="1:11" x14ac:dyDescent="0.25">
      <c r="A2189">
        <v>20</v>
      </c>
      <c r="B2189" t="s">
        <v>9</v>
      </c>
      <c r="C2189">
        <v>35.76</v>
      </c>
      <c r="D2189" t="s">
        <v>27</v>
      </c>
      <c r="E2189" t="s">
        <v>18</v>
      </c>
      <c r="F2189" t="s">
        <v>36</v>
      </c>
      <c r="G2189">
        <v>7</v>
      </c>
      <c r="H2189">
        <v>11</v>
      </c>
      <c r="I2189" s="13">
        <v>45606</v>
      </c>
      <c r="J2189" s="13" t="str">
        <f>TEXT(Table1[[#This Row],[Date]],"[$-en-US]mmm yyyy")</f>
        <v>Nov 2024</v>
      </c>
      <c r="K2189" s="13" t="str">
        <f>TEXT(Table1[[#This Row],[Date]],"[$-en-US]ddd")</f>
        <v>Sun</v>
      </c>
    </row>
    <row r="2190" spans="1:11" x14ac:dyDescent="0.25">
      <c r="A2190">
        <v>20</v>
      </c>
      <c r="B2190" t="s">
        <v>9</v>
      </c>
      <c r="C2190">
        <v>35.76</v>
      </c>
      <c r="D2190" t="s">
        <v>27</v>
      </c>
      <c r="E2190" t="s">
        <v>18</v>
      </c>
      <c r="F2190" t="s">
        <v>36</v>
      </c>
      <c r="G2190">
        <v>7</v>
      </c>
      <c r="H2190">
        <v>11</v>
      </c>
      <c r="I2190" s="13">
        <v>45606</v>
      </c>
      <c r="J2190" s="13" t="str">
        <f>TEXT(Table1[[#This Row],[Date]],"[$-en-US]mmm yyyy")</f>
        <v>Nov 2024</v>
      </c>
      <c r="K2190" s="13" t="str">
        <f>TEXT(Table1[[#This Row],[Date]],"[$-en-US]ddd")</f>
        <v>Sun</v>
      </c>
    </row>
    <row r="2191" spans="1:11" x14ac:dyDescent="0.25">
      <c r="A2191">
        <v>7</v>
      </c>
      <c r="B2191" t="s">
        <v>9</v>
      </c>
      <c r="C2191">
        <v>35.76</v>
      </c>
      <c r="D2191" t="s">
        <v>27</v>
      </c>
      <c r="E2191" t="s">
        <v>11</v>
      </c>
      <c r="F2191" t="s">
        <v>36</v>
      </c>
      <c r="G2191">
        <v>1</v>
      </c>
      <c r="H2191">
        <v>11</v>
      </c>
      <c r="I2191" s="13">
        <v>45607</v>
      </c>
      <c r="J2191" s="13" t="str">
        <f>TEXT(Table1[[#This Row],[Date]],"[$-en-US]mmm yyyy")</f>
        <v>Nov 2024</v>
      </c>
      <c r="K2191" s="13" t="str">
        <f>TEXT(Table1[[#This Row],[Date]],"[$-en-US]ddd")</f>
        <v>Mon</v>
      </c>
    </row>
    <row r="2192" spans="1:11" x14ac:dyDescent="0.25">
      <c r="A2192">
        <v>9</v>
      </c>
      <c r="B2192" t="s">
        <v>9</v>
      </c>
      <c r="C2192">
        <v>30.86</v>
      </c>
      <c r="D2192" t="s">
        <v>17</v>
      </c>
      <c r="E2192" t="s">
        <v>11</v>
      </c>
      <c r="F2192" t="s">
        <v>36</v>
      </c>
      <c r="G2192">
        <v>1</v>
      </c>
      <c r="H2192">
        <v>11</v>
      </c>
      <c r="I2192" s="13">
        <v>45607</v>
      </c>
      <c r="J2192" s="13" t="str">
        <f>TEXT(Table1[[#This Row],[Date]],"[$-en-US]mmm yyyy")</f>
        <v>Nov 2024</v>
      </c>
      <c r="K2192" s="13" t="str">
        <f>TEXT(Table1[[#This Row],[Date]],"[$-en-US]ddd")</f>
        <v>Mon</v>
      </c>
    </row>
    <row r="2193" spans="1:11" x14ac:dyDescent="0.25">
      <c r="A2193">
        <v>10</v>
      </c>
      <c r="B2193" t="s">
        <v>9</v>
      </c>
      <c r="C2193">
        <v>25.96</v>
      </c>
      <c r="D2193" t="s">
        <v>22</v>
      </c>
      <c r="E2193" t="s">
        <v>11</v>
      </c>
      <c r="F2193" t="s">
        <v>36</v>
      </c>
      <c r="G2193">
        <v>1</v>
      </c>
      <c r="H2193">
        <v>11</v>
      </c>
      <c r="I2193" s="13">
        <v>45607</v>
      </c>
      <c r="J2193" s="13" t="str">
        <f>TEXT(Table1[[#This Row],[Date]],"[$-en-US]mmm yyyy")</f>
        <v>Nov 2024</v>
      </c>
      <c r="K2193" s="13" t="str">
        <f>TEXT(Table1[[#This Row],[Date]],"[$-en-US]ddd")</f>
        <v>Mon</v>
      </c>
    </row>
    <row r="2194" spans="1:11" x14ac:dyDescent="0.25">
      <c r="A2194">
        <v>16</v>
      </c>
      <c r="B2194" t="s">
        <v>9</v>
      </c>
      <c r="C2194">
        <v>35.76</v>
      </c>
      <c r="D2194" t="s">
        <v>27</v>
      </c>
      <c r="E2194" t="s">
        <v>15</v>
      </c>
      <c r="F2194" t="s">
        <v>36</v>
      </c>
      <c r="G2194">
        <v>1</v>
      </c>
      <c r="H2194">
        <v>11</v>
      </c>
      <c r="I2194" s="13">
        <v>45607</v>
      </c>
      <c r="J2194" s="13" t="str">
        <f>TEXT(Table1[[#This Row],[Date]],"[$-en-US]mmm yyyy")</f>
        <v>Nov 2024</v>
      </c>
      <c r="K2194" s="13" t="str">
        <f>TEXT(Table1[[#This Row],[Date]],"[$-en-US]ddd")</f>
        <v>Mon</v>
      </c>
    </row>
    <row r="2195" spans="1:11" x14ac:dyDescent="0.25">
      <c r="A2195">
        <v>16</v>
      </c>
      <c r="B2195" t="s">
        <v>9</v>
      </c>
      <c r="C2195">
        <v>35.76</v>
      </c>
      <c r="D2195" t="s">
        <v>14</v>
      </c>
      <c r="E2195" t="s">
        <v>15</v>
      </c>
      <c r="F2195" t="s">
        <v>36</v>
      </c>
      <c r="G2195">
        <v>1</v>
      </c>
      <c r="H2195">
        <v>11</v>
      </c>
      <c r="I2195" s="13">
        <v>45607</v>
      </c>
      <c r="J2195" s="13" t="str">
        <f>TEXT(Table1[[#This Row],[Date]],"[$-en-US]mmm yyyy")</f>
        <v>Nov 2024</v>
      </c>
      <c r="K2195" s="13" t="str">
        <f>TEXT(Table1[[#This Row],[Date]],"[$-en-US]ddd")</f>
        <v>Mon</v>
      </c>
    </row>
    <row r="2196" spans="1:11" x14ac:dyDescent="0.25">
      <c r="A2196">
        <v>17</v>
      </c>
      <c r="B2196" t="s">
        <v>9</v>
      </c>
      <c r="C2196">
        <v>35.76</v>
      </c>
      <c r="D2196" t="s">
        <v>27</v>
      </c>
      <c r="E2196" t="s">
        <v>18</v>
      </c>
      <c r="F2196" t="s">
        <v>36</v>
      </c>
      <c r="G2196">
        <v>1</v>
      </c>
      <c r="H2196">
        <v>11</v>
      </c>
      <c r="I2196" s="13">
        <v>45607</v>
      </c>
      <c r="J2196" s="13" t="str">
        <f>TEXT(Table1[[#This Row],[Date]],"[$-en-US]mmm yyyy")</f>
        <v>Nov 2024</v>
      </c>
      <c r="K2196" s="13" t="str">
        <f>TEXT(Table1[[#This Row],[Date]],"[$-en-US]ddd")</f>
        <v>Mon</v>
      </c>
    </row>
    <row r="2197" spans="1:11" x14ac:dyDescent="0.25">
      <c r="A2197">
        <v>19</v>
      </c>
      <c r="B2197" t="s">
        <v>9</v>
      </c>
      <c r="C2197">
        <v>35.76</v>
      </c>
      <c r="D2197" t="s">
        <v>10</v>
      </c>
      <c r="E2197" t="s">
        <v>18</v>
      </c>
      <c r="F2197" t="s">
        <v>36</v>
      </c>
      <c r="G2197">
        <v>1</v>
      </c>
      <c r="H2197">
        <v>11</v>
      </c>
      <c r="I2197" s="13">
        <v>45607</v>
      </c>
      <c r="J2197" s="13" t="str">
        <f>TEXT(Table1[[#This Row],[Date]],"[$-en-US]mmm yyyy")</f>
        <v>Nov 2024</v>
      </c>
      <c r="K2197" s="13" t="str">
        <f>TEXT(Table1[[#This Row],[Date]],"[$-en-US]ddd")</f>
        <v>Mon</v>
      </c>
    </row>
    <row r="2198" spans="1:11" x14ac:dyDescent="0.25">
      <c r="A2198">
        <v>19</v>
      </c>
      <c r="B2198" t="s">
        <v>9</v>
      </c>
      <c r="C2198">
        <v>35.76</v>
      </c>
      <c r="D2198" t="s">
        <v>14</v>
      </c>
      <c r="E2198" t="s">
        <v>18</v>
      </c>
      <c r="F2198" t="s">
        <v>36</v>
      </c>
      <c r="G2198">
        <v>1</v>
      </c>
      <c r="H2198">
        <v>11</v>
      </c>
      <c r="I2198" s="13">
        <v>45607</v>
      </c>
      <c r="J2198" s="13" t="str">
        <f>TEXT(Table1[[#This Row],[Date]],"[$-en-US]mmm yyyy")</f>
        <v>Nov 2024</v>
      </c>
      <c r="K2198" s="13" t="str">
        <f>TEXT(Table1[[#This Row],[Date]],"[$-en-US]ddd")</f>
        <v>Mon</v>
      </c>
    </row>
    <row r="2199" spans="1:11" x14ac:dyDescent="0.25">
      <c r="A2199">
        <v>21</v>
      </c>
      <c r="B2199" t="s">
        <v>9</v>
      </c>
      <c r="C2199">
        <v>35.76</v>
      </c>
      <c r="D2199" t="s">
        <v>10</v>
      </c>
      <c r="E2199" t="s">
        <v>18</v>
      </c>
      <c r="F2199" t="s">
        <v>36</v>
      </c>
      <c r="G2199">
        <v>1</v>
      </c>
      <c r="H2199">
        <v>11</v>
      </c>
      <c r="I2199" s="13">
        <v>45607</v>
      </c>
      <c r="J2199" s="13" t="str">
        <f>TEXT(Table1[[#This Row],[Date]],"[$-en-US]mmm yyyy")</f>
        <v>Nov 2024</v>
      </c>
      <c r="K2199" s="13" t="str">
        <f>TEXT(Table1[[#This Row],[Date]],"[$-en-US]ddd")</f>
        <v>Mon</v>
      </c>
    </row>
    <row r="2200" spans="1:11" x14ac:dyDescent="0.25">
      <c r="A2200">
        <v>21</v>
      </c>
      <c r="B2200" t="s">
        <v>9</v>
      </c>
      <c r="C2200">
        <v>35.76</v>
      </c>
      <c r="D2200" t="s">
        <v>10</v>
      </c>
      <c r="E2200" t="s">
        <v>18</v>
      </c>
      <c r="F2200" t="s">
        <v>36</v>
      </c>
      <c r="G2200">
        <v>1</v>
      </c>
      <c r="H2200">
        <v>11</v>
      </c>
      <c r="I2200" s="13">
        <v>45607</v>
      </c>
      <c r="J2200" s="13" t="str">
        <f>TEXT(Table1[[#This Row],[Date]],"[$-en-US]mmm yyyy")</f>
        <v>Nov 2024</v>
      </c>
      <c r="K2200" s="13" t="str">
        <f>TEXT(Table1[[#This Row],[Date]],"[$-en-US]ddd")</f>
        <v>Mon</v>
      </c>
    </row>
    <row r="2201" spans="1:11" x14ac:dyDescent="0.25">
      <c r="A2201">
        <v>10</v>
      </c>
      <c r="B2201" t="s">
        <v>9</v>
      </c>
      <c r="C2201">
        <v>35.76</v>
      </c>
      <c r="D2201" t="s">
        <v>10</v>
      </c>
      <c r="E2201" t="s">
        <v>11</v>
      </c>
      <c r="F2201" t="s">
        <v>36</v>
      </c>
      <c r="G2201">
        <v>2</v>
      </c>
      <c r="H2201">
        <v>11</v>
      </c>
      <c r="I2201" s="13">
        <v>45608</v>
      </c>
      <c r="J2201" s="13" t="str">
        <f>TEXT(Table1[[#This Row],[Date]],"[$-en-US]mmm yyyy")</f>
        <v>Nov 2024</v>
      </c>
      <c r="K2201" s="13" t="str">
        <f>TEXT(Table1[[#This Row],[Date]],"[$-en-US]ddd")</f>
        <v>Tue</v>
      </c>
    </row>
    <row r="2202" spans="1:11" x14ac:dyDescent="0.25">
      <c r="A2202">
        <v>13</v>
      </c>
      <c r="B2202" t="s">
        <v>9</v>
      </c>
      <c r="C2202">
        <v>35.76</v>
      </c>
      <c r="D2202" t="s">
        <v>10</v>
      </c>
      <c r="E2202" t="s">
        <v>15</v>
      </c>
      <c r="F2202" t="s">
        <v>36</v>
      </c>
      <c r="G2202">
        <v>2</v>
      </c>
      <c r="H2202">
        <v>11</v>
      </c>
      <c r="I2202" s="13">
        <v>45608</v>
      </c>
      <c r="J2202" s="13" t="str">
        <f>TEXT(Table1[[#This Row],[Date]],"[$-en-US]mmm yyyy")</f>
        <v>Nov 2024</v>
      </c>
      <c r="K2202" s="13" t="str">
        <f>TEXT(Table1[[#This Row],[Date]],"[$-en-US]ddd")</f>
        <v>Tue</v>
      </c>
    </row>
    <row r="2203" spans="1:11" x14ac:dyDescent="0.25">
      <c r="A2203">
        <v>14</v>
      </c>
      <c r="B2203" t="s">
        <v>9</v>
      </c>
      <c r="C2203">
        <v>35.76</v>
      </c>
      <c r="D2203" t="s">
        <v>10</v>
      </c>
      <c r="E2203" t="s">
        <v>15</v>
      </c>
      <c r="F2203" t="s">
        <v>36</v>
      </c>
      <c r="G2203">
        <v>2</v>
      </c>
      <c r="H2203">
        <v>11</v>
      </c>
      <c r="I2203" s="13">
        <v>45608</v>
      </c>
      <c r="J2203" s="13" t="str">
        <f>TEXT(Table1[[#This Row],[Date]],"[$-en-US]mmm yyyy")</f>
        <v>Nov 2024</v>
      </c>
      <c r="K2203" s="13" t="str">
        <f>TEXT(Table1[[#This Row],[Date]],"[$-en-US]ddd")</f>
        <v>Tue</v>
      </c>
    </row>
    <row r="2204" spans="1:11" x14ac:dyDescent="0.25">
      <c r="A2204">
        <v>16</v>
      </c>
      <c r="B2204" t="s">
        <v>9</v>
      </c>
      <c r="C2204">
        <v>35.76</v>
      </c>
      <c r="D2204" t="s">
        <v>14</v>
      </c>
      <c r="E2204" t="s">
        <v>15</v>
      </c>
      <c r="F2204" t="s">
        <v>36</v>
      </c>
      <c r="G2204">
        <v>2</v>
      </c>
      <c r="H2204">
        <v>11</v>
      </c>
      <c r="I2204" s="13">
        <v>45608</v>
      </c>
      <c r="J2204" s="13" t="str">
        <f>TEXT(Table1[[#This Row],[Date]],"[$-en-US]mmm yyyy")</f>
        <v>Nov 2024</v>
      </c>
      <c r="K2204" s="13" t="str">
        <f>TEXT(Table1[[#This Row],[Date]],"[$-en-US]ddd")</f>
        <v>Tue</v>
      </c>
    </row>
    <row r="2205" spans="1:11" x14ac:dyDescent="0.25">
      <c r="A2205">
        <v>16</v>
      </c>
      <c r="B2205" t="s">
        <v>9</v>
      </c>
      <c r="C2205">
        <v>35.76</v>
      </c>
      <c r="D2205" t="s">
        <v>14</v>
      </c>
      <c r="E2205" t="s">
        <v>15</v>
      </c>
      <c r="F2205" t="s">
        <v>36</v>
      </c>
      <c r="G2205">
        <v>2</v>
      </c>
      <c r="H2205">
        <v>11</v>
      </c>
      <c r="I2205" s="13">
        <v>45608</v>
      </c>
      <c r="J2205" s="13" t="str">
        <f>TEXT(Table1[[#This Row],[Date]],"[$-en-US]mmm yyyy")</f>
        <v>Nov 2024</v>
      </c>
      <c r="K2205" s="13" t="str">
        <f>TEXT(Table1[[#This Row],[Date]],"[$-en-US]ddd")</f>
        <v>Tue</v>
      </c>
    </row>
    <row r="2206" spans="1:11" x14ac:dyDescent="0.25">
      <c r="A2206">
        <v>16</v>
      </c>
      <c r="B2206" t="s">
        <v>9</v>
      </c>
      <c r="C2206">
        <v>35.76</v>
      </c>
      <c r="D2206" t="s">
        <v>19</v>
      </c>
      <c r="E2206" t="s">
        <v>15</v>
      </c>
      <c r="F2206" t="s">
        <v>36</v>
      </c>
      <c r="G2206">
        <v>2</v>
      </c>
      <c r="H2206">
        <v>11</v>
      </c>
      <c r="I2206" s="13">
        <v>45608</v>
      </c>
      <c r="J2206" s="13" t="str">
        <f>TEXT(Table1[[#This Row],[Date]],"[$-en-US]mmm yyyy")</f>
        <v>Nov 2024</v>
      </c>
      <c r="K2206" s="13" t="str">
        <f>TEXT(Table1[[#This Row],[Date]],"[$-en-US]ddd")</f>
        <v>Tue</v>
      </c>
    </row>
    <row r="2207" spans="1:11" x14ac:dyDescent="0.25">
      <c r="A2207">
        <v>18</v>
      </c>
      <c r="B2207" t="s">
        <v>9</v>
      </c>
      <c r="C2207">
        <v>35.76</v>
      </c>
      <c r="D2207" t="s">
        <v>27</v>
      </c>
      <c r="E2207" t="s">
        <v>18</v>
      </c>
      <c r="F2207" t="s">
        <v>36</v>
      </c>
      <c r="G2207">
        <v>2</v>
      </c>
      <c r="H2207">
        <v>11</v>
      </c>
      <c r="I2207" s="13">
        <v>45608</v>
      </c>
      <c r="J2207" s="13" t="str">
        <f>TEXT(Table1[[#This Row],[Date]],"[$-en-US]mmm yyyy")</f>
        <v>Nov 2024</v>
      </c>
      <c r="K2207" s="13" t="str">
        <f>TEXT(Table1[[#This Row],[Date]],"[$-en-US]ddd")</f>
        <v>Tue</v>
      </c>
    </row>
    <row r="2208" spans="1:11" x14ac:dyDescent="0.25">
      <c r="A2208">
        <v>20</v>
      </c>
      <c r="B2208" t="s">
        <v>9</v>
      </c>
      <c r="C2208">
        <v>35.76</v>
      </c>
      <c r="D2208" t="s">
        <v>10</v>
      </c>
      <c r="E2208" t="s">
        <v>18</v>
      </c>
      <c r="F2208" t="s">
        <v>36</v>
      </c>
      <c r="G2208">
        <v>2</v>
      </c>
      <c r="H2208">
        <v>11</v>
      </c>
      <c r="I2208" s="13">
        <v>45608</v>
      </c>
      <c r="J2208" s="13" t="str">
        <f>TEXT(Table1[[#This Row],[Date]],"[$-en-US]mmm yyyy")</f>
        <v>Nov 2024</v>
      </c>
      <c r="K2208" s="13" t="str">
        <f>TEXT(Table1[[#This Row],[Date]],"[$-en-US]ddd")</f>
        <v>Tue</v>
      </c>
    </row>
    <row r="2209" spans="1:11" x14ac:dyDescent="0.25">
      <c r="A2209">
        <v>20</v>
      </c>
      <c r="B2209" t="s">
        <v>9</v>
      </c>
      <c r="C2209">
        <v>35.76</v>
      </c>
      <c r="D2209" t="s">
        <v>19</v>
      </c>
      <c r="E2209" t="s">
        <v>18</v>
      </c>
      <c r="F2209" t="s">
        <v>36</v>
      </c>
      <c r="G2209">
        <v>2</v>
      </c>
      <c r="H2209">
        <v>11</v>
      </c>
      <c r="I2209" s="13">
        <v>45608</v>
      </c>
      <c r="J2209" s="13" t="str">
        <f>TEXT(Table1[[#This Row],[Date]],"[$-en-US]mmm yyyy")</f>
        <v>Nov 2024</v>
      </c>
      <c r="K2209" s="13" t="str">
        <f>TEXT(Table1[[#This Row],[Date]],"[$-en-US]ddd")</f>
        <v>Tue</v>
      </c>
    </row>
    <row r="2210" spans="1:11" x14ac:dyDescent="0.25">
      <c r="A2210">
        <v>8</v>
      </c>
      <c r="B2210" t="s">
        <v>9</v>
      </c>
      <c r="C2210">
        <v>30.86</v>
      </c>
      <c r="D2210" t="s">
        <v>17</v>
      </c>
      <c r="E2210" t="s">
        <v>11</v>
      </c>
      <c r="F2210" t="s">
        <v>36</v>
      </c>
      <c r="G2210">
        <v>3</v>
      </c>
      <c r="H2210">
        <v>11</v>
      </c>
      <c r="I2210" s="13">
        <v>45609</v>
      </c>
      <c r="J2210" s="13" t="str">
        <f>TEXT(Table1[[#This Row],[Date]],"[$-en-US]mmm yyyy")</f>
        <v>Nov 2024</v>
      </c>
      <c r="K2210" s="13" t="str">
        <f>TEXT(Table1[[#This Row],[Date]],"[$-en-US]ddd")</f>
        <v>Wed</v>
      </c>
    </row>
    <row r="2211" spans="1:11" x14ac:dyDescent="0.25">
      <c r="A2211">
        <v>10</v>
      </c>
      <c r="B2211" t="s">
        <v>9</v>
      </c>
      <c r="C2211">
        <v>35.76</v>
      </c>
      <c r="D2211" t="s">
        <v>10</v>
      </c>
      <c r="E2211" t="s">
        <v>11</v>
      </c>
      <c r="F2211" t="s">
        <v>36</v>
      </c>
      <c r="G2211">
        <v>3</v>
      </c>
      <c r="H2211">
        <v>11</v>
      </c>
      <c r="I2211" s="13">
        <v>45609</v>
      </c>
      <c r="J2211" s="13" t="str">
        <f>TEXT(Table1[[#This Row],[Date]],"[$-en-US]mmm yyyy")</f>
        <v>Nov 2024</v>
      </c>
      <c r="K2211" s="13" t="str">
        <f>TEXT(Table1[[#This Row],[Date]],"[$-en-US]ddd")</f>
        <v>Wed</v>
      </c>
    </row>
    <row r="2212" spans="1:11" x14ac:dyDescent="0.25">
      <c r="A2212">
        <v>13</v>
      </c>
      <c r="B2212" t="s">
        <v>9</v>
      </c>
      <c r="C2212">
        <v>30.86</v>
      </c>
      <c r="D2212" t="s">
        <v>17</v>
      </c>
      <c r="E2212" t="s">
        <v>15</v>
      </c>
      <c r="F2212" t="s">
        <v>36</v>
      </c>
      <c r="G2212">
        <v>3</v>
      </c>
      <c r="H2212">
        <v>11</v>
      </c>
      <c r="I2212" s="13">
        <v>45609</v>
      </c>
      <c r="J2212" s="13" t="str">
        <f>TEXT(Table1[[#This Row],[Date]],"[$-en-US]mmm yyyy")</f>
        <v>Nov 2024</v>
      </c>
      <c r="K2212" s="13" t="str">
        <f>TEXT(Table1[[#This Row],[Date]],"[$-en-US]ddd")</f>
        <v>Wed</v>
      </c>
    </row>
    <row r="2213" spans="1:11" x14ac:dyDescent="0.25">
      <c r="A2213">
        <v>13</v>
      </c>
      <c r="B2213" t="s">
        <v>9</v>
      </c>
      <c r="C2213">
        <v>30.86</v>
      </c>
      <c r="D2213" t="s">
        <v>17</v>
      </c>
      <c r="E2213" t="s">
        <v>15</v>
      </c>
      <c r="F2213" t="s">
        <v>36</v>
      </c>
      <c r="G2213">
        <v>3</v>
      </c>
      <c r="H2213">
        <v>11</v>
      </c>
      <c r="I2213" s="13">
        <v>45609</v>
      </c>
      <c r="J2213" s="13" t="str">
        <f>TEXT(Table1[[#This Row],[Date]],"[$-en-US]mmm yyyy")</f>
        <v>Nov 2024</v>
      </c>
      <c r="K2213" s="13" t="str">
        <f>TEXT(Table1[[#This Row],[Date]],"[$-en-US]ddd")</f>
        <v>Wed</v>
      </c>
    </row>
    <row r="2214" spans="1:11" x14ac:dyDescent="0.25">
      <c r="A2214">
        <v>14</v>
      </c>
      <c r="B2214" t="s">
        <v>9</v>
      </c>
      <c r="C2214">
        <v>30.86</v>
      </c>
      <c r="D2214" t="s">
        <v>17</v>
      </c>
      <c r="E2214" t="s">
        <v>15</v>
      </c>
      <c r="F2214" t="s">
        <v>36</v>
      </c>
      <c r="G2214">
        <v>3</v>
      </c>
      <c r="H2214">
        <v>11</v>
      </c>
      <c r="I2214" s="13">
        <v>45609</v>
      </c>
      <c r="J2214" s="13" t="str">
        <f>TEXT(Table1[[#This Row],[Date]],"[$-en-US]mmm yyyy")</f>
        <v>Nov 2024</v>
      </c>
      <c r="K2214" s="13" t="str">
        <f>TEXT(Table1[[#This Row],[Date]],"[$-en-US]ddd")</f>
        <v>Wed</v>
      </c>
    </row>
    <row r="2215" spans="1:11" x14ac:dyDescent="0.25">
      <c r="A2215">
        <v>14</v>
      </c>
      <c r="B2215" t="s">
        <v>9</v>
      </c>
      <c r="C2215">
        <v>35.76</v>
      </c>
      <c r="D2215" t="s">
        <v>10</v>
      </c>
      <c r="E2215" t="s">
        <v>15</v>
      </c>
      <c r="F2215" t="s">
        <v>36</v>
      </c>
      <c r="G2215">
        <v>3</v>
      </c>
      <c r="H2215">
        <v>11</v>
      </c>
      <c r="I2215" s="13">
        <v>45609</v>
      </c>
      <c r="J2215" s="13" t="str">
        <f>TEXT(Table1[[#This Row],[Date]],"[$-en-US]mmm yyyy")</f>
        <v>Nov 2024</v>
      </c>
      <c r="K2215" s="13" t="str">
        <f>TEXT(Table1[[#This Row],[Date]],"[$-en-US]ddd")</f>
        <v>Wed</v>
      </c>
    </row>
    <row r="2216" spans="1:11" x14ac:dyDescent="0.25">
      <c r="A2216">
        <v>9</v>
      </c>
      <c r="B2216" t="s">
        <v>9</v>
      </c>
      <c r="C2216">
        <v>35.76</v>
      </c>
      <c r="D2216" t="s">
        <v>10</v>
      </c>
      <c r="E2216" t="s">
        <v>11</v>
      </c>
      <c r="F2216" t="s">
        <v>36</v>
      </c>
      <c r="G2216">
        <v>4</v>
      </c>
      <c r="H2216">
        <v>11</v>
      </c>
      <c r="I2216" s="13">
        <v>45610</v>
      </c>
      <c r="J2216" s="13" t="str">
        <f>TEXT(Table1[[#This Row],[Date]],"[$-en-US]mmm yyyy")</f>
        <v>Nov 2024</v>
      </c>
      <c r="K2216" s="13" t="str">
        <f>TEXT(Table1[[#This Row],[Date]],"[$-en-US]ddd")</f>
        <v>Thu</v>
      </c>
    </row>
    <row r="2217" spans="1:11" x14ac:dyDescent="0.25">
      <c r="A2217">
        <v>10</v>
      </c>
      <c r="B2217" t="s">
        <v>9</v>
      </c>
      <c r="C2217">
        <v>25.96</v>
      </c>
      <c r="D2217" t="s">
        <v>16</v>
      </c>
      <c r="E2217" t="s">
        <v>11</v>
      </c>
      <c r="F2217" t="s">
        <v>36</v>
      </c>
      <c r="G2217">
        <v>4</v>
      </c>
      <c r="H2217">
        <v>11</v>
      </c>
      <c r="I2217" s="13">
        <v>45610</v>
      </c>
      <c r="J2217" s="13" t="str">
        <f>TEXT(Table1[[#This Row],[Date]],"[$-en-US]mmm yyyy")</f>
        <v>Nov 2024</v>
      </c>
      <c r="K2217" s="13" t="str">
        <f>TEXT(Table1[[#This Row],[Date]],"[$-en-US]ddd")</f>
        <v>Thu</v>
      </c>
    </row>
    <row r="2218" spans="1:11" x14ac:dyDescent="0.25">
      <c r="A2218">
        <v>12</v>
      </c>
      <c r="B2218" t="s">
        <v>9</v>
      </c>
      <c r="C2218">
        <v>21.06</v>
      </c>
      <c r="D2218" t="s">
        <v>24</v>
      </c>
      <c r="E2218" t="s">
        <v>15</v>
      </c>
      <c r="F2218" t="s">
        <v>36</v>
      </c>
      <c r="G2218">
        <v>4</v>
      </c>
      <c r="H2218">
        <v>11</v>
      </c>
      <c r="I2218" s="13">
        <v>45610</v>
      </c>
      <c r="J2218" s="13" t="str">
        <f>TEXT(Table1[[#This Row],[Date]],"[$-en-US]mmm yyyy")</f>
        <v>Nov 2024</v>
      </c>
      <c r="K2218" s="13" t="str">
        <f>TEXT(Table1[[#This Row],[Date]],"[$-en-US]ddd")</f>
        <v>Thu</v>
      </c>
    </row>
    <row r="2219" spans="1:11" x14ac:dyDescent="0.25">
      <c r="A2219">
        <v>15</v>
      </c>
      <c r="B2219" t="s">
        <v>9</v>
      </c>
      <c r="C2219">
        <v>35.76</v>
      </c>
      <c r="D2219" t="s">
        <v>27</v>
      </c>
      <c r="E2219" t="s">
        <v>15</v>
      </c>
      <c r="F2219" t="s">
        <v>36</v>
      </c>
      <c r="G2219">
        <v>4</v>
      </c>
      <c r="H2219">
        <v>11</v>
      </c>
      <c r="I2219" s="13">
        <v>45610</v>
      </c>
      <c r="J2219" s="13" t="str">
        <f>TEXT(Table1[[#This Row],[Date]],"[$-en-US]mmm yyyy")</f>
        <v>Nov 2024</v>
      </c>
      <c r="K2219" s="13" t="str">
        <f>TEXT(Table1[[#This Row],[Date]],"[$-en-US]ddd")</f>
        <v>Thu</v>
      </c>
    </row>
    <row r="2220" spans="1:11" x14ac:dyDescent="0.25">
      <c r="A2220">
        <v>15</v>
      </c>
      <c r="B2220" t="s">
        <v>9</v>
      </c>
      <c r="C2220">
        <v>35.76</v>
      </c>
      <c r="D2220" t="s">
        <v>10</v>
      </c>
      <c r="E2220" t="s">
        <v>15</v>
      </c>
      <c r="F2220" t="s">
        <v>36</v>
      </c>
      <c r="G2220">
        <v>4</v>
      </c>
      <c r="H2220">
        <v>11</v>
      </c>
      <c r="I2220" s="13">
        <v>45610</v>
      </c>
      <c r="J2220" s="13" t="str">
        <f>TEXT(Table1[[#This Row],[Date]],"[$-en-US]mmm yyyy")</f>
        <v>Nov 2024</v>
      </c>
      <c r="K2220" s="13" t="str">
        <f>TEXT(Table1[[#This Row],[Date]],"[$-en-US]ddd")</f>
        <v>Thu</v>
      </c>
    </row>
    <row r="2221" spans="1:11" x14ac:dyDescent="0.25">
      <c r="A2221">
        <v>15</v>
      </c>
      <c r="B2221" t="s">
        <v>9</v>
      </c>
      <c r="C2221">
        <v>35.76</v>
      </c>
      <c r="D2221" t="s">
        <v>27</v>
      </c>
      <c r="E2221" t="s">
        <v>15</v>
      </c>
      <c r="F2221" t="s">
        <v>36</v>
      </c>
      <c r="G2221">
        <v>4</v>
      </c>
      <c r="H2221">
        <v>11</v>
      </c>
      <c r="I2221" s="13">
        <v>45610</v>
      </c>
      <c r="J2221" s="13" t="str">
        <f>TEXT(Table1[[#This Row],[Date]],"[$-en-US]mmm yyyy")</f>
        <v>Nov 2024</v>
      </c>
      <c r="K2221" s="13" t="str">
        <f>TEXT(Table1[[#This Row],[Date]],"[$-en-US]ddd")</f>
        <v>Thu</v>
      </c>
    </row>
    <row r="2222" spans="1:11" x14ac:dyDescent="0.25">
      <c r="A2222">
        <v>16</v>
      </c>
      <c r="B2222" t="s">
        <v>9</v>
      </c>
      <c r="C2222">
        <v>30.86</v>
      </c>
      <c r="D2222" t="s">
        <v>17</v>
      </c>
      <c r="E2222" t="s">
        <v>15</v>
      </c>
      <c r="F2222" t="s">
        <v>36</v>
      </c>
      <c r="G2222">
        <v>4</v>
      </c>
      <c r="H2222">
        <v>11</v>
      </c>
      <c r="I2222" s="13">
        <v>45610</v>
      </c>
      <c r="J2222" s="13" t="str">
        <f>TEXT(Table1[[#This Row],[Date]],"[$-en-US]mmm yyyy")</f>
        <v>Nov 2024</v>
      </c>
      <c r="K2222" s="13" t="str">
        <f>TEXT(Table1[[#This Row],[Date]],"[$-en-US]ddd")</f>
        <v>Thu</v>
      </c>
    </row>
    <row r="2223" spans="1:11" x14ac:dyDescent="0.25">
      <c r="A2223">
        <v>16</v>
      </c>
      <c r="B2223" t="s">
        <v>9</v>
      </c>
      <c r="C2223">
        <v>35.76</v>
      </c>
      <c r="D2223" t="s">
        <v>27</v>
      </c>
      <c r="E2223" t="s">
        <v>15</v>
      </c>
      <c r="F2223" t="s">
        <v>36</v>
      </c>
      <c r="G2223">
        <v>4</v>
      </c>
      <c r="H2223">
        <v>11</v>
      </c>
      <c r="I2223" s="13">
        <v>45610</v>
      </c>
      <c r="J2223" s="13" t="str">
        <f>TEXT(Table1[[#This Row],[Date]],"[$-en-US]mmm yyyy")</f>
        <v>Nov 2024</v>
      </c>
      <c r="K2223" s="13" t="str">
        <f>TEXT(Table1[[#This Row],[Date]],"[$-en-US]ddd")</f>
        <v>Thu</v>
      </c>
    </row>
    <row r="2224" spans="1:11" x14ac:dyDescent="0.25">
      <c r="A2224">
        <v>19</v>
      </c>
      <c r="B2224" t="s">
        <v>9</v>
      </c>
      <c r="C2224">
        <v>35.76</v>
      </c>
      <c r="D2224" t="s">
        <v>14</v>
      </c>
      <c r="E2224" t="s">
        <v>18</v>
      </c>
      <c r="F2224" t="s">
        <v>36</v>
      </c>
      <c r="G2224">
        <v>4</v>
      </c>
      <c r="H2224">
        <v>11</v>
      </c>
      <c r="I2224" s="13">
        <v>45610</v>
      </c>
      <c r="J2224" s="13" t="str">
        <f>TEXT(Table1[[#This Row],[Date]],"[$-en-US]mmm yyyy")</f>
        <v>Nov 2024</v>
      </c>
      <c r="K2224" s="13" t="str">
        <f>TEXT(Table1[[#This Row],[Date]],"[$-en-US]ddd")</f>
        <v>Thu</v>
      </c>
    </row>
    <row r="2225" spans="1:11" x14ac:dyDescent="0.25">
      <c r="A2225">
        <v>19</v>
      </c>
      <c r="B2225" t="s">
        <v>9</v>
      </c>
      <c r="C2225">
        <v>35.76</v>
      </c>
      <c r="D2225" t="s">
        <v>14</v>
      </c>
      <c r="E2225" t="s">
        <v>18</v>
      </c>
      <c r="F2225" t="s">
        <v>36</v>
      </c>
      <c r="G2225">
        <v>4</v>
      </c>
      <c r="H2225">
        <v>11</v>
      </c>
      <c r="I2225" s="13">
        <v>45610</v>
      </c>
      <c r="J2225" s="13" t="str">
        <f>TEXT(Table1[[#This Row],[Date]],"[$-en-US]mmm yyyy")</f>
        <v>Nov 2024</v>
      </c>
      <c r="K2225" s="13" t="str">
        <f>TEXT(Table1[[#This Row],[Date]],"[$-en-US]ddd")</f>
        <v>Thu</v>
      </c>
    </row>
    <row r="2226" spans="1:11" x14ac:dyDescent="0.25">
      <c r="A2226">
        <v>20</v>
      </c>
      <c r="B2226" t="s">
        <v>9</v>
      </c>
      <c r="C2226">
        <v>35.76</v>
      </c>
      <c r="D2226" t="s">
        <v>19</v>
      </c>
      <c r="E2226" t="s">
        <v>18</v>
      </c>
      <c r="F2226" t="s">
        <v>36</v>
      </c>
      <c r="G2226">
        <v>4</v>
      </c>
      <c r="H2226">
        <v>11</v>
      </c>
      <c r="I2226" s="13">
        <v>45610</v>
      </c>
      <c r="J2226" s="13" t="str">
        <f>TEXT(Table1[[#This Row],[Date]],"[$-en-US]mmm yyyy")</f>
        <v>Nov 2024</v>
      </c>
      <c r="K2226" s="13" t="str">
        <f>TEXT(Table1[[#This Row],[Date]],"[$-en-US]ddd")</f>
        <v>Thu</v>
      </c>
    </row>
    <row r="2227" spans="1:11" x14ac:dyDescent="0.25">
      <c r="A2227">
        <v>20</v>
      </c>
      <c r="B2227" t="s">
        <v>9</v>
      </c>
      <c r="C2227">
        <v>35.76</v>
      </c>
      <c r="D2227" t="s">
        <v>14</v>
      </c>
      <c r="E2227" t="s">
        <v>18</v>
      </c>
      <c r="F2227" t="s">
        <v>36</v>
      </c>
      <c r="G2227">
        <v>4</v>
      </c>
      <c r="H2227">
        <v>11</v>
      </c>
      <c r="I2227" s="13">
        <v>45610</v>
      </c>
      <c r="J2227" s="13" t="str">
        <f>TEXT(Table1[[#This Row],[Date]],"[$-en-US]mmm yyyy")</f>
        <v>Nov 2024</v>
      </c>
      <c r="K2227" s="13" t="str">
        <f>TEXT(Table1[[#This Row],[Date]],"[$-en-US]ddd")</f>
        <v>Thu</v>
      </c>
    </row>
    <row r="2228" spans="1:11" x14ac:dyDescent="0.25">
      <c r="A2228">
        <v>21</v>
      </c>
      <c r="B2228" t="s">
        <v>9</v>
      </c>
      <c r="C2228">
        <v>35.76</v>
      </c>
      <c r="D2228" t="s">
        <v>10</v>
      </c>
      <c r="E2228" t="s">
        <v>18</v>
      </c>
      <c r="F2228" t="s">
        <v>36</v>
      </c>
      <c r="G2228">
        <v>4</v>
      </c>
      <c r="H2228">
        <v>11</v>
      </c>
      <c r="I2228" s="13">
        <v>45610</v>
      </c>
      <c r="J2228" s="13" t="str">
        <f>TEXT(Table1[[#This Row],[Date]],"[$-en-US]mmm yyyy")</f>
        <v>Nov 2024</v>
      </c>
      <c r="K2228" s="13" t="str">
        <f>TEXT(Table1[[#This Row],[Date]],"[$-en-US]ddd")</f>
        <v>Thu</v>
      </c>
    </row>
    <row r="2229" spans="1:11" x14ac:dyDescent="0.25">
      <c r="A2229">
        <v>22</v>
      </c>
      <c r="B2229" t="s">
        <v>9</v>
      </c>
      <c r="C2229">
        <v>35.76</v>
      </c>
      <c r="D2229" t="s">
        <v>10</v>
      </c>
      <c r="E2229" t="s">
        <v>18</v>
      </c>
      <c r="F2229" t="s">
        <v>36</v>
      </c>
      <c r="G2229">
        <v>4</v>
      </c>
      <c r="H2229">
        <v>11</v>
      </c>
      <c r="I2229" s="13">
        <v>45610</v>
      </c>
      <c r="J2229" s="13" t="str">
        <f>TEXT(Table1[[#This Row],[Date]],"[$-en-US]mmm yyyy")</f>
        <v>Nov 2024</v>
      </c>
      <c r="K2229" s="13" t="str">
        <f>TEXT(Table1[[#This Row],[Date]],"[$-en-US]ddd")</f>
        <v>Thu</v>
      </c>
    </row>
    <row r="2230" spans="1:11" x14ac:dyDescent="0.25">
      <c r="A2230">
        <v>8</v>
      </c>
      <c r="B2230" t="s">
        <v>9</v>
      </c>
      <c r="C2230">
        <v>30.86</v>
      </c>
      <c r="D2230" t="s">
        <v>17</v>
      </c>
      <c r="E2230" t="s">
        <v>11</v>
      </c>
      <c r="F2230" t="s">
        <v>36</v>
      </c>
      <c r="G2230">
        <v>5</v>
      </c>
      <c r="H2230">
        <v>11</v>
      </c>
      <c r="I2230" s="13">
        <v>45611</v>
      </c>
      <c r="J2230" s="13" t="str">
        <f>TEXT(Table1[[#This Row],[Date]],"[$-en-US]mmm yyyy")</f>
        <v>Nov 2024</v>
      </c>
      <c r="K2230" s="13" t="str">
        <f>TEXT(Table1[[#This Row],[Date]],"[$-en-US]ddd")</f>
        <v>Fri</v>
      </c>
    </row>
    <row r="2231" spans="1:11" x14ac:dyDescent="0.25">
      <c r="A2231">
        <v>11</v>
      </c>
      <c r="B2231" t="s">
        <v>9</v>
      </c>
      <c r="C2231">
        <v>30.86</v>
      </c>
      <c r="D2231" t="s">
        <v>17</v>
      </c>
      <c r="E2231" t="s">
        <v>11</v>
      </c>
      <c r="F2231" t="s">
        <v>36</v>
      </c>
      <c r="G2231">
        <v>5</v>
      </c>
      <c r="H2231">
        <v>11</v>
      </c>
      <c r="I2231" s="13">
        <v>45611</v>
      </c>
      <c r="J2231" s="13" t="str">
        <f>TEXT(Table1[[#This Row],[Date]],"[$-en-US]mmm yyyy")</f>
        <v>Nov 2024</v>
      </c>
      <c r="K2231" s="13" t="str">
        <f>TEXT(Table1[[#This Row],[Date]],"[$-en-US]ddd")</f>
        <v>Fri</v>
      </c>
    </row>
    <row r="2232" spans="1:11" x14ac:dyDescent="0.25">
      <c r="A2232">
        <v>12</v>
      </c>
      <c r="B2232" t="s">
        <v>9</v>
      </c>
      <c r="C2232">
        <v>35.76</v>
      </c>
      <c r="D2232" t="s">
        <v>19</v>
      </c>
      <c r="E2232" t="s">
        <v>15</v>
      </c>
      <c r="F2232" t="s">
        <v>36</v>
      </c>
      <c r="G2232">
        <v>5</v>
      </c>
      <c r="H2232">
        <v>11</v>
      </c>
      <c r="I2232" s="13">
        <v>45611</v>
      </c>
      <c r="J2232" s="13" t="str">
        <f>TEXT(Table1[[#This Row],[Date]],"[$-en-US]mmm yyyy")</f>
        <v>Nov 2024</v>
      </c>
      <c r="K2232" s="13" t="str">
        <f>TEXT(Table1[[#This Row],[Date]],"[$-en-US]ddd")</f>
        <v>Fri</v>
      </c>
    </row>
    <row r="2233" spans="1:11" x14ac:dyDescent="0.25">
      <c r="A2233">
        <v>12</v>
      </c>
      <c r="B2233" t="s">
        <v>9</v>
      </c>
      <c r="C2233">
        <v>35.76</v>
      </c>
      <c r="D2233" t="s">
        <v>19</v>
      </c>
      <c r="E2233" t="s">
        <v>15</v>
      </c>
      <c r="F2233" t="s">
        <v>36</v>
      </c>
      <c r="G2233">
        <v>5</v>
      </c>
      <c r="H2233">
        <v>11</v>
      </c>
      <c r="I2233" s="13">
        <v>45611</v>
      </c>
      <c r="J2233" s="13" t="str">
        <f>TEXT(Table1[[#This Row],[Date]],"[$-en-US]mmm yyyy")</f>
        <v>Nov 2024</v>
      </c>
      <c r="K2233" s="13" t="str">
        <f>TEXT(Table1[[#This Row],[Date]],"[$-en-US]ddd")</f>
        <v>Fri</v>
      </c>
    </row>
    <row r="2234" spans="1:11" x14ac:dyDescent="0.25">
      <c r="A2234">
        <v>13</v>
      </c>
      <c r="B2234" t="s">
        <v>9</v>
      </c>
      <c r="C2234">
        <v>35.76</v>
      </c>
      <c r="D2234" t="s">
        <v>10</v>
      </c>
      <c r="E2234" t="s">
        <v>15</v>
      </c>
      <c r="F2234" t="s">
        <v>36</v>
      </c>
      <c r="G2234">
        <v>5</v>
      </c>
      <c r="H2234">
        <v>11</v>
      </c>
      <c r="I2234" s="13">
        <v>45611</v>
      </c>
      <c r="J2234" s="13" t="str">
        <f>TEXT(Table1[[#This Row],[Date]],"[$-en-US]mmm yyyy")</f>
        <v>Nov 2024</v>
      </c>
      <c r="K2234" s="13" t="str">
        <f>TEXT(Table1[[#This Row],[Date]],"[$-en-US]ddd")</f>
        <v>Fri</v>
      </c>
    </row>
    <row r="2235" spans="1:11" x14ac:dyDescent="0.25">
      <c r="A2235">
        <v>15</v>
      </c>
      <c r="B2235" t="s">
        <v>9</v>
      </c>
      <c r="C2235">
        <v>25.96</v>
      </c>
      <c r="D2235" t="s">
        <v>16</v>
      </c>
      <c r="E2235" t="s">
        <v>15</v>
      </c>
      <c r="F2235" t="s">
        <v>36</v>
      </c>
      <c r="G2235">
        <v>5</v>
      </c>
      <c r="H2235">
        <v>11</v>
      </c>
      <c r="I2235" s="13">
        <v>45611</v>
      </c>
      <c r="J2235" s="13" t="str">
        <f>TEXT(Table1[[#This Row],[Date]],"[$-en-US]mmm yyyy")</f>
        <v>Nov 2024</v>
      </c>
      <c r="K2235" s="13" t="str">
        <f>TEXT(Table1[[#This Row],[Date]],"[$-en-US]ddd")</f>
        <v>Fri</v>
      </c>
    </row>
    <row r="2236" spans="1:11" x14ac:dyDescent="0.25">
      <c r="A2236">
        <v>17</v>
      </c>
      <c r="B2236" t="s">
        <v>9</v>
      </c>
      <c r="C2236">
        <v>30.86</v>
      </c>
      <c r="D2236" t="s">
        <v>17</v>
      </c>
      <c r="E2236" t="s">
        <v>18</v>
      </c>
      <c r="F2236" t="s">
        <v>36</v>
      </c>
      <c r="G2236">
        <v>5</v>
      </c>
      <c r="H2236">
        <v>11</v>
      </c>
      <c r="I2236" s="13">
        <v>45611</v>
      </c>
      <c r="J2236" s="13" t="str">
        <f>TEXT(Table1[[#This Row],[Date]],"[$-en-US]mmm yyyy")</f>
        <v>Nov 2024</v>
      </c>
      <c r="K2236" s="13" t="str">
        <f>TEXT(Table1[[#This Row],[Date]],"[$-en-US]ddd")</f>
        <v>Fri</v>
      </c>
    </row>
    <row r="2237" spans="1:11" x14ac:dyDescent="0.25">
      <c r="A2237">
        <v>17</v>
      </c>
      <c r="B2237" t="s">
        <v>9</v>
      </c>
      <c r="C2237">
        <v>35.76</v>
      </c>
      <c r="D2237" t="s">
        <v>10</v>
      </c>
      <c r="E2237" t="s">
        <v>18</v>
      </c>
      <c r="F2237" t="s">
        <v>36</v>
      </c>
      <c r="G2237">
        <v>5</v>
      </c>
      <c r="H2237">
        <v>11</v>
      </c>
      <c r="I2237" s="13">
        <v>45611</v>
      </c>
      <c r="J2237" s="13" t="str">
        <f>TEXT(Table1[[#This Row],[Date]],"[$-en-US]mmm yyyy")</f>
        <v>Nov 2024</v>
      </c>
      <c r="K2237" s="13" t="str">
        <f>TEXT(Table1[[#This Row],[Date]],"[$-en-US]ddd")</f>
        <v>Fri</v>
      </c>
    </row>
    <row r="2238" spans="1:11" x14ac:dyDescent="0.25">
      <c r="A2238">
        <v>18</v>
      </c>
      <c r="B2238" t="s">
        <v>9</v>
      </c>
      <c r="C2238">
        <v>35.76</v>
      </c>
      <c r="D2238" t="s">
        <v>14</v>
      </c>
      <c r="E2238" t="s">
        <v>18</v>
      </c>
      <c r="F2238" t="s">
        <v>36</v>
      </c>
      <c r="G2238">
        <v>5</v>
      </c>
      <c r="H2238">
        <v>11</v>
      </c>
      <c r="I2238" s="13">
        <v>45611</v>
      </c>
      <c r="J2238" s="13" t="str">
        <f>TEXT(Table1[[#This Row],[Date]],"[$-en-US]mmm yyyy")</f>
        <v>Nov 2024</v>
      </c>
      <c r="K2238" s="13" t="str">
        <f>TEXT(Table1[[#This Row],[Date]],"[$-en-US]ddd")</f>
        <v>Fri</v>
      </c>
    </row>
    <row r="2239" spans="1:11" x14ac:dyDescent="0.25">
      <c r="A2239">
        <v>18</v>
      </c>
      <c r="B2239" t="s">
        <v>9</v>
      </c>
      <c r="C2239">
        <v>30.86</v>
      </c>
      <c r="D2239" t="s">
        <v>17</v>
      </c>
      <c r="E2239" t="s">
        <v>18</v>
      </c>
      <c r="F2239" t="s">
        <v>36</v>
      </c>
      <c r="G2239">
        <v>5</v>
      </c>
      <c r="H2239">
        <v>11</v>
      </c>
      <c r="I2239" s="13">
        <v>45611</v>
      </c>
      <c r="J2239" s="13" t="str">
        <f>TEXT(Table1[[#This Row],[Date]],"[$-en-US]mmm yyyy")</f>
        <v>Nov 2024</v>
      </c>
      <c r="K2239" s="13" t="str">
        <f>TEXT(Table1[[#This Row],[Date]],"[$-en-US]ddd")</f>
        <v>Fri</v>
      </c>
    </row>
    <row r="2240" spans="1:11" x14ac:dyDescent="0.25">
      <c r="A2240">
        <v>18</v>
      </c>
      <c r="B2240" t="s">
        <v>9</v>
      </c>
      <c r="C2240">
        <v>30.86</v>
      </c>
      <c r="D2240" t="s">
        <v>17</v>
      </c>
      <c r="E2240" t="s">
        <v>18</v>
      </c>
      <c r="F2240" t="s">
        <v>36</v>
      </c>
      <c r="G2240">
        <v>5</v>
      </c>
      <c r="H2240">
        <v>11</v>
      </c>
      <c r="I2240" s="13">
        <v>45611</v>
      </c>
      <c r="J2240" s="13" t="str">
        <f>TEXT(Table1[[#This Row],[Date]],"[$-en-US]mmm yyyy")</f>
        <v>Nov 2024</v>
      </c>
      <c r="K2240" s="13" t="str">
        <f>TEXT(Table1[[#This Row],[Date]],"[$-en-US]ddd")</f>
        <v>Fri</v>
      </c>
    </row>
    <row r="2241" spans="1:11" x14ac:dyDescent="0.25">
      <c r="A2241">
        <v>10</v>
      </c>
      <c r="B2241" t="s">
        <v>9</v>
      </c>
      <c r="C2241">
        <v>25.96</v>
      </c>
      <c r="D2241" t="s">
        <v>22</v>
      </c>
      <c r="E2241" t="s">
        <v>11</v>
      </c>
      <c r="F2241" t="s">
        <v>36</v>
      </c>
      <c r="G2241">
        <v>6</v>
      </c>
      <c r="H2241">
        <v>11</v>
      </c>
      <c r="I2241" s="13">
        <v>45612</v>
      </c>
      <c r="J2241" s="13" t="str">
        <f>TEXT(Table1[[#This Row],[Date]],"[$-en-US]mmm yyyy")</f>
        <v>Nov 2024</v>
      </c>
      <c r="K2241" s="13" t="str">
        <f>TEXT(Table1[[#This Row],[Date]],"[$-en-US]ddd")</f>
        <v>Sat</v>
      </c>
    </row>
    <row r="2242" spans="1:11" x14ac:dyDescent="0.25">
      <c r="A2242">
        <v>10</v>
      </c>
      <c r="B2242" t="s">
        <v>9</v>
      </c>
      <c r="C2242">
        <v>25.96</v>
      </c>
      <c r="D2242" t="s">
        <v>22</v>
      </c>
      <c r="E2242" t="s">
        <v>11</v>
      </c>
      <c r="F2242" t="s">
        <v>36</v>
      </c>
      <c r="G2242">
        <v>6</v>
      </c>
      <c r="H2242">
        <v>11</v>
      </c>
      <c r="I2242" s="13">
        <v>45612</v>
      </c>
      <c r="J2242" s="13" t="str">
        <f>TEXT(Table1[[#This Row],[Date]],"[$-en-US]mmm yyyy")</f>
        <v>Nov 2024</v>
      </c>
      <c r="K2242" s="13" t="str">
        <f>TEXT(Table1[[#This Row],[Date]],"[$-en-US]ddd")</f>
        <v>Sat</v>
      </c>
    </row>
    <row r="2243" spans="1:11" x14ac:dyDescent="0.25">
      <c r="A2243">
        <v>11</v>
      </c>
      <c r="B2243" t="s">
        <v>9</v>
      </c>
      <c r="C2243">
        <v>35.76</v>
      </c>
      <c r="D2243" t="s">
        <v>14</v>
      </c>
      <c r="E2243" t="s">
        <v>11</v>
      </c>
      <c r="F2243" t="s">
        <v>36</v>
      </c>
      <c r="G2243">
        <v>6</v>
      </c>
      <c r="H2243">
        <v>11</v>
      </c>
      <c r="I2243" s="13">
        <v>45612</v>
      </c>
      <c r="J2243" s="13" t="str">
        <f>TEXT(Table1[[#This Row],[Date]],"[$-en-US]mmm yyyy")</f>
        <v>Nov 2024</v>
      </c>
      <c r="K2243" s="13" t="str">
        <f>TEXT(Table1[[#This Row],[Date]],"[$-en-US]ddd")</f>
        <v>Sat</v>
      </c>
    </row>
    <row r="2244" spans="1:11" x14ac:dyDescent="0.25">
      <c r="A2244">
        <v>11</v>
      </c>
      <c r="B2244" t="s">
        <v>9</v>
      </c>
      <c r="C2244">
        <v>35.76</v>
      </c>
      <c r="D2244" t="s">
        <v>10</v>
      </c>
      <c r="E2244" t="s">
        <v>11</v>
      </c>
      <c r="F2244" t="s">
        <v>36</v>
      </c>
      <c r="G2244">
        <v>6</v>
      </c>
      <c r="H2244">
        <v>11</v>
      </c>
      <c r="I2244" s="13">
        <v>45612</v>
      </c>
      <c r="J2244" s="13" t="str">
        <f>TEXT(Table1[[#This Row],[Date]],"[$-en-US]mmm yyyy")</f>
        <v>Nov 2024</v>
      </c>
      <c r="K2244" s="13" t="str">
        <f>TEXT(Table1[[#This Row],[Date]],"[$-en-US]ddd")</f>
        <v>Sat</v>
      </c>
    </row>
    <row r="2245" spans="1:11" x14ac:dyDescent="0.25">
      <c r="A2245">
        <v>11</v>
      </c>
      <c r="B2245" t="s">
        <v>9</v>
      </c>
      <c r="C2245">
        <v>25.96</v>
      </c>
      <c r="D2245" t="s">
        <v>16</v>
      </c>
      <c r="E2245" t="s">
        <v>11</v>
      </c>
      <c r="F2245" t="s">
        <v>36</v>
      </c>
      <c r="G2245">
        <v>6</v>
      </c>
      <c r="H2245">
        <v>11</v>
      </c>
      <c r="I2245" s="13">
        <v>45612</v>
      </c>
      <c r="J2245" s="13" t="str">
        <f>TEXT(Table1[[#This Row],[Date]],"[$-en-US]mmm yyyy")</f>
        <v>Nov 2024</v>
      </c>
      <c r="K2245" s="13" t="str">
        <f>TEXT(Table1[[#This Row],[Date]],"[$-en-US]ddd")</f>
        <v>Sat</v>
      </c>
    </row>
    <row r="2246" spans="1:11" x14ac:dyDescent="0.25">
      <c r="A2246">
        <v>12</v>
      </c>
      <c r="B2246" t="s">
        <v>9</v>
      </c>
      <c r="C2246">
        <v>35.76</v>
      </c>
      <c r="D2246" t="s">
        <v>27</v>
      </c>
      <c r="E2246" t="s">
        <v>15</v>
      </c>
      <c r="F2246" t="s">
        <v>36</v>
      </c>
      <c r="G2246">
        <v>6</v>
      </c>
      <c r="H2246">
        <v>11</v>
      </c>
      <c r="I2246" s="13">
        <v>45612</v>
      </c>
      <c r="J2246" s="13" t="str">
        <f>TEXT(Table1[[#This Row],[Date]],"[$-en-US]mmm yyyy")</f>
        <v>Nov 2024</v>
      </c>
      <c r="K2246" s="13" t="str">
        <f>TEXT(Table1[[#This Row],[Date]],"[$-en-US]ddd")</f>
        <v>Sat</v>
      </c>
    </row>
    <row r="2247" spans="1:11" x14ac:dyDescent="0.25">
      <c r="A2247">
        <v>12</v>
      </c>
      <c r="B2247" t="s">
        <v>9</v>
      </c>
      <c r="C2247">
        <v>30.86</v>
      </c>
      <c r="D2247" t="s">
        <v>17</v>
      </c>
      <c r="E2247" t="s">
        <v>15</v>
      </c>
      <c r="F2247" t="s">
        <v>36</v>
      </c>
      <c r="G2247">
        <v>6</v>
      </c>
      <c r="H2247">
        <v>11</v>
      </c>
      <c r="I2247" s="13">
        <v>45612</v>
      </c>
      <c r="J2247" s="13" t="str">
        <f>TEXT(Table1[[#This Row],[Date]],"[$-en-US]mmm yyyy")</f>
        <v>Nov 2024</v>
      </c>
      <c r="K2247" s="13" t="str">
        <f>TEXT(Table1[[#This Row],[Date]],"[$-en-US]ddd")</f>
        <v>Sat</v>
      </c>
    </row>
    <row r="2248" spans="1:11" x14ac:dyDescent="0.25">
      <c r="A2248">
        <v>12</v>
      </c>
      <c r="B2248" t="s">
        <v>9</v>
      </c>
      <c r="C2248">
        <v>35.76</v>
      </c>
      <c r="D2248" t="s">
        <v>10</v>
      </c>
      <c r="E2248" t="s">
        <v>15</v>
      </c>
      <c r="F2248" t="s">
        <v>36</v>
      </c>
      <c r="G2248">
        <v>6</v>
      </c>
      <c r="H2248">
        <v>11</v>
      </c>
      <c r="I2248" s="13">
        <v>45612</v>
      </c>
      <c r="J2248" s="13" t="str">
        <f>TEXT(Table1[[#This Row],[Date]],"[$-en-US]mmm yyyy")</f>
        <v>Nov 2024</v>
      </c>
      <c r="K2248" s="13" t="str">
        <f>TEXT(Table1[[#This Row],[Date]],"[$-en-US]ddd")</f>
        <v>Sat</v>
      </c>
    </row>
    <row r="2249" spans="1:11" x14ac:dyDescent="0.25">
      <c r="A2249">
        <v>12</v>
      </c>
      <c r="B2249" t="s">
        <v>9</v>
      </c>
      <c r="C2249">
        <v>35.76</v>
      </c>
      <c r="D2249" t="s">
        <v>10</v>
      </c>
      <c r="E2249" t="s">
        <v>15</v>
      </c>
      <c r="F2249" t="s">
        <v>36</v>
      </c>
      <c r="G2249">
        <v>6</v>
      </c>
      <c r="H2249">
        <v>11</v>
      </c>
      <c r="I2249" s="13">
        <v>45612</v>
      </c>
      <c r="J2249" s="13" t="str">
        <f>TEXT(Table1[[#This Row],[Date]],"[$-en-US]mmm yyyy")</f>
        <v>Nov 2024</v>
      </c>
      <c r="K2249" s="13" t="str">
        <f>TEXT(Table1[[#This Row],[Date]],"[$-en-US]ddd")</f>
        <v>Sat</v>
      </c>
    </row>
    <row r="2250" spans="1:11" x14ac:dyDescent="0.25">
      <c r="A2250">
        <v>13</v>
      </c>
      <c r="B2250" t="s">
        <v>9</v>
      </c>
      <c r="C2250">
        <v>30.86</v>
      </c>
      <c r="D2250" t="s">
        <v>17</v>
      </c>
      <c r="E2250" t="s">
        <v>15</v>
      </c>
      <c r="F2250" t="s">
        <v>36</v>
      </c>
      <c r="G2250">
        <v>6</v>
      </c>
      <c r="H2250">
        <v>11</v>
      </c>
      <c r="I2250" s="13">
        <v>45612</v>
      </c>
      <c r="J2250" s="13" t="str">
        <f>TEXT(Table1[[#This Row],[Date]],"[$-en-US]mmm yyyy")</f>
        <v>Nov 2024</v>
      </c>
      <c r="K2250" s="13" t="str">
        <f>TEXT(Table1[[#This Row],[Date]],"[$-en-US]ddd")</f>
        <v>Sat</v>
      </c>
    </row>
    <row r="2251" spans="1:11" x14ac:dyDescent="0.25">
      <c r="A2251">
        <v>13</v>
      </c>
      <c r="B2251" t="s">
        <v>9</v>
      </c>
      <c r="C2251">
        <v>35.76</v>
      </c>
      <c r="D2251" t="s">
        <v>10</v>
      </c>
      <c r="E2251" t="s">
        <v>15</v>
      </c>
      <c r="F2251" t="s">
        <v>36</v>
      </c>
      <c r="G2251">
        <v>6</v>
      </c>
      <c r="H2251">
        <v>11</v>
      </c>
      <c r="I2251" s="13">
        <v>45612</v>
      </c>
      <c r="J2251" s="13" t="str">
        <f>TEXT(Table1[[#This Row],[Date]],"[$-en-US]mmm yyyy")</f>
        <v>Nov 2024</v>
      </c>
      <c r="K2251" s="13" t="str">
        <f>TEXT(Table1[[#This Row],[Date]],"[$-en-US]ddd")</f>
        <v>Sat</v>
      </c>
    </row>
    <row r="2252" spans="1:11" x14ac:dyDescent="0.25">
      <c r="A2252">
        <v>13</v>
      </c>
      <c r="B2252" t="s">
        <v>9</v>
      </c>
      <c r="C2252">
        <v>35.76</v>
      </c>
      <c r="D2252" t="s">
        <v>10</v>
      </c>
      <c r="E2252" t="s">
        <v>15</v>
      </c>
      <c r="F2252" t="s">
        <v>36</v>
      </c>
      <c r="G2252">
        <v>6</v>
      </c>
      <c r="H2252">
        <v>11</v>
      </c>
      <c r="I2252" s="13">
        <v>45612</v>
      </c>
      <c r="J2252" s="13" t="str">
        <f>TEXT(Table1[[#This Row],[Date]],"[$-en-US]mmm yyyy")</f>
        <v>Nov 2024</v>
      </c>
      <c r="K2252" s="13" t="str">
        <f>TEXT(Table1[[#This Row],[Date]],"[$-en-US]ddd")</f>
        <v>Sat</v>
      </c>
    </row>
    <row r="2253" spans="1:11" x14ac:dyDescent="0.25">
      <c r="A2253">
        <v>14</v>
      </c>
      <c r="B2253" t="s">
        <v>9</v>
      </c>
      <c r="C2253">
        <v>30.86</v>
      </c>
      <c r="D2253" t="s">
        <v>17</v>
      </c>
      <c r="E2253" t="s">
        <v>15</v>
      </c>
      <c r="F2253" t="s">
        <v>36</v>
      </c>
      <c r="G2253">
        <v>6</v>
      </c>
      <c r="H2253">
        <v>11</v>
      </c>
      <c r="I2253" s="13">
        <v>45612</v>
      </c>
      <c r="J2253" s="13" t="str">
        <f>TEXT(Table1[[#This Row],[Date]],"[$-en-US]mmm yyyy")</f>
        <v>Nov 2024</v>
      </c>
      <c r="K2253" s="13" t="str">
        <f>TEXT(Table1[[#This Row],[Date]],"[$-en-US]ddd")</f>
        <v>Sat</v>
      </c>
    </row>
    <row r="2254" spans="1:11" x14ac:dyDescent="0.25">
      <c r="A2254">
        <v>10</v>
      </c>
      <c r="B2254" t="s">
        <v>9</v>
      </c>
      <c r="C2254">
        <v>30.86</v>
      </c>
      <c r="D2254" t="s">
        <v>17</v>
      </c>
      <c r="E2254" t="s">
        <v>11</v>
      </c>
      <c r="F2254" t="s">
        <v>36</v>
      </c>
      <c r="G2254">
        <v>7</v>
      </c>
      <c r="H2254">
        <v>11</v>
      </c>
      <c r="I2254" s="13">
        <v>45613</v>
      </c>
      <c r="J2254" s="13" t="str">
        <f>TEXT(Table1[[#This Row],[Date]],"[$-en-US]mmm yyyy")</f>
        <v>Nov 2024</v>
      </c>
      <c r="K2254" s="13" t="str">
        <f>TEXT(Table1[[#This Row],[Date]],"[$-en-US]ddd")</f>
        <v>Sun</v>
      </c>
    </row>
    <row r="2255" spans="1:11" x14ac:dyDescent="0.25">
      <c r="A2255">
        <v>13</v>
      </c>
      <c r="B2255" t="s">
        <v>9</v>
      </c>
      <c r="C2255">
        <v>30.86</v>
      </c>
      <c r="D2255" t="s">
        <v>17</v>
      </c>
      <c r="E2255" t="s">
        <v>15</v>
      </c>
      <c r="F2255" t="s">
        <v>36</v>
      </c>
      <c r="G2255">
        <v>7</v>
      </c>
      <c r="H2255">
        <v>11</v>
      </c>
      <c r="I2255" s="13">
        <v>45613</v>
      </c>
      <c r="J2255" s="13" t="str">
        <f>TEXT(Table1[[#This Row],[Date]],"[$-en-US]mmm yyyy")</f>
        <v>Nov 2024</v>
      </c>
      <c r="K2255" s="13" t="str">
        <f>TEXT(Table1[[#This Row],[Date]],"[$-en-US]ddd")</f>
        <v>Sun</v>
      </c>
    </row>
    <row r="2256" spans="1:11" x14ac:dyDescent="0.25">
      <c r="A2256">
        <v>14</v>
      </c>
      <c r="B2256" t="s">
        <v>9</v>
      </c>
      <c r="C2256">
        <v>25.96</v>
      </c>
      <c r="D2256" t="s">
        <v>16</v>
      </c>
      <c r="E2256" t="s">
        <v>15</v>
      </c>
      <c r="F2256" t="s">
        <v>36</v>
      </c>
      <c r="G2256">
        <v>7</v>
      </c>
      <c r="H2256">
        <v>11</v>
      </c>
      <c r="I2256" s="13">
        <v>45613</v>
      </c>
      <c r="J2256" s="13" t="str">
        <f>TEXT(Table1[[#This Row],[Date]],"[$-en-US]mmm yyyy")</f>
        <v>Nov 2024</v>
      </c>
      <c r="K2256" s="13" t="str">
        <f>TEXT(Table1[[#This Row],[Date]],"[$-en-US]ddd")</f>
        <v>Sun</v>
      </c>
    </row>
    <row r="2257" spans="1:11" x14ac:dyDescent="0.25">
      <c r="A2257">
        <v>14</v>
      </c>
      <c r="B2257" t="s">
        <v>9</v>
      </c>
      <c r="C2257">
        <v>30.86</v>
      </c>
      <c r="D2257" t="s">
        <v>17</v>
      </c>
      <c r="E2257" t="s">
        <v>15</v>
      </c>
      <c r="F2257" t="s">
        <v>36</v>
      </c>
      <c r="G2257">
        <v>7</v>
      </c>
      <c r="H2257">
        <v>11</v>
      </c>
      <c r="I2257" s="13">
        <v>45613</v>
      </c>
      <c r="J2257" s="13" t="str">
        <f>TEXT(Table1[[#This Row],[Date]],"[$-en-US]mmm yyyy")</f>
        <v>Nov 2024</v>
      </c>
      <c r="K2257" s="13" t="str">
        <f>TEXT(Table1[[#This Row],[Date]],"[$-en-US]ddd")</f>
        <v>Sun</v>
      </c>
    </row>
    <row r="2258" spans="1:11" x14ac:dyDescent="0.25">
      <c r="A2258">
        <v>16</v>
      </c>
      <c r="B2258" t="s">
        <v>9</v>
      </c>
      <c r="C2258">
        <v>35.76</v>
      </c>
      <c r="D2258" t="s">
        <v>10</v>
      </c>
      <c r="E2258" t="s">
        <v>15</v>
      </c>
      <c r="F2258" t="s">
        <v>36</v>
      </c>
      <c r="G2258">
        <v>7</v>
      </c>
      <c r="H2258">
        <v>11</v>
      </c>
      <c r="I2258" s="13">
        <v>45613</v>
      </c>
      <c r="J2258" s="13" t="str">
        <f>TEXT(Table1[[#This Row],[Date]],"[$-en-US]mmm yyyy")</f>
        <v>Nov 2024</v>
      </c>
      <c r="K2258" s="13" t="str">
        <f>TEXT(Table1[[#This Row],[Date]],"[$-en-US]ddd")</f>
        <v>Sun</v>
      </c>
    </row>
    <row r="2259" spans="1:11" x14ac:dyDescent="0.25">
      <c r="A2259">
        <v>16</v>
      </c>
      <c r="B2259" t="s">
        <v>9</v>
      </c>
      <c r="C2259">
        <v>35.76</v>
      </c>
      <c r="D2259" t="s">
        <v>10</v>
      </c>
      <c r="E2259" t="s">
        <v>15</v>
      </c>
      <c r="F2259" t="s">
        <v>36</v>
      </c>
      <c r="G2259">
        <v>7</v>
      </c>
      <c r="H2259">
        <v>11</v>
      </c>
      <c r="I2259" s="13">
        <v>45613</v>
      </c>
      <c r="J2259" s="13" t="str">
        <f>TEXT(Table1[[#This Row],[Date]],"[$-en-US]mmm yyyy")</f>
        <v>Nov 2024</v>
      </c>
      <c r="K2259" s="13" t="str">
        <f>TEXT(Table1[[#This Row],[Date]],"[$-en-US]ddd")</f>
        <v>Sun</v>
      </c>
    </row>
    <row r="2260" spans="1:11" x14ac:dyDescent="0.25">
      <c r="A2260">
        <v>18</v>
      </c>
      <c r="B2260" t="s">
        <v>9</v>
      </c>
      <c r="C2260">
        <v>35.76</v>
      </c>
      <c r="D2260" t="s">
        <v>14</v>
      </c>
      <c r="E2260" t="s">
        <v>18</v>
      </c>
      <c r="F2260" t="s">
        <v>36</v>
      </c>
      <c r="G2260">
        <v>7</v>
      </c>
      <c r="H2260">
        <v>11</v>
      </c>
      <c r="I2260" s="13">
        <v>45613</v>
      </c>
      <c r="J2260" s="13" t="str">
        <f>TEXT(Table1[[#This Row],[Date]],"[$-en-US]mmm yyyy")</f>
        <v>Nov 2024</v>
      </c>
      <c r="K2260" s="13" t="str">
        <f>TEXT(Table1[[#This Row],[Date]],"[$-en-US]ddd")</f>
        <v>Sun</v>
      </c>
    </row>
    <row r="2261" spans="1:11" x14ac:dyDescent="0.25">
      <c r="A2261">
        <v>19</v>
      </c>
      <c r="B2261" t="s">
        <v>9</v>
      </c>
      <c r="C2261">
        <v>35.76</v>
      </c>
      <c r="D2261" t="s">
        <v>14</v>
      </c>
      <c r="E2261" t="s">
        <v>18</v>
      </c>
      <c r="F2261" t="s">
        <v>36</v>
      </c>
      <c r="G2261">
        <v>7</v>
      </c>
      <c r="H2261">
        <v>11</v>
      </c>
      <c r="I2261" s="13">
        <v>45613</v>
      </c>
      <c r="J2261" s="13" t="str">
        <f>TEXT(Table1[[#This Row],[Date]],"[$-en-US]mmm yyyy")</f>
        <v>Nov 2024</v>
      </c>
      <c r="K2261" s="13" t="str">
        <f>TEXT(Table1[[#This Row],[Date]],"[$-en-US]ddd")</f>
        <v>Sun</v>
      </c>
    </row>
    <row r="2262" spans="1:11" x14ac:dyDescent="0.25">
      <c r="A2262">
        <v>19</v>
      </c>
      <c r="B2262" t="s">
        <v>9</v>
      </c>
      <c r="C2262">
        <v>35.76</v>
      </c>
      <c r="D2262" t="s">
        <v>14</v>
      </c>
      <c r="E2262" t="s">
        <v>18</v>
      </c>
      <c r="F2262" t="s">
        <v>36</v>
      </c>
      <c r="G2262">
        <v>7</v>
      </c>
      <c r="H2262">
        <v>11</v>
      </c>
      <c r="I2262" s="13">
        <v>45613</v>
      </c>
      <c r="J2262" s="13" t="str">
        <f>TEXT(Table1[[#This Row],[Date]],"[$-en-US]mmm yyyy")</f>
        <v>Nov 2024</v>
      </c>
      <c r="K2262" s="13" t="str">
        <f>TEXT(Table1[[#This Row],[Date]],"[$-en-US]ddd")</f>
        <v>Sun</v>
      </c>
    </row>
    <row r="2263" spans="1:11" x14ac:dyDescent="0.25">
      <c r="A2263">
        <v>7</v>
      </c>
      <c r="B2263" t="s">
        <v>9</v>
      </c>
      <c r="C2263">
        <v>30.86</v>
      </c>
      <c r="D2263" t="s">
        <v>17</v>
      </c>
      <c r="E2263" t="s">
        <v>11</v>
      </c>
      <c r="F2263" t="s">
        <v>36</v>
      </c>
      <c r="G2263">
        <v>1</v>
      </c>
      <c r="H2263">
        <v>11</v>
      </c>
      <c r="I2263" s="13">
        <v>45614</v>
      </c>
      <c r="J2263" s="13" t="str">
        <f>TEXT(Table1[[#This Row],[Date]],"[$-en-US]mmm yyyy")</f>
        <v>Nov 2024</v>
      </c>
      <c r="K2263" s="13" t="str">
        <f>TEXT(Table1[[#This Row],[Date]],"[$-en-US]ddd")</f>
        <v>Mon</v>
      </c>
    </row>
    <row r="2264" spans="1:11" x14ac:dyDescent="0.25">
      <c r="A2264">
        <v>7</v>
      </c>
      <c r="B2264" t="s">
        <v>9</v>
      </c>
      <c r="C2264">
        <v>30.86</v>
      </c>
      <c r="D2264" t="s">
        <v>17</v>
      </c>
      <c r="E2264" t="s">
        <v>11</v>
      </c>
      <c r="F2264" t="s">
        <v>36</v>
      </c>
      <c r="G2264">
        <v>1</v>
      </c>
      <c r="H2264">
        <v>11</v>
      </c>
      <c r="I2264" s="13">
        <v>45614</v>
      </c>
      <c r="J2264" s="13" t="str">
        <f>TEXT(Table1[[#This Row],[Date]],"[$-en-US]mmm yyyy")</f>
        <v>Nov 2024</v>
      </c>
      <c r="K2264" s="13" t="str">
        <f>TEXT(Table1[[#This Row],[Date]],"[$-en-US]ddd")</f>
        <v>Mon</v>
      </c>
    </row>
    <row r="2265" spans="1:11" x14ac:dyDescent="0.25">
      <c r="A2265">
        <v>7</v>
      </c>
      <c r="B2265" t="s">
        <v>9</v>
      </c>
      <c r="C2265">
        <v>35.76</v>
      </c>
      <c r="D2265" t="s">
        <v>10</v>
      </c>
      <c r="E2265" t="s">
        <v>11</v>
      </c>
      <c r="F2265" t="s">
        <v>36</v>
      </c>
      <c r="G2265">
        <v>1</v>
      </c>
      <c r="H2265">
        <v>11</v>
      </c>
      <c r="I2265" s="13">
        <v>45614</v>
      </c>
      <c r="J2265" s="13" t="str">
        <f>TEXT(Table1[[#This Row],[Date]],"[$-en-US]mmm yyyy")</f>
        <v>Nov 2024</v>
      </c>
      <c r="K2265" s="13" t="str">
        <f>TEXT(Table1[[#This Row],[Date]],"[$-en-US]ddd")</f>
        <v>Mon</v>
      </c>
    </row>
    <row r="2266" spans="1:11" x14ac:dyDescent="0.25">
      <c r="A2266">
        <v>16</v>
      </c>
      <c r="B2266" t="s">
        <v>9</v>
      </c>
      <c r="C2266">
        <v>35.76</v>
      </c>
      <c r="D2266" t="s">
        <v>10</v>
      </c>
      <c r="E2266" t="s">
        <v>15</v>
      </c>
      <c r="F2266" t="s">
        <v>36</v>
      </c>
      <c r="G2266">
        <v>1</v>
      </c>
      <c r="H2266">
        <v>11</v>
      </c>
      <c r="I2266" s="13">
        <v>45614</v>
      </c>
      <c r="J2266" s="13" t="str">
        <f>TEXT(Table1[[#This Row],[Date]],"[$-en-US]mmm yyyy")</f>
        <v>Nov 2024</v>
      </c>
      <c r="K2266" s="13" t="str">
        <f>TEXT(Table1[[#This Row],[Date]],"[$-en-US]ddd")</f>
        <v>Mon</v>
      </c>
    </row>
    <row r="2267" spans="1:11" x14ac:dyDescent="0.25">
      <c r="A2267">
        <v>16</v>
      </c>
      <c r="B2267" t="s">
        <v>9</v>
      </c>
      <c r="C2267">
        <v>35.76</v>
      </c>
      <c r="D2267" t="s">
        <v>10</v>
      </c>
      <c r="E2267" t="s">
        <v>15</v>
      </c>
      <c r="F2267" t="s">
        <v>36</v>
      </c>
      <c r="G2267">
        <v>1</v>
      </c>
      <c r="H2267">
        <v>11</v>
      </c>
      <c r="I2267" s="13">
        <v>45614</v>
      </c>
      <c r="J2267" s="13" t="str">
        <f>TEXT(Table1[[#This Row],[Date]],"[$-en-US]mmm yyyy")</f>
        <v>Nov 2024</v>
      </c>
      <c r="K2267" s="13" t="str">
        <f>TEXT(Table1[[#This Row],[Date]],"[$-en-US]ddd")</f>
        <v>Mon</v>
      </c>
    </row>
    <row r="2268" spans="1:11" x14ac:dyDescent="0.25">
      <c r="A2268">
        <v>18</v>
      </c>
      <c r="B2268" t="s">
        <v>9</v>
      </c>
      <c r="C2268">
        <v>35.76</v>
      </c>
      <c r="D2268" t="s">
        <v>10</v>
      </c>
      <c r="E2268" t="s">
        <v>18</v>
      </c>
      <c r="F2268" t="s">
        <v>36</v>
      </c>
      <c r="G2268">
        <v>1</v>
      </c>
      <c r="H2268">
        <v>11</v>
      </c>
      <c r="I2268" s="13">
        <v>45614</v>
      </c>
      <c r="J2268" s="13" t="str">
        <f>TEXT(Table1[[#This Row],[Date]],"[$-en-US]mmm yyyy")</f>
        <v>Nov 2024</v>
      </c>
      <c r="K2268" s="13" t="str">
        <f>TEXT(Table1[[#This Row],[Date]],"[$-en-US]ddd")</f>
        <v>Mon</v>
      </c>
    </row>
    <row r="2269" spans="1:11" x14ac:dyDescent="0.25">
      <c r="A2269">
        <v>7</v>
      </c>
      <c r="B2269" t="s">
        <v>9</v>
      </c>
      <c r="C2269">
        <v>35.76</v>
      </c>
      <c r="D2269" t="s">
        <v>19</v>
      </c>
      <c r="E2269" t="s">
        <v>11</v>
      </c>
      <c r="F2269" t="s">
        <v>36</v>
      </c>
      <c r="G2269">
        <v>2</v>
      </c>
      <c r="H2269">
        <v>11</v>
      </c>
      <c r="I2269" s="13">
        <v>45615</v>
      </c>
      <c r="J2269" s="13" t="str">
        <f>TEXT(Table1[[#This Row],[Date]],"[$-en-US]mmm yyyy")</f>
        <v>Nov 2024</v>
      </c>
      <c r="K2269" s="13" t="str">
        <f>TEXT(Table1[[#This Row],[Date]],"[$-en-US]ddd")</f>
        <v>Tue</v>
      </c>
    </row>
    <row r="2270" spans="1:11" x14ac:dyDescent="0.25">
      <c r="A2270">
        <v>7</v>
      </c>
      <c r="B2270" t="s">
        <v>9</v>
      </c>
      <c r="C2270">
        <v>30.86</v>
      </c>
      <c r="D2270" t="s">
        <v>17</v>
      </c>
      <c r="E2270" t="s">
        <v>11</v>
      </c>
      <c r="F2270" t="s">
        <v>36</v>
      </c>
      <c r="G2270">
        <v>2</v>
      </c>
      <c r="H2270">
        <v>11</v>
      </c>
      <c r="I2270" s="13">
        <v>45615</v>
      </c>
      <c r="J2270" s="13" t="str">
        <f>TEXT(Table1[[#This Row],[Date]],"[$-en-US]mmm yyyy")</f>
        <v>Nov 2024</v>
      </c>
      <c r="K2270" s="13" t="str">
        <f>TEXT(Table1[[#This Row],[Date]],"[$-en-US]ddd")</f>
        <v>Tue</v>
      </c>
    </row>
    <row r="2271" spans="1:11" x14ac:dyDescent="0.25">
      <c r="A2271">
        <v>7</v>
      </c>
      <c r="B2271" t="s">
        <v>9</v>
      </c>
      <c r="C2271">
        <v>35.76</v>
      </c>
      <c r="D2271" t="s">
        <v>10</v>
      </c>
      <c r="E2271" t="s">
        <v>11</v>
      </c>
      <c r="F2271" t="s">
        <v>36</v>
      </c>
      <c r="G2271">
        <v>2</v>
      </c>
      <c r="H2271">
        <v>11</v>
      </c>
      <c r="I2271" s="13">
        <v>45615</v>
      </c>
      <c r="J2271" s="13" t="str">
        <f>TEXT(Table1[[#This Row],[Date]],"[$-en-US]mmm yyyy")</f>
        <v>Nov 2024</v>
      </c>
      <c r="K2271" s="13" t="str">
        <f>TEXT(Table1[[#This Row],[Date]],"[$-en-US]ddd")</f>
        <v>Tue</v>
      </c>
    </row>
    <row r="2272" spans="1:11" x14ac:dyDescent="0.25">
      <c r="A2272">
        <v>7</v>
      </c>
      <c r="B2272" t="s">
        <v>9</v>
      </c>
      <c r="C2272">
        <v>21.06</v>
      </c>
      <c r="D2272" t="s">
        <v>24</v>
      </c>
      <c r="E2272" t="s">
        <v>11</v>
      </c>
      <c r="F2272" t="s">
        <v>36</v>
      </c>
      <c r="G2272">
        <v>2</v>
      </c>
      <c r="H2272">
        <v>11</v>
      </c>
      <c r="I2272" s="13">
        <v>45615</v>
      </c>
      <c r="J2272" s="13" t="str">
        <f>TEXT(Table1[[#This Row],[Date]],"[$-en-US]mmm yyyy")</f>
        <v>Nov 2024</v>
      </c>
      <c r="K2272" s="13" t="str">
        <f>TEXT(Table1[[#This Row],[Date]],"[$-en-US]ddd")</f>
        <v>Tue</v>
      </c>
    </row>
    <row r="2273" spans="1:11" x14ac:dyDescent="0.25">
      <c r="A2273">
        <v>7</v>
      </c>
      <c r="B2273" t="s">
        <v>9</v>
      </c>
      <c r="C2273">
        <v>35.76</v>
      </c>
      <c r="D2273" t="s">
        <v>10</v>
      </c>
      <c r="E2273" t="s">
        <v>11</v>
      </c>
      <c r="F2273" t="s">
        <v>36</v>
      </c>
      <c r="G2273">
        <v>2</v>
      </c>
      <c r="H2273">
        <v>11</v>
      </c>
      <c r="I2273" s="13">
        <v>45615</v>
      </c>
      <c r="J2273" s="13" t="str">
        <f>TEXT(Table1[[#This Row],[Date]],"[$-en-US]mmm yyyy")</f>
        <v>Nov 2024</v>
      </c>
      <c r="K2273" s="13" t="str">
        <f>TEXT(Table1[[#This Row],[Date]],"[$-en-US]ddd")</f>
        <v>Tue</v>
      </c>
    </row>
    <row r="2274" spans="1:11" x14ac:dyDescent="0.25">
      <c r="A2274">
        <v>10</v>
      </c>
      <c r="B2274" t="s">
        <v>9</v>
      </c>
      <c r="C2274">
        <v>30.86</v>
      </c>
      <c r="D2274" t="s">
        <v>17</v>
      </c>
      <c r="E2274" t="s">
        <v>11</v>
      </c>
      <c r="F2274" t="s">
        <v>36</v>
      </c>
      <c r="G2274">
        <v>2</v>
      </c>
      <c r="H2274">
        <v>11</v>
      </c>
      <c r="I2274" s="13">
        <v>45615</v>
      </c>
      <c r="J2274" s="13" t="str">
        <f>TEXT(Table1[[#This Row],[Date]],"[$-en-US]mmm yyyy")</f>
        <v>Nov 2024</v>
      </c>
      <c r="K2274" s="13" t="str">
        <f>TEXT(Table1[[#This Row],[Date]],"[$-en-US]ddd")</f>
        <v>Tue</v>
      </c>
    </row>
    <row r="2275" spans="1:11" x14ac:dyDescent="0.25">
      <c r="A2275">
        <v>11</v>
      </c>
      <c r="B2275" t="s">
        <v>9</v>
      </c>
      <c r="C2275">
        <v>35.76</v>
      </c>
      <c r="D2275" t="s">
        <v>10</v>
      </c>
      <c r="E2275" t="s">
        <v>11</v>
      </c>
      <c r="F2275" t="s">
        <v>36</v>
      </c>
      <c r="G2275">
        <v>2</v>
      </c>
      <c r="H2275">
        <v>11</v>
      </c>
      <c r="I2275" s="13">
        <v>45615</v>
      </c>
      <c r="J2275" s="13" t="str">
        <f>TEXT(Table1[[#This Row],[Date]],"[$-en-US]mmm yyyy")</f>
        <v>Nov 2024</v>
      </c>
      <c r="K2275" s="13" t="str">
        <f>TEXT(Table1[[#This Row],[Date]],"[$-en-US]ddd")</f>
        <v>Tue</v>
      </c>
    </row>
    <row r="2276" spans="1:11" x14ac:dyDescent="0.25">
      <c r="A2276">
        <v>16</v>
      </c>
      <c r="B2276" t="s">
        <v>9</v>
      </c>
      <c r="C2276">
        <v>35.76</v>
      </c>
      <c r="D2276" t="s">
        <v>19</v>
      </c>
      <c r="E2276" t="s">
        <v>15</v>
      </c>
      <c r="F2276" t="s">
        <v>36</v>
      </c>
      <c r="G2276">
        <v>2</v>
      </c>
      <c r="H2276">
        <v>11</v>
      </c>
      <c r="I2276" s="13">
        <v>45615</v>
      </c>
      <c r="J2276" s="13" t="str">
        <f>TEXT(Table1[[#This Row],[Date]],"[$-en-US]mmm yyyy")</f>
        <v>Nov 2024</v>
      </c>
      <c r="K2276" s="13" t="str">
        <f>TEXT(Table1[[#This Row],[Date]],"[$-en-US]ddd")</f>
        <v>Tue</v>
      </c>
    </row>
    <row r="2277" spans="1:11" x14ac:dyDescent="0.25">
      <c r="A2277">
        <v>16</v>
      </c>
      <c r="B2277" t="s">
        <v>9</v>
      </c>
      <c r="C2277">
        <v>35.76</v>
      </c>
      <c r="D2277" t="s">
        <v>19</v>
      </c>
      <c r="E2277" t="s">
        <v>15</v>
      </c>
      <c r="F2277" t="s">
        <v>36</v>
      </c>
      <c r="G2277">
        <v>2</v>
      </c>
      <c r="H2277">
        <v>11</v>
      </c>
      <c r="I2277" s="13">
        <v>45615</v>
      </c>
      <c r="J2277" s="13" t="str">
        <f>TEXT(Table1[[#This Row],[Date]],"[$-en-US]mmm yyyy")</f>
        <v>Nov 2024</v>
      </c>
      <c r="K2277" s="13" t="str">
        <f>TEXT(Table1[[#This Row],[Date]],"[$-en-US]ddd")</f>
        <v>Tue</v>
      </c>
    </row>
    <row r="2278" spans="1:11" x14ac:dyDescent="0.25">
      <c r="A2278">
        <v>16</v>
      </c>
      <c r="B2278" t="s">
        <v>9</v>
      </c>
      <c r="C2278">
        <v>35.76</v>
      </c>
      <c r="D2278" t="s">
        <v>27</v>
      </c>
      <c r="E2278" t="s">
        <v>15</v>
      </c>
      <c r="F2278" t="s">
        <v>36</v>
      </c>
      <c r="G2278">
        <v>2</v>
      </c>
      <c r="H2278">
        <v>11</v>
      </c>
      <c r="I2278" s="13">
        <v>45615</v>
      </c>
      <c r="J2278" s="13" t="str">
        <f>TEXT(Table1[[#This Row],[Date]],"[$-en-US]mmm yyyy")</f>
        <v>Nov 2024</v>
      </c>
      <c r="K2278" s="13" t="str">
        <f>TEXT(Table1[[#This Row],[Date]],"[$-en-US]ddd")</f>
        <v>Tue</v>
      </c>
    </row>
    <row r="2279" spans="1:11" x14ac:dyDescent="0.25">
      <c r="A2279">
        <v>16</v>
      </c>
      <c r="B2279" t="s">
        <v>9</v>
      </c>
      <c r="C2279">
        <v>35.76</v>
      </c>
      <c r="D2279" t="s">
        <v>27</v>
      </c>
      <c r="E2279" t="s">
        <v>15</v>
      </c>
      <c r="F2279" t="s">
        <v>36</v>
      </c>
      <c r="G2279">
        <v>2</v>
      </c>
      <c r="H2279">
        <v>11</v>
      </c>
      <c r="I2279" s="13">
        <v>45615</v>
      </c>
      <c r="J2279" s="13" t="str">
        <f>TEXT(Table1[[#This Row],[Date]],"[$-en-US]mmm yyyy")</f>
        <v>Nov 2024</v>
      </c>
      <c r="K2279" s="13" t="str">
        <f>TEXT(Table1[[#This Row],[Date]],"[$-en-US]ddd")</f>
        <v>Tue</v>
      </c>
    </row>
    <row r="2280" spans="1:11" x14ac:dyDescent="0.25">
      <c r="A2280">
        <v>13</v>
      </c>
      <c r="B2280" t="s">
        <v>9</v>
      </c>
      <c r="C2280">
        <v>30.86</v>
      </c>
      <c r="D2280" t="s">
        <v>17</v>
      </c>
      <c r="E2280" t="s">
        <v>15</v>
      </c>
      <c r="F2280" t="s">
        <v>36</v>
      </c>
      <c r="G2280">
        <v>3</v>
      </c>
      <c r="H2280">
        <v>11</v>
      </c>
      <c r="I2280" s="13">
        <v>45616</v>
      </c>
      <c r="J2280" s="13" t="str">
        <f>TEXT(Table1[[#This Row],[Date]],"[$-en-US]mmm yyyy")</f>
        <v>Nov 2024</v>
      </c>
      <c r="K2280" s="13" t="str">
        <f>TEXT(Table1[[#This Row],[Date]],"[$-en-US]ddd")</f>
        <v>Wed</v>
      </c>
    </row>
    <row r="2281" spans="1:11" x14ac:dyDescent="0.25">
      <c r="A2281">
        <v>16</v>
      </c>
      <c r="B2281" t="s">
        <v>9</v>
      </c>
      <c r="C2281">
        <v>35.76</v>
      </c>
      <c r="D2281" t="s">
        <v>10</v>
      </c>
      <c r="E2281" t="s">
        <v>15</v>
      </c>
      <c r="F2281" t="s">
        <v>36</v>
      </c>
      <c r="G2281">
        <v>3</v>
      </c>
      <c r="H2281">
        <v>11</v>
      </c>
      <c r="I2281" s="13">
        <v>45616</v>
      </c>
      <c r="J2281" s="13" t="str">
        <f>TEXT(Table1[[#This Row],[Date]],"[$-en-US]mmm yyyy")</f>
        <v>Nov 2024</v>
      </c>
      <c r="K2281" s="13" t="str">
        <f>TEXT(Table1[[#This Row],[Date]],"[$-en-US]ddd")</f>
        <v>Wed</v>
      </c>
    </row>
    <row r="2282" spans="1:11" x14ac:dyDescent="0.25">
      <c r="A2282">
        <v>17</v>
      </c>
      <c r="B2282" t="s">
        <v>9</v>
      </c>
      <c r="C2282">
        <v>35.76</v>
      </c>
      <c r="D2282" t="s">
        <v>27</v>
      </c>
      <c r="E2282" t="s">
        <v>18</v>
      </c>
      <c r="F2282" t="s">
        <v>36</v>
      </c>
      <c r="G2282">
        <v>3</v>
      </c>
      <c r="H2282">
        <v>11</v>
      </c>
      <c r="I2282" s="13">
        <v>45616</v>
      </c>
      <c r="J2282" s="13" t="str">
        <f>TEXT(Table1[[#This Row],[Date]],"[$-en-US]mmm yyyy")</f>
        <v>Nov 2024</v>
      </c>
      <c r="K2282" s="13" t="str">
        <f>TEXT(Table1[[#This Row],[Date]],"[$-en-US]ddd")</f>
        <v>Wed</v>
      </c>
    </row>
    <row r="2283" spans="1:11" x14ac:dyDescent="0.25">
      <c r="A2283">
        <v>17</v>
      </c>
      <c r="B2283" t="s">
        <v>9</v>
      </c>
      <c r="C2283">
        <v>35.76</v>
      </c>
      <c r="D2283" t="s">
        <v>14</v>
      </c>
      <c r="E2283" t="s">
        <v>18</v>
      </c>
      <c r="F2283" t="s">
        <v>36</v>
      </c>
      <c r="G2283">
        <v>3</v>
      </c>
      <c r="H2283">
        <v>11</v>
      </c>
      <c r="I2283" s="13">
        <v>45616</v>
      </c>
      <c r="J2283" s="13" t="str">
        <f>TEXT(Table1[[#This Row],[Date]],"[$-en-US]mmm yyyy")</f>
        <v>Nov 2024</v>
      </c>
      <c r="K2283" s="13" t="str">
        <f>TEXT(Table1[[#This Row],[Date]],"[$-en-US]ddd")</f>
        <v>Wed</v>
      </c>
    </row>
    <row r="2284" spans="1:11" x14ac:dyDescent="0.25">
      <c r="A2284">
        <v>11</v>
      </c>
      <c r="B2284" t="s">
        <v>9</v>
      </c>
      <c r="C2284">
        <v>25.96</v>
      </c>
      <c r="D2284" t="s">
        <v>22</v>
      </c>
      <c r="E2284" t="s">
        <v>11</v>
      </c>
      <c r="F2284" t="s">
        <v>36</v>
      </c>
      <c r="G2284">
        <v>4</v>
      </c>
      <c r="H2284">
        <v>11</v>
      </c>
      <c r="I2284" s="13">
        <v>45617</v>
      </c>
      <c r="J2284" s="13" t="str">
        <f>TEXT(Table1[[#This Row],[Date]],"[$-en-US]mmm yyyy")</f>
        <v>Nov 2024</v>
      </c>
      <c r="K2284" s="13" t="str">
        <f>TEXT(Table1[[#This Row],[Date]],"[$-en-US]ddd")</f>
        <v>Thu</v>
      </c>
    </row>
    <row r="2285" spans="1:11" x14ac:dyDescent="0.25">
      <c r="A2285">
        <v>12</v>
      </c>
      <c r="B2285" t="s">
        <v>9</v>
      </c>
      <c r="C2285">
        <v>35.76</v>
      </c>
      <c r="D2285" t="s">
        <v>10</v>
      </c>
      <c r="E2285" t="s">
        <v>15</v>
      </c>
      <c r="F2285" t="s">
        <v>36</v>
      </c>
      <c r="G2285">
        <v>4</v>
      </c>
      <c r="H2285">
        <v>11</v>
      </c>
      <c r="I2285" s="13">
        <v>45617</v>
      </c>
      <c r="J2285" s="13" t="str">
        <f>TEXT(Table1[[#This Row],[Date]],"[$-en-US]mmm yyyy")</f>
        <v>Nov 2024</v>
      </c>
      <c r="K2285" s="13" t="str">
        <f>TEXT(Table1[[#This Row],[Date]],"[$-en-US]ddd")</f>
        <v>Thu</v>
      </c>
    </row>
    <row r="2286" spans="1:11" x14ac:dyDescent="0.25">
      <c r="A2286">
        <v>12</v>
      </c>
      <c r="B2286" t="s">
        <v>9</v>
      </c>
      <c r="C2286">
        <v>35.76</v>
      </c>
      <c r="D2286" t="s">
        <v>19</v>
      </c>
      <c r="E2286" t="s">
        <v>15</v>
      </c>
      <c r="F2286" t="s">
        <v>36</v>
      </c>
      <c r="G2286">
        <v>4</v>
      </c>
      <c r="H2286">
        <v>11</v>
      </c>
      <c r="I2286" s="13">
        <v>45617</v>
      </c>
      <c r="J2286" s="13" t="str">
        <f>TEXT(Table1[[#This Row],[Date]],"[$-en-US]mmm yyyy")</f>
        <v>Nov 2024</v>
      </c>
      <c r="K2286" s="13" t="str">
        <f>TEXT(Table1[[#This Row],[Date]],"[$-en-US]ddd")</f>
        <v>Thu</v>
      </c>
    </row>
    <row r="2287" spans="1:11" x14ac:dyDescent="0.25">
      <c r="A2287">
        <v>13</v>
      </c>
      <c r="B2287" t="s">
        <v>9</v>
      </c>
      <c r="C2287">
        <v>35.76</v>
      </c>
      <c r="D2287" t="s">
        <v>19</v>
      </c>
      <c r="E2287" t="s">
        <v>15</v>
      </c>
      <c r="F2287" t="s">
        <v>36</v>
      </c>
      <c r="G2287">
        <v>4</v>
      </c>
      <c r="H2287">
        <v>11</v>
      </c>
      <c r="I2287" s="13">
        <v>45617</v>
      </c>
      <c r="J2287" s="13" t="str">
        <f>TEXT(Table1[[#This Row],[Date]],"[$-en-US]mmm yyyy")</f>
        <v>Nov 2024</v>
      </c>
      <c r="K2287" s="13" t="str">
        <f>TEXT(Table1[[#This Row],[Date]],"[$-en-US]ddd")</f>
        <v>Thu</v>
      </c>
    </row>
    <row r="2288" spans="1:11" x14ac:dyDescent="0.25">
      <c r="A2288">
        <v>16</v>
      </c>
      <c r="B2288" t="s">
        <v>9</v>
      </c>
      <c r="C2288">
        <v>35.76</v>
      </c>
      <c r="D2288" t="s">
        <v>10</v>
      </c>
      <c r="E2288" t="s">
        <v>15</v>
      </c>
      <c r="F2288" t="s">
        <v>36</v>
      </c>
      <c r="G2288">
        <v>4</v>
      </c>
      <c r="H2288">
        <v>11</v>
      </c>
      <c r="I2288" s="13">
        <v>45617</v>
      </c>
      <c r="J2288" s="13" t="str">
        <f>TEXT(Table1[[#This Row],[Date]],"[$-en-US]mmm yyyy")</f>
        <v>Nov 2024</v>
      </c>
      <c r="K2288" s="13" t="str">
        <f>TEXT(Table1[[#This Row],[Date]],"[$-en-US]ddd")</f>
        <v>Thu</v>
      </c>
    </row>
    <row r="2289" spans="1:11" x14ac:dyDescent="0.25">
      <c r="A2289">
        <v>17</v>
      </c>
      <c r="B2289" t="s">
        <v>9</v>
      </c>
      <c r="C2289">
        <v>30.86</v>
      </c>
      <c r="D2289" t="s">
        <v>17</v>
      </c>
      <c r="E2289" t="s">
        <v>18</v>
      </c>
      <c r="F2289" t="s">
        <v>36</v>
      </c>
      <c r="G2289">
        <v>4</v>
      </c>
      <c r="H2289">
        <v>11</v>
      </c>
      <c r="I2289" s="13">
        <v>45617</v>
      </c>
      <c r="J2289" s="13" t="str">
        <f>TEXT(Table1[[#This Row],[Date]],"[$-en-US]mmm yyyy")</f>
        <v>Nov 2024</v>
      </c>
      <c r="K2289" s="13" t="str">
        <f>TEXT(Table1[[#This Row],[Date]],"[$-en-US]ddd")</f>
        <v>Thu</v>
      </c>
    </row>
    <row r="2290" spans="1:11" x14ac:dyDescent="0.25">
      <c r="A2290">
        <v>17</v>
      </c>
      <c r="B2290" t="s">
        <v>9</v>
      </c>
      <c r="C2290">
        <v>25.96</v>
      </c>
      <c r="D2290" t="s">
        <v>22</v>
      </c>
      <c r="E2290" t="s">
        <v>18</v>
      </c>
      <c r="F2290" t="s">
        <v>36</v>
      </c>
      <c r="G2290">
        <v>4</v>
      </c>
      <c r="H2290">
        <v>11</v>
      </c>
      <c r="I2290" s="13">
        <v>45617</v>
      </c>
      <c r="J2290" s="13" t="str">
        <f>TEXT(Table1[[#This Row],[Date]],"[$-en-US]mmm yyyy")</f>
        <v>Nov 2024</v>
      </c>
      <c r="K2290" s="13" t="str">
        <f>TEXT(Table1[[#This Row],[Date]],"[$-en-US]ddd")</f>
        <v>Thu</v>
      </c>
    </row>
    <row r="2291" spans="1:11" x14ac:dyDescent="0.25">
      <c r="A2291">
        <v>19</v>
      </c>
      <c r="B2291" t="s">
        <v>9</v>
      </c>
      <c r="C2291">
        <v>35.76</v>
      </c>
      <c r="D2291" t="s">
        <v>14</v>
      </c>
      <c r="E2291" t="s">
        <v>18</v>
      </c>
      <c r="F2291" t="s">
        <v>36</v>
      </c>
      <c r="G2291">
        <v>4</v>
      </c>
      <c r="H2291">
        <v>11</v>
      </c>
      <c r="I2291" s="13">
        <v>45617</v>
      </c>
      <c r="J2291" s="13" t="str">
        <f>TEXT(Table1[[#This Row],[Date]],"[$-en-US]mmm yyyy")</f>
        <v>Nov 2024</v>
      </c>
      <c r="K2291" s="13" t="str">
        <f>TEXT(Table1[[#This Row],[Date]],"[$-en-US]ddd")</f>
        <v>Thu</v>
      </c>
    </row>
    <row r="2292" spans="1:11" x14ac:dyDescent="0.25">
      <c r="A2292">
        <v>7</v>
      </c>
      <c r="B2292" t="s">
        <v>9</v>
      </c>
      <c r="C2292">
        <v>35.76</v>
      </c>
      <c r="D2292" t="s">
        <v>10</v>
      </c>
      <c r="E2292" t="s">
        <v>11</v>
      </c>
      <c r="F2292" t="s">
        <v>36</v>
      </c>
      <c r="G2292">
        <v>5</v>
      </c>
      <c r="H2292">
        <v>11</v>
      </c>
      <c r="I2292" s="13">
        <v>45618</v>
      </c>
      <c r="J2292" s="13" t="str">
        <f>TEXT(Table1[[#This Row],[Date]],"[$-en-US]mmm yyyy")</f>
        <v>Nov 2024</v>
      </c>
      <c r="K2292" s="13" t="str">
        <f>TEXT(Table1[[#This Row],[Date]],"[$-en-US]ddd")</f>
        <v>Fri</v>
      </c>
    </row>
    <row r="2293" spans="1:11" x14ac:dyDescent="0.25">
      <c r="A2293">
        <v>10</v>
      </c>
      <c r="B2293" t="s">
        <v>9</v>
      </c>
      <c r="C2293">
        <v>35.76</v>
      </c>
      <c r="D2293" t="s">
        <v>27</v>
      </c>
      <c r="E2293" t="s">
        <v>11</v>
      </c>
      <c r="F2293" t="s">
        <v>36</v>
      </c>
      <c r="G2293">
        <v>5</v>
      </c>
      <c r="H2293">
        <v>11</v>
      </c>
      <c r="I2293" s="13">
        <v>45618</v>
      </c>
      <c r="J2293" s="13" t="str">
        <f>TEXT(Table1[[#This Row],[Date]],"[$-en-US]mmm yyyy")</f>
        <v>Nov 2024</v>
      </c>
      <c r="K2293" s="13" t="str">
        <f>TEXT(Table1[[#This Row],[Date]],"[$-en-US]ddd")</f>
        <v>Fri</v>
      </c>
    </row>
    <row r="2294" spans="1:11" x14ac:dyDescent="0.25">
      <c r="A2294">
        <v>11</v>
      </c>
      <c r="B2294" t="s">
        <v>9</v>
      </c>
      <c r="C2294">
        <v>35.76</v>
      </c>
      <c r="D2294" t="s">
        <v>10</v>
      </c>
      <c r="E2294" t="s">
        <v>11</v>
      </c>
      <c r="F2294" t="s">
        <v>36</v>
      </c>
      <c r="G2294">
        <v>5</v>
      </c>
      <c r="H2294">
        <v>11</v>
      </c>
      <c r="I2294" s="13">
        <v>45618</v>
      </c>
      <c r="J2294" s="13" t="str">
        <f>TEXT(Table1[[#This Row],[Date]],"[$-en-US]mmm yyyy")</f>
        <v>Nov 2024</v>
      </c>
      <c r="K2294" s="13" t="str">
        <f>TEXT(Table1[[#This Row],[Date]],"[$-en-US]ddd")</f>
        <v>Fri</v>
      </c>
    </row>
    <row r="2295" spans="1:11" x14ac:dyDescent="0.25">
      <c r="A2295">
        <v>11</v>
      </c>
      <c r="B2295" t="s">
        <v>9</v>
      </c>
      <c r="C2295">
        <v>35.76</v>
      </c>
      <c r="D2295" t="s">
        <v>19</v>
      </c>
      <c r="E2295" t="s">
        <v>11</v>
      </c>
      <c r="F2295" t="s">
        <v>36</v>
      </c>
      <c r="G2295">
        <v>5</v>
      </c>
      <c r="H2295">
        <v>11</v>
      </c>
      <c r="I2295" s="13">
        <v>45618</v>
      </c>
      <c r="J2295" s="13" t="str">
        <f>TEXT(Table1[[#This Row],[Date]],"[$-en-US]mmm yyyy")</f>
        <v>Nov 2024</v>
      </c>
      <c r="K2295" s="13" t="str">
        <f>TEXT(Table1[[#This Row],[Date]],"[$-en-US]ddd")</f>
        <v>Fri</v>
      </c>
    </row>
    <row r="2296" spans="1:11" x14ac:dyDescent="0.25">
      <c r="A2296">
        <v>16</v>
      </c>
      <c r="B2296" t="s">
        <v>9</v>
      </c>
      <c r="C2296">
        <v>35.76</v>
      </c>
      <c r="D2296" t="s">
        <v>14</v>
      </c>
      <c r="E2296" t="s">
        <v>15</v>
      </c>
      <c r="F2296" t="s">
        <v>36</v>
      </c>
      <c r="G2296">
        <v>5</v>
      </c>
      <c r="H2296">
        <v>11</v>
      </c>
      <c r="I2296" s="13">
        <v>45618</v>
      </c>
      <c r="J2296" s="13" t="str">
        <f>TEXT(Table1[[#This Row],[Date]],"[$-en-US]mmm yyyy")</f>
        <v>Nov 2024</v>
      </c>
      <c r="K2296" s="13" t="str">
        <f>TEXT(Table1[[#This Row],[Date]],"[$-en-US]ddd")</f>
        <v>Fri</v>
      </c>
    </row>
    <row r="2297" spans="1:11" x14ac:dyDescent="0.25">
      <c r="A2297">
        <v>16</v>
      </c>
      <c r="B2297" t="s">
        <v>9</v>
      </c>
      <c r="C2297">
        <v>35.76</v>
      </c>
      <c r="D2297" t="s">
        <v>10</v>
      </c>
      <c r="E2297" t="s">
        <v>15</v>
      </c>
      <c r="F2297" t="s">
        <v>36</v>
      </c>
      <c r="G2297">
        <v>5</v>
      </c>
      <c r="H2297">
        <v>11</v>
      </c>
      <c r="I2297" s="13">
        <v>45618</v>
      </c>
      <c r="J2297" s="13" t="str">
        <f>TEXT(Table1[[#This Row],[Date]],"[$-en-US]mmm yyyy")</f>
        <v>Nov 2024</v>
      </c>
      <c r="K2297" s="13" t="str">
        <f>TEXT(Table1[[#This Row],[Date]],"[$-en-US]ddd")</f>
        <v>Fri</v>
      </c>
    </row>
    <row r="2298" spans="1:11" x14ac:dyDescent="0.25">
      <c r="A2298">
        <v>9</v>
      </c>
      <c r="B2298" t="s">
        <v>9</v>
      </c>
      <c r="C2298">
        <v>25.96</v>
      </c>
      <c r="D2298" t="s">
        <v>22</v>
      </c>
      <c r="E2298" t="s">
        <v>11</v>
      </c>
      <c r="F2298" t="s">
        <v>36</v>
      </c>
      <c r="G2298">
        <v>6</v>
      </c>
      <c r="H2298">
        <v>11</v>
      </c>
      <c r="I2298" s="13">
        <v>45619</v>
      </c>
      <c r="J2298" s="13" t="str">
        <f>TEXT(Table1[[#This Row],[Date]],"[$-en-US]mmm yyyy")</f>
        <v>Nov 2024</v>
      </c>
      <c r="K2298" s="13" t="str">
        <f>TEXT(Table1[[#This Row],[Date]],"[$-en-US]ddd")</f>
        <v>Sat</v>
      </c>
    </row>
    <row r="2299" spans="1:11" x14ac:dyDescent="0.25">
      <c r="A2299">
        <v>9</v>
      </c>
      <c r="B2299" t="s">
        <v>9</v>
      </c>
      <c r="C2299">
        <v>25.96</v>
      </c>
      <c r="D2299" t="s">
        <v>22</v>
      </c>
      <c r="E2299" t="s">
        <v>11</v>
      </c>
      <c r="F2299" t="s">
        <v>36</v>
      </c>
      <c r="G2299">
        <v>6</v>
      </c>
      <c r="H2299">
        <v>11</v>
      </c>
      <c r="I2299" s="13">
        <v>45619</v>
      </c>
      <c r="J2299" s="13" t="str">
        <f>TEXT(Table1[[#This Row],[Date]],"[$-en-US]mmm yyyy")</f>
        <v>Nov 2024</v>
      </c>
      <c r="K2299" s="13" t="str">
        <f>TEXT(Table1[[#This Row],[Date]],"[$-en-US]ddd")</f>
        <v>Sat</v>
      </c>
    </row>
    <row r="2300" spans="1:11" x14ac:dyDescent="0.25">
      <c r="A2300">
        <v>10</v>
      </c>
      <c r="B2300" t="s">
        <v>9</v>
      </c>
      <c r="C2300">
        <v>35.76</v>
      </c>
      <c r="D2300" t="s">
        <v>10</v>
      </c>
      <c r="E2300" t="s">
        <v>11</v>
      </c>
      <c r="F2300" t="s">
        <v>36</v>
      </c>
      <c r="G2300">
        <v>6</v>
      </c>
      <c r="H2300">
        <v>11</v>
      </c>
      <c r="I2300" s="13">
        <v>45619</v>
      </c>
      <c r="J2300" s="13" t="str">
        <f>TEXT(Table1[[#This Row],[Date]],"[$-en-US]mmm yyyy")</f>
        <v>Nov 2024</v>
      </c>
      <c r="K2300" s="13" t="str">
        <f>TEXT(Table1[[#This Row],[Date]],"[$-en-US]ddd")</f>
        <v>Sat</v>
      </c>
    </row>
    <row r="2301" spans="1:11" x14ac:dyDescent="0.25">
      <c r="A2301">
        <v>11</v>
      </c>
      <c r="B2301" t="s">
        <v>9</v>
      </c>
      <c r="C2301">
        <v>35.76</v>
      </c>
      <c r="D2301" t="s">
        <v>27</v>
      </c>
      <c r="E2301" t="s">
        <v>11</v>
      </c>
      <c r="F2301" t="s">
        <v>36</v>
      </c>
      <c r="G2301">
        <v>6</v>
      </c>
      <c r="H2301">
        <v>11</v>
      </c>
      <c r="I2301" s="13">
        <v>45619</v>
      </c>
      <c r="J2301" s="13" t="str">
        <f>TEXT(Table1[[#This Row],[Date]],"[$-en-US]mmm yyyy")</f>
        <v>Nov 2024</v>
      </c>
      <c r="K2301" s="13" t="str">
        <f>TEXT(Table1[[#This Row],[Date]],"[$-en-US]ddd")</f>
        <v>Sat</v>
      </c>
    </row>
    <row r="2302" spans="1:11" x14ac:dyDescent="0.25">
      <c r="A2302">
        <v>11</v>
      </c>
      <c r="B2302" t="s">
        <v>9</v>
      </c>
      <c r="C2302">
        <v>25.96</v>
      </c>
      <c r="D2302" t="s">
        <v>16</v>
      </c>
      <c r="E2302" t="s">
        <v>11</v>
      </c>
      <c r="F2302" t="s">
        <v>36</v>
      </c>
      <c r="G2302">
        <v>6</v>
      </c>
      <c r="H2302">
        <v>11</v>
      </c>
      <c r="I2302" s="13">
        <v>45619</v>
      </c>
      <c r="J2302" s="13" t="str">
        <f>TEXT(Table1[[#This Row],[Date]],"[$-en-US]mmm yyyy")</f>
        <v>Nov 2024</v>
      </c>
      <c r="K2302" s="13" t="str">
        <f>TEXT(Table1[[#This Row],[Date]],"[$-en-US]ddd")</f>
        <v>Sat</v>
      </c>
    </row>
    <row r="2303" spans="1:11" x14ac:dyDescent="0.25">
      <c r="A2303">
        <v>11</v>
      </c>
      <c r="B2303" t="s">
        <v>9</v>
      </c>
      <c r="C2303">
        <v>25.96</v>
      </c>
      <c r="D2303" t="s">
        <v>16</v>
      </c>
      <c r="E2303" t="s">
        <v>11</v>
      </c>
      <c r="F2303" t="s">
        <v>36</v>
      </c>
      <c r="G2303">
        <v>6</v>
      </c>
      <c r="H2303">
        <v>11</v>
      </c>
      <c r="I2303" s="13">
        <v>45619</v>
      </c>
      <c r="J2303" s="13" t="str">
        <f>TEXT(Table1[[#This Row],[Date]],"[$-en-US]mmm yyyy")</f>
        <v>Nov 2024</v>
      </c>
      <c r="K2303" s="13" t="str">
        <f>TEXT(Table1[[#This Row],[Date]],"[$-en-US]ddd")</f>
        <v>Sat</v>
      </c>
    </row>
    <row r="2304" spans="1:11" x14ac:dyDescent="0.25">
      <c r="A2304">
        <v>11</v>
      </c>
      <c r="B2304" t="s">
        <v>9</v>
      </c>
      <c r="C2304">
        <v>35.76</v>
      </c>
      <c r="D2304" t="s">
        <v>14</v>
      </c>
      <c r="E2304" t="s">
        <v>11</v>
      </c>
      <c r="F2304" t="s">
        <v>36</v>
      </c>
      <c r="G2304">
        <v>6</v>
      </c>
      <c r="H2304">
        <v>11</v>
      </c>
      <c r="I2304" s="13">
        <v>45619</v>
      </c>
      <c r="J2304" s="13" t="str">
        <f>TEXT(Table1[[#This Row],[Date]],"[$-en-US]mmm yyyy")</f>
        <v>Nov 2024</v>
      </c>
      <c r="K2304" s="13" t="str">
        <f>TEXT(Table1[[#This Row],[Date]],"[$-en-US]ddd")</f>
        <v>Sat</v>
      </c>
    </row>
    <row r="2305" spans="1:11" x14ac:dyDescent="0.25">
      <c r="A2305">
        <v>22</v>
      </c>
      <c r="B2305" t="s">
        <v>9</v>
      </c>
      <c r="C2305">
        <v>35.76</v>
      </c>
      <c r="D2305" t="s">
        <v>10</v>
      </c>
      <c r="E2305" t="s">
        <v>18</v>
      </c>
      <c r="F2305" t="s">
        <v>36</v>
      </c>
      <c r="G2305">
        <v>6</v>
      </c>
      <c r="H2305">
        <v>11</v>
      </c>
      <c r="I2305" s="13">
        <v>45619</v>
      </c>
      <c r="J2305" s="13" t="str">
        <f>TEXT(Table1[[#This Row],[Date]],"[$-en-US]mmm yyyy")</f>
        <v>Nov 2024</v>
      </c>
      <c r="K2305" s="13" t="str">
        <f>TEXT(Table1[[#This Row],[Date]],"[$-en-US]ddd")</f>
        <v>Sat</v>
      </c>
    </row>
    <row r="2306" spans="1:11" x14ac:dyDescent="0.25">
      <c r="A2306">
        <v>8</v>
      </c>
      <c r="B2306" t="s">
        <v>9</v>
      </c>
      <c r="C2306">
        <v>35.76</v>
      </c>
      <c r="D2306" t="s">
        <v>10</v>
      </c>
      <c r="E2306" t="s">
        <v>11</v>
      </c>
      <c r="F2306" t="s">
        <v>36</v>
      </c>
      <c r="G2306">
        <v>7</v>
      </c>
      <c r="H2306">
        <v>11</v>
      </c>
      <c r="I2306" s="13">
        <v>45620</v>
      </c>
      <c r="J2306" s="13" t="str">
        <f>TEXT(Table1[[#This Row],[Date]],"[$-en-US]mmm yyyy")</f>
        <v>Nov 2024</v>
      </c>
      <c r="K2306" s="13" t="str">
        <f>TEXT(Table1[[#This Row],[Date]],"[$-en-US]ddd")</f>
        <v>Sun</v>
      </c>
    </row>
    <row r="2307" spans="1:11" x14ac:dyDescent="0.25">
      <c r="A2307">
        <v>7</v>
      </c>
      <c r="B2307" t="s">
        <v>9</v>
      </c>
      <c r="C2307">
        <v>35.76</v>
      </c>
      <c r="D2307" t="s">
        <v>27</v>
      </c>
      <c r="E2307" t="s">
        <v>11</v>
      </c>
      <c r="F2307" t="s">
        <v>36</v>
      </c>
      <c r="G2307">
        <v>1</v>
      </c>
      <c r="H2307">
        <v>11</v>
      </c>
      <c r="I2307" s="13">
        <v>45621</v>
      </c>
      <c r="J2307" s="13" t="str">
        <f>TEXT(Table1[[#This Row],[Date]],"[$-en-US]mmm yyyy")</f>
        <v>Nov 2024</v>
      </c>
      <c r="K2307" s="13" t="str">
        <f>TEXT(Table1[[#This Row],[Date]],"[$-en-US]ddd")</f>
        <v>Mon</v>
      </c>
    </row>
    <row r="2308" spans="1:11" x14ac:dyDescent="0.25">
      <c r="A2308">
        <v>7</v>
      </c>
      <c r="B2308" t="s">
        <v>9</v>
      </c>
      <c r="C2308">
        <v>35.76</v>
      </c>
      <c r="D2308" t="s">
        <v>10</v>
      </c>
      <c r="E2308" t="s">
        <v>11</v>
      </c>
      <c r="F2308" t="s">
        <v>36</v>
      </c>
      <c r="G2308">
        <v>1</v>
      </c>
      <c r="H2308">
        <v>11</v>
      </c>
      <c r="I2308" s="13">
        <v>45621</v>
      </c>
      <c r="J2308" s="13" t="str">
        <f>TEXT(Table1[[#This Row],[Date]],"[$-en-US]mmm yyyy")</f>
        <v>Nov 2024</v>
      </c>
      <c r="K2308" s="13" t="str">
        <f>TEXT(Table1[[#This Row],[Date]],"[$-en-US]ddd")</f>
        <v>Mon</v>
      </c>
    </row>
    <row r="2309" spans="1:11" x14ac:dyDescent="0.25">
      <c r="A2309">
        <v>9</v>
      </c>
      <c r="B2309" t="s">
        <v>9</v>
      </c>
      <c r="C2309">
        <v>30.86</v>
      </c>
      <c r="D2309" t="s">
        <v>17</v>
      </c>
      <c r="E2309" t="s">
        <v>11</v>
      </c>
      <c r="F2309" t="s">
        <v>36</v>
      </c>
      <c r="G2309">
        <v>1</v>
      </c>
      <c r="H2309">
        <v>11</v>
      </c>
      <c r="I2309" s="13">
        <v>45621</v>
      </c>
      <c r="J2309" s="13" t="str">
        <f>TEXT(Table1[[#This Row],[Date]],"[$-en-US]mmm yyyy")</f>
        <v>Nov 2024</v>
      </c>
      <c r="K2309" s="13" t="str">
        <f>TEXT(Table1[[#This Row],[Date]],"[$-en-US]ddd")</f>
        <v>Mon</v>
      </c>
    </row>
    <row r="2310" spans="1:11" x14ac:dyDescent="0.25">
      <c r="A2310">
        <v>10</v>
      </c>
      <c r="B2310" t="s">
        <v>9</v>
      </c>
      <c r="C2310">
        <v>25.96</v>
      </c>
      <c r="D2310" t="s">
        <v>22</v>
      </c>
      <c r="E2310" t="s">
        <v>11</v>
      </c>
      <c r="F2310" t="s">
        <v>36</v>
      </c>
      <c r="G2310">
        <v>1</v>
      </c>
      <c r="H2310">
        <v>11</v>
      </c>
      <c r="I2310" s="13">
        <v>45621</v>
      </c>
      <c r="J2310" s="13" t="str">
        <f>TEXT(Table1[[#This Row],[Date]],"[$-en-US]mmm yyyy")</f>
        <v>Nov 2024</v>
      </c>
      <c r="K2310" s="13" t="str">
        <f>TEXT(Table1[[#This Row],[Date]],"[$-en-US]ddd")</f>
        <v>Mon</v>
      </c>
    </row>
    <row r="2311" spans="1:11" x14ac:dyDescent="0.25">
      <c r="A2311">
        <v>12</v>
      </c>
      <c r="B2311" t="s">
        <v>9</v>
      </c>
      <c r="C2311">
        <v>35.76</v>
      </c>
      <c r="D2311" t="s">
        <v>10</v>
      </c>
      <c r="E2311" t="s">
        <v>15</v>
      </c>
      <c r="F2311" t="s">
        <v>36</v>
      </c>
      <c r="G2311">
        <v>1</v>
      </c>
      <c r="H2311">
        <v>11</v>
      </c>
      <c r="I2311" s="13">
        <v>45621</v>
      </c>
      <c r="J2311" s="13" t="str">
        <f>TEXT(Table1[[#This Row],[Date]],"[$-en-US]mmm yyyy")</f>
        <v>Nov 2024</v>
      </c>
      <c r="K2311" s="13" t="str">
        <f>TEXT(Table1[[#This Row],[Date]],"[$-en-US]ddd")</f>
        <v>Mon</v>
      </c>
    </row>
    <row r="2312" spans="1:11" x14ac:dyDescent="0.25">
      <c r="A2312">
        <v>12</v>
      </c>
      <c r="B2312" t="s">
        <v>9</v>
      </c>
      <c r="C2312">
        <v>35.76</v>
      </c>
      <c r="D2312" t="s">
        <v>10</v>
      </c>
      <c r="E2312" t="s">
        <v>15</v>
      </c>
      <c r="F2312" t="s">
        <v>36</v>
      </c>
      <c r="G2312">
        <v>1</v>
      </c>
      <c r="H2312">
        <v>11</v>
      </c>
      <c r="I2312" s="13">
        <v>45621</v>
      </c>
      <c r="J2312" s="13" t="str">
        <f>TEXT(Table1[[#This Row],[Date]],"[$-en-US]mmm yyyy")</f>
        <v>Nov 2024</v>
      </c>
      <c r="K2312" s="13" t="str">
        <f>TEXT(Table1[[#This Row],[Date]],"[$-en-US]ddd")</f>
        <v>Mon</v>
      </c>
    </row>
    <row r="2313" spans="1:11" x14ac:dyDescent="0.25">
      <c r="A2313">
        <v>16</v>
      </c>
      <c r="B2313" t="s">
        <v>9</v>
      </c>
      <c r="C2313">
        <v>35.76</v>
      </c>
      <c r="D2313" t="s">
        <v>14</v>
      </c>
      <c r="E2313" t="s">
        <v>15</v>
      </c>
      <c r="F2313" t="s">
        <v>36</v>
      </c>
      <c r="G2313">
        <v>1</v>
      </c>
      <c r="H2313">
        <v>11</v>
      </c>
      <c r="I2313" s="13">
        <v>45621</v>
      </c>
      <c r="J2313" s="13" t="str">
        <f>TEXT(Table1[[#This Row],[Date]],"[$-en-US]mmm yyyy")</f>
        <v>Nov 2024</v>
      </c>
      <c r="K2313" s="13" t="str">
        <f>TEXT(Table1[[#This Row],[Date]],"[$-en-US]ddd")</f>
        <v>Mon</v>
      </c>
    </row>
    <row r="2314" spans="1:11" x14ac:dyDescent="0.25">
      <c r="A2314">
        <v>19</v>
      </c>
      <c r="B2314" t="s">
        <v>9</v>
      </c>
      <c r="C2314">
        <v>30.86</v>
      </c>
      <c r="D2314" t="s">
        <v>17</v>
      </c>
      <c r="E2314" t="s">
        <v>18</v>
      </c>
      <c r="F2314" t="s">
        <v>36</v>
      </c>
      <c r="G2314">
        <v>1</v>
      </c>
      <c r="H2314">
        <v>11</v>
      </c>
      <c r="I2314" s="13">
        <v>45621</v>
      </c>
      <c r="J2314" s="13" t="str">
        <f>TEXT(Table1[[#This Row],[Date]],"[$-en-US]mmm yyyy")</f>
        <v>Nov 2024</v>
      </c>
      <c r="K2314" s="13" t="str">
        <f>TEXT(Table1[[#This Row],[Date]],"[$-en-US]ddd")</f>
        <v>Mon</v>
      </c>
    </row>
    <row r="2315" spans="1:11" x14ac:dyDescent="0.25">
      <c r="A2315">
        <v>19</v>
      </c>
      <c r="B2315" t="s">
        <v>9</v>
      </c>
      <c r="C2315">
        <v>35.76</v>
      </c>
      <c r="D2315" t="s">
        <v>14</v>
      </c>
      <c r="E2315" t="s">
        <v>18</v>
      </c>
      <c r="F2315" t="s">
        <v>36</v>
      </c>
      <c r="G2315">
        <v>1</v>
      </c>
      <c r="H2315">
        <v>11</v>
      </c>
      <c r="I2315" s="13">
        <v>45621</v>
      </c>
      <c r="J2315" s="13" t="str">
        <f>TEXT(Table1[[#This Row],[Date]],"[$-en-US]mmm yyyy")</f>
        <v>Nov 2024</v>
      </c>
      <c r="K2315" s="13" t="str">
        <f>TEXT(Table1[[#This Row],[Date]],"[$-en-US]ddd")</f>
        <v>Mon</v>
      </c>
    </row>
    <row r="2316" spans="1:11" x14ac:dyDescent="0.25">
      <c r="A2316">
        <v>21</v>
      </c>
      <c r="B2316" t="s">
        <v>9</v>
      </c>
      <c r="C2316">
        <v>35.76</v>
      </c>
      <c r="D2316" t="s">
        <v>14</v>
      </c>
      <c r="E2316" t="s">
        <v>18</v>
      </c>
      <c r="F2316" t="s">
        <v>36</v>
      </c>
      <c r="G2316">
        <v>1</v>
      </c>
      <c r="H2316">
        <v>11</v>
      </c>
      <c r="I2316" s="13">
        <v>45621</v>
      </c>
      <c r="J2316" s="13" t="str">
        <f>TEXT(Table1[[#This Row],[Date]],"[$-en-US]mmm yyyy")</f>
        <v>Nov 2024</v>
      </c>
      <c r="K2316" s="13" t="str">
        <f>TEXT(Table1[[#This Row],[Date]],"[$-en-US]ddd")</f>
        <v>Mon</v>
      </c>
    </row>
    <row r="2317" spans="1:11" x14ac:dyDescent="0.25">
      <c r="A2317">
        <v>21</v>
      </c>
      <c r="B2317" t="s">
        <v>9</v>
      </c>
      <c r="C2317">
        <v>35.76</v>
      </c>
      <c r="D2317" t="s">
        <v>27</v>
      </c>
      <c r="E2317" t="s">
        <v>18</v>
      </c>
      <c r="F2317" t="s">
        <v>36</v>
      </c>
      <c r="G2317">
        <v>1</v>
      </c>
      <c r="H2317">
        <v>11</v>
      </c>
      <c r="I2317" s="13">
        <v>45621</v>
      </c>
      <c r="J2317" s="13" t="str">
        <f>TEXT(Table1[[#This Row],[Date]],"[$-en-US]mmm yyyy")</f>
        <v>Nov 2024</v>
      </c>
      <c r="K2317" s="13" t="str">
        <f>TEXT(Table1[[#This Row],[Date]],"[$-en-US]ddd")</f>
        <v>Mon</v>
      </c>
    </row>
    <row r="2318" spans="1:11" x14ac:dyDescent="0.25">
      <c r="A2318">
        <v>7</v>
      </c>
      <c r="B2318" t="s">
        <v>9</v>
      </c>
      <c r="C2318">
        <v>35.76</v>
      </c>
      <c r="D2318" t="s">
        <v>10</v>
      </c>
      <c r="E2318" t="s">
        <v>11</v>
      </c>
      <c r="F2318" t="s">
        <v>36</v>
      </c>
      <c r="G2318">
        <v>2</v>
      </c>
      <c r="H2318">
        <v>11</v>
      </c>
      <c r="I2318" s="13">
        <v>45622</v>
      </c>
      <c r="J2318" s="13" t="str">
        <f>TEXT(Table1[[#This Row],[Date]],"[$-en-US]mmm yyyy")</f>
        <v>Nov 2024</v>
      </c>
      <c r="K2318" s="13" t="str">
        <f>TEXT(Table1[[#This Row],[Date]],"[$-en-US]ddd")</f>
        <v>Tue</v>
      </c>
    </row>
    <row r="2319" spans="1:11" x14ac:dyDescent="0.25">
      <c r="A2319">
        <v>11</v>
      </c>
      <c r="B2319" t="s">
        <v>9</v>
      </c>
      <c r="C2319">
        <v>35.76</v>
      </c>
      <c r="D2319" t="s">
        <v>19</v>
      </c>
      <c r="E2319" t="s">
        <v>11</v>
      </c>
      <c r="F2319" t="s">
        <v>36</v>
      </c>
      <c r="G2319">
        <v>2</v>
      </c>
      <c r="H2319">
        <v>11</v>
      </c>
      <c r="I2319" s="13">
        <v>45622</v>
      </c>
      <c r="J2319" s="13" t="str">
        <f>TEXT(Table1[[#This Row],[Date]],"[$-en-US]mmm yyyy")</f>
        <v>Nov 2024</v>
      </c>
      <c r="K2319" s="13" t="str">
        <f>TEXT(Table1[[#This Row],[Date]],"[$-en-US]ddd")</f>
        <v>Tue</v>
      </c>
    </row>
    <row r="2320" spans="1:11" x14ac:dyDescent="0.25">
      <c r="A2320">
        <v>11</v>
      </c>
      <c r="B2320" t="s">
        <v>9</v>
      </c>
      <c r="C2320">
        <v>25.96</v>
      </c>
      <c r="D2320" t="s">
        <v>16</v>
      </c>
      <c r="E2320" t="s">
        <v>11</v>
      </c>
      <c r="F2320" t="s">
        <v>36</v>
      </c>
      <c r="G2320">
        <v>2</v>
      </c>
      <c r="H2320">
        <v>11</v>
      </c>
      <c r="I2320" s="13">
        <v>45622</v>
      </c>
      <c r="J2320" s="13" t="str">
        <f>TEXT(Table1[[#This Row],[Date]],"[$-en-US]mmm yyyy")</f>
        <v>Nov 2024</v>
      </c>
      <c r="K2320" s="13" t="str">
        <f>TEXT(Table1[[#This Row],[Date]],"[$-en-US]ddd")</f>
        <v>Tue</v>
      </c>
    </row>
    <row r="2321" spans="1:11" x14ac:dyDescent="0.25">
      <c r="A2321">
        <v>11</v>
      </c>
      <c r="B2321" t="s">
        <v>9</v>
      </c>
      <c r="C2321">
        <v>35.76</v>
      </c>
      <c r="D2321" t="s">
        <v>19</v>
      </c>
      <c r="E2321" t="s">
        <v>11</v>
      </c>
      <c r="F2321" t="s">
        <v>36</v>
      </c>
      <c r="G2321">
        <v>2</v>
      </c>
      <c r="H2321">
        <v>11</v>
      </c>
      <c r="I2321" s="13">
        <v>45622</v>
      </c>
      <c r="J2321" s="13" t="str">
        <f>TEXT(Table1[[#This Row],[Date]],"[$-en-US]mmm yyyy")</f>
        <v>Nov 2024</v>
      </c>
      <c r="K2321" s="13" t="str">
        <f>TEXT(Table1[[#This Row],[Date]],"[$-en-US]ddd")</f>
        <v>Tue</v>
      </c>
    </row>
    <row r="2322" spans="1:11" x14ac:dyDescent="0.25">
      <c r="A2322">
        <v>11</v>
      </c>
      <c r="B2322" t="s">
        <v>9</v>
      </c>
      <c r="C2322">
        <v>35.76</v>
      </c>
      <c r="D2322" t="s">
        <v>19</v>
      </c>
      <c r="E2322" t="s">
        <v>11</v>
      </c>
      <c r="F2322" t="s">
        <v>36</v>
      </c>
      <c r="G2322">
        <v>2</v>
      </c>
      <c r="H2322">
        <v>11</v>
      </c>
      <c r="I2322" s="13">
        <v>45622</v>
      </c>
      <c r="J2322" s="13" t="str">
        <f>TEXT(Table1[[#This Row],[Date]],"[$-en-US]mmm yyyy")</f>
        <v>Nov 2024</v>
      </c>
      <c r="K2322" s="13" t="str">
        <f>TEXT(Table1[[#This Row],[Date]],"[$-en-US]ddd")</f>
        <v>Tue</v>
      </c>
    </row>
    <row r="2323" spans="1:11" x14ac:dyDescent="0.25">
      <c r="A2323">
        <v>16</v>
      </c>
      <c r="B2323" t="s">
        <v>9</v>
      </c>
      <c r="C2323">
        <v>35.76</v>
      </c>
      <c r="D2323" t="s">
        <v>10</v>
      </c>
      <c r="E2323" t="s">
        <v>15</v>
      </c>
      <c r="F2323" t="s">
        <v>36</v>
      </c>
      <c r="G2323">
        <v>2</v>
      </c>
      <c r="H2323">
        <v>11</v>
      </c>
      <c r="I2323" s="13">
        <v>45622</v>
      </c>
      <c r="J2323" s="13" t="str">
        <f>TEXT(Table1[[#This Row],[Date]],"[$-en-US]mmm yyyy")</f>
        <v>Nov 2024</v>
      </c>
      <c r="K2323" s="13" t="str">
        <f>TEXT(Table1[[#This Row],[Date]],"[$-en-US]ddd")</f>
        <v>Tue</v>
      </c>
    </row>
    <row r="2324" spans="1:11" x14ac:dyDescent="0.25">
      <c r="A2324">
        <v>16</v>
      </c>
      <c r="B2324" t="s">
        <v>9</v>
      </c>
      <c r="C2324">
        <v>35.76</v>
      </c>
      <c r="D2324" t="s">
        <v>10</v>
      </c>
      <c r="E2324" t="s">
        <v>15</v>
      </c>
      <c r="F2324" t="s">
        <v>36</v>
      </c>
      <c r="G2324">
        <v>2</v>
      </c>
      <c r="H2324">
        <v>11</v>
      </c>
      <c r="I2324" s="13">
        <v>45622</v>
      </c>
      <c r="J2324" s="13" t="str">
        <f>TEXT(Table1[[#This Row],[Date]],"[$-en-US]mmm yyyy")</f>
        <v>Nov 2024</v>
      </c>
      <c r="K2324" s="13" t="str">
        <f>TEXT(Table1[[#This Row],[Date]],"[$-en-US]ddd")</f>
        <v>Tue</v>
      </c>
    </row>
    <row r="2325" spans="1:11" x14ac:dyDescent="0.25">
      <c r="A2325">
        <v>17</v>
      </c>
      <c r="B2325" t="s">
        <v>9</v>
      </c>
      <c r="C2325">
        <v>25.96</v>
      </c>
      <c r="D2325" t="s">
        <v>16</v>
      </c>
      <c r="E2325" t="s">
        <v>18</v>
      </c>
      <c r="F2325" t="s">
        <v>36</v>
      </c>
      <c r="G2325">
        <v>2</v>
      </c>
      <c r="H2325">
        <v>11</v>
      </c>
      <c r="I2325" s="13">
        <v>45622</v>
      </c>
      <c r="J2325" s="13" t="str">
        <f>TEXT(Table1[[#This Row],[Date]],"[$-en-US]mmm yyyy")</f>
        <v>Nov 2024</v>
      </c>
      <c r="K2325" s="13" t="str">
        <f>TEXT(Table1[[#This Row],[Date]],"[$-en-US]ddd")</f>
        <v>Tue</v>
      </c>
    </row>
    <row r="2326" spans="1:11" x14ac:dyDescent="0.25">
      <c r="A2326">
        <v>17</v>
      </c>
      <c r="B2326" t="s">
        <v>9</v>
      </c>
      <c r="C2326">
        <v>30.86</v>
      </c>
      <c r="D2326" t="s">
        <v>17</v>
      </c>
      <c r="E2326" t="s">
        <v>18</v>
      </c>
      <c r="F2326" t="s">
        <v>36</v>
      </c>
      <c r="G2326">
        <v>2</v>
      </c>
      <c r="H2326">
        <v>11</v>
      </c>
      <c r="I2326" s="13">
        <v>45622</v>
      </c>
      <c r="J2326" s="13" t="str">
        <f>TEXT(Table1[[#This Row],[Date]],"[$-en-US]mmm yyyy")</f>
        <v>Nov 2024</v>
      </c>
      <c r="K2326" s="13" t="str">
        <f>TEXT(Table1[[#This Row],[Date]],"[$-en-US]ddd")</f>
        <v>Tue</v>
      </c>
    </row>
    <row r="2327" spans="1:11" x14ac:dyDescent="0.25">
      <c r="A2327">
        <v>19</v>
      </c>
      <c r="B2327" t="s">
        <v>9</v>
      </c>
      <c r="C2327">
        <v>35.76</v>
      </c>
      <c r="D2327" t="s">
        <v>19</v>
      </c>
      <c r="E2327" t="s">
        <v>18</v>
      </c>
      <c r="F2327" t="s">
        <v>36</v>
      </c>
      <c r="G2327">
        <v>2</v>
      </c>
      <c r="H2327">
        <v>11</v>
      </c>
      <c r="I2327" s="13">
        <v>45622</v>
      </c>
      <c r="J2327" s="13" t="str">
        <f>TEXT(Table1[[#This Row],[Date]],"[$-en-US]mmm yyyy")</f>
        <v>Nov 2024</v>
      </c>
      <c r="K2327" s="13" t="str">
        <f>TEXT(Table1[[#This Row],[Date]],"[$-en-US]ddd")</f>
        <v>Tue</v>
      </c>
    </row>
    <row r="2328" spans="1:11" x14ac:dyDescent="0.25">
      <c r="A2328">
        <v>8</v>
      </c>
      <c r="B2328" t="s">
        <v>9</v>
      </c>
      <c r="C2328">
        <v>35.76</v>
      </c>
      <c r="D2328" t="s">
        <v>27</v>
      </c>
      <c r="E2328" t="s">
        <v>11</v>
      </c>
      <c r="F2328" t="s">
        <v>36</v>
      </c>
      <c r="G2328">
        <v>4</v>
      </c>
      <c r="H2328">
        <v>11</v>
      </c>
      <c r="I2328" s="13">
        <v>45624</v>
      </c>
      <c r="J2328" s="13" t="str">
        <f>TEXT(Table1[[#This Row],[Date]],"[$-en-US]mmm yyyy")</f>
        <v>Nov 2024</v>
      </c>
      <c r="K2328" s="13" t="str">
        <f>TEXT(Table1[[#This Row],[Date]],"[$-en-US]ddd")</f>
        <v>Thu</v>
      </c>
    </row>
    <row r="2329" spans="1:11" x14ac:dyDescent="0.25">
      <c r="A2329">
        <v>9</v>
      </c>
      <c r="B2329" t="s">
        <v>9</v>
      </c>
      <c r="C2329">
        <v>30.86</v>
      </c>
      <c r="D2329" t="s">
        <v>17</v>
      </c>
      <c r="E2329" t="s">
        <v>11</v>
      </c>
      <c r="F2329" t="s">
        <v>36</v>
      </c>
      <c r="G2329">
        <v>4</v>
      </c>
      <c r="H2329">
        <v>11</v>
      </c>
      <c r="I2329" s="13">
        <v>45624</v>
      </c>
      <c r="J2329" s="13" t="str">
        <f>TEXT(Table1[[#This Row],[Date]],"[$-en-US]mmm yyyy")</f>
        <v>Nov 2024</v>
      </c>
      <c r="K2329" s="13" t="str">
        <f>TEXT(Table1[[#This Row],[Date]],"[$-en-US]ddd")</f>
        <v>Thu</v>
      </c>
    </row>
    <row r="2330" spans="1:11" x14ac:dyDescent="0.25">
      <c r="A2330">
        <v>20</v>
      </c>
      <c r="B2330" t="s">
        <v>9</v>
      </c>
      <c r="C2330">
        <v>30.86</v>
      </c>
      <c r="D2330" t="s">
        <v>17</v>
      </c>
      <c r="E2330" t="s">
        <v>18</v>
      </c>
      <c r="F2330" t="s">
        <v>36</v>
      </c>
      <c r="G2330">
        <v>4</v>
      </c>
      <c r="H2330">
        <v>11</v>
      </c>
      <c r="I2330" s="13">
        <v>45624</v>
      </c>
      <c r="J2330" s="13" t="str">
        <f>TEXT(Table1[[#This Row],[Date]],"[$-en-US]mmm yyyy")</f>
        <v>Nov 2024</v>
      </c>
      <c r="K2330" s="13" t="str">
        <f>TEXT(Table1[[#This Row],[Date]],"[$-en-US]ddd")</f>
        <v>Thu</v>
      </c>
    </row>
    <row r="2331" spans="1:11" x14ac:dyDescent="0.25">
      <c r="A2331">
        <v>20</v>
      </c>
      <c r="B2331" t="s">
        <v>9</v>
      </c>
      <c r="C2331">
        <v>35.76</v>
      </c>
      <c r="D2331" t="s">
        <v>10</v>
      </c>
      <c r="E2331" t="s">
        <v>18</v>
      </c>
      <c r="F2331" t="s">
        <v>36</v>
      </c>
      <c r="G2331">
        <v>4</v>
      </c>
      <c r="H2331">
        <v>11</v>
      </c>
      <c r="I2331" s="13">
        <v>45624</v>
      </c>
      <c r="J2331" s="13" t="str">
        <f>TEXT(Table1[[#This Row],[Date]],"[$-en-US]mmm yyyy")</f>
        <v>Nov 2024</v>
      </c>
      <c r="K2331" s="13" t="str">
        <f>TEXT(Table1[[#This Row],[Date]],"[$-en-US]ddd")</f>
        <v>Thu</v>
      </c>
    </row>
    <row r="2332" spans="1:11" x14ac:dyDescent="0.25">
      <c r="A2332">
        <v>20</v>
      </c>
      <c r="B2332" t="s">
        <v>9</v>
      </c>
      <c r="C2332">
        <v>35.76</v>
      </c>
      <c r="D2332" t="s">
        <v>10</v>
      </c>
      <c r="E2332" t="s">
        <v>18</v>
      </c>
      <c r="F2332" t="s">
        <v>36</v>
      </c>
      <c r="G2332">
        <v>4</v>
      </c>
      <c r="H2332">
        <v>11</v>
      </c>
      <c r="I2332" s="13">
        <v>45624</v>
      </c>
      <c r="J2332" s="13" t="str">
        <f>TEXT(Table1[[#This Row],[Date]],"[$-en-US]mmm yyyy")</f>
        <v>Nov 2024</v>
      </c>
      <c r="K2332" s="13" t="str">
        <f>TEXT(Table1[[#This Row],[Date]],"[$-en-US]ddd")</f>
        <v>Thu</v>
      </c>
    </row>
    <row r="2333" spans="1:11" x14ac:dyDescent="0.25">
      <c r="A2333">
        <v>22</v>
      </c>
      <c r="B2333" t="s">
        <v>9</v>
      </c>
      <c r="C2333">
        <v>35.76</v>
      </c>
      <c r="D2333" t="s">
        <v>27</v>
      </c>
      <c r="E2333" t="s">
        <v>18</v>
      </c>
      <c r="F2333" t="s">
        <v>36</v>
      </c>
      <c r="G2333">
        <v>4</v>
      </c>
      <c r="H2333">
        <v>11</v>
      </c>
      <c r="I2333" s="13">
        <v>45624</v>
      </c>
      <c r="J2333" s="13" t="str">
        <f>TEXT(Table1[[#This Row],[Date]],"[$-en-US]mmm yyyy")</f>
        <v>Nov 2024</v>
      </c>
      <c r="K2333" s="13" t="str">
        <f>TEXT(Table1[[#This Row],[Date]],"[$-en-US]ddd")</f>
        <v>Thu</v>
      </c>
    </row>
    <row r="2334" spans="1:11" x14ac:dyDescent="0.25">
      <c r="A2334">
        <v>7</v>
      </c>
      <c r="B2334" t="s">
        <v>9</v>
      </c>
      <c r="C2334">
        <v>35.76</v>
      </c>
      <c r="D2334" t="s">
        <v>19</v>
      </c>
      <c r="E2334" t="s">
        <v>11</v>
      </c>
      <c r="F2334" t="s">
        <v>36</v>
      </c>
      <c r="G2334">
        <v>5</v>
      </c>
      <c r="H2334">
        <v>11</v>
      </c>
      <c r="I2334" s="13">
        <v>45625</v>
      </c>
      <c r="J2334" s="13" t="str">
        <f>TEXT(Table1[[#This Row],[Date]],"[$-en-US]mmm yyyy")</f>
        <v>Nov 2024</v>
      </c>
      <c r="K2334" s="13" t="str">
        <f>TEXT(Table1[[#This Row],[Date]],"[$-en-US]ddd")</f>
        <v>Fri</v>
      </c>
    </row>
    <row r="2335" spans="1:11" x14ac:dyDescent="0.25">
      <c r="A2335">
        <v>7</v>
      </c>
      <c r="B2335" t="s">
        <v>9</v>
      </c>
      <c r="C2335">
        <v>35.76</v>
      </c>
      <c r="D2335" t="s">
        <v>10</v>
      </c>
      <c r="E2335" t="s">
        <v>11</v>
      </c>
      <c r="F2335" t="s">
        <v>36</v>
      </c>
      <c r="G2335">
        <v>5</v>
      </c>
      <c r="H2335">
        <v>11</v>
      </c>
      <c r="I2335" s="13">
        <v>45625</v>
      </c>
      <c r="J2335" s="13" t="str">
        <f>TEXT(Table1[[#This Row],[Date]],"[$-en-US]mmm yyyy")</f>
        <v>Nov 2024</v>
      </c>
      <c r="K2335" s="13" t="str">
        <f>TEXT(Table1[[#This Row],[Date]],"[$-en-US]ddd")</f>
        <v>Fri</v>
      </c>
    </row>
    <row r="2336" spans="1:11" x14ac:dyDescent="0.25">
      <c r="A2336">
        <v>9</v>
      </c>
      <c r="B2336" t="s">
        <v>9</v>
      </c>
      <c r="C2336">
        <v>30.86</v>
      </c>
      <c r="D2336" t="s">
        <v>17</v>
      </c>
      <c r="E2336" t="s">
        <v>11</v>
      </c>
      <c r="F2336" t="s">
        <v>36</v>
      </c>
      <c r="G2336">
        <v>5</v>
      </c>
      <c r="H2336">
        <v>11</v>
      </c>
      <c r="I2336" s="13">
        <v>45625</v>
      </c>
      <c r="J2336" s="13" t="str">
        <f>TEXT(Table1[[#This Row],[Date]],"[$-en-US]mmm yyyy")</f>
        <v>Nov 2024</v>
      </c>
      <c r="K2336" s="13" t="str">
        <f>TEXT(Table1[[#This Row],[Date]],"[$-en-US]ddd")</f>
        <v>Fri</v>
      </c>
    </row>
    <row r="2337" spans="1:11" x14ac:dyDescent="0.25">
      <c r="A2337">
        <v>9</v>
      </c>
      <c r="B2337" t="s">
        <v>9</v>
      </c>
      <c r="C2337">
        <v>30.86</v>
      </c>
      <c r="D2337" t="s">
        <v>17</v>
      </c>
      <c r="E2337" t="s">
        <v>11</v>
      </c>
      <c r="F2337" t="s">
        <v>36</v>
      </c>
      <c r="G2337">
        <v>5</v>
      </c>
      <c r="H2337">
        <v>11</v>
      </c>
      <c r="I2337" s="13">
        <v>45625</v>
      </c>
      <c r="J2337" s="13" t="str">
        <f>TEXT(Table1[[#This Row],[Date]],"[$-en-US]mmm yyyy")</f>
        <v>Nov 2024</v>
      </c>
      <c r="K2337" s="13" t="str">
        <f>TEXT(Table1[[#This Row],[Date]],"[$-en-US]ddd")</f>
        <v>Fri</v>
      </c>
    </row>
    <row r="2338" spans="1:11" x14ac:dyDescent="0.25">
      <c r="A2338">
        <v>15</v>
      </c>
      <c r="B2338" t="s">
        <v>9</v>
      </c>
      <c r="C2338">
        <v>30.86</v>
      </c>
      <c r="D2338" t="s">
        <v>17</v>
      </c>
      <c r="E2338" t="s">
        <v>15</v>
      </c>
      <c r="F2338" t="s">
        <v>36</v>
      </c>
      <c r="G2338">
        <v>5</v>
      </c>
      <c r="H2338">
        <v>11</v>
      </c>
      <c r="I2338" s="13">
        <v>45625</v>
      </c>
      <c r="J2338" s="13" t="str">
        <f>TEXT(Table1[[#This Row],[Date]],"[$-en-US]mmm yyyy")</f>
        <v>Nov 2024</v>
      </c>
      <c r="K2338" s="13" t="str">
        <f>TEXT(Table1[[#This Row],[Date]],"[$-en-US]ddd")</f>
        <v>Fri</v>
      </c>
    </row>
    <row r="2339" spans="1:11" x14ac:dyDescent="0.25">
      <c r="A2339">
        <v>15</v>
      </c>
      <c r="B2339" t="s">
        <v>9</v>
      </c>
      <c r="C2339">
        <v>35.76</v>
      </c>
      <c r="D2339" t="s">
        <v>10</v>
      </c>
      <c r="E2339" t="s">
        <v>15</v>
      </c>
      <c r="F2339" t="s">
        <v>36</v>
      </c>
      <c r="G2339">
        <v>5</v>
      </c>
      <c r="H2339">
        <v>11</v>
      </c>
      <c r="I2339" s="13">
        <v>45625</v>
      </c>
      <c r="J2339" s="13" t="str">
        <f>TEXT(Table1[[#This Row],[Date]],"[$-en-US]mmm yyyy")</f>
        <v>Nov 2024</v>
      </c>
      <c r="K2339" s="13" t="str">
        <f>TEXT(Table1[[#This Row],[Date]],"[$-en-US]ddd")</f>
        <v>Fri</v>
      </c>
    </row>
    <row r="2340" spans="1:11" x14ac:dyDescent="0.25">
      <c r="A2340">
        <v>20</v>
      </c>
      <c r="B2340" t="s">
        <v>9</v>
      </c>
      <c r="C2340">
        <v>35.76</v>
      </c>
      <c r="D2340" t="s">
        <v>19</v>
      </c>
      <c r="E2340" t="s">
        <v>18</v>
      </c>
      <c r="F2340" t="s">
        <v>36</v>
      </c>
      <c r="G2340">
        <v>5</v>
      </c>
      <c r="H2340">
        <v>11</v>
      </c>
      <c r="I2340" s="13">
        <v>45625</v>
      </c>
      <c r="J2340" s="13" t="str">
        <f>TEXT(Table1[[#This Row],[Date]],"[$-en-US]mmm yyyy")</f>
        <v>Nov 2024</v>
      </c>
      <c r="K2340" s="13" t="str">
        <f>TEXT(Table1[[#This Row],[Date]],"[$-en-US]ddd")</f>
        <v>Fri</v>
      </c>
    </row>
    <row r="2341" spans="1:11" x14ac:dyDescent="0.25">
      <c r="A2341">
        <v>12</v>
      </c>
      <c r="B2341" t="s">
        <v>9</v>
      </c>
      <c r="C2341">
        <v>35.76</v>
      </c>
      <c r="D2341" t="s">
        <v>19</v>
      </c>
      <c r="E2341" t="s">
        <v>15</v>
      </c>
      <c r="F2341" t="s">
        <v>36</v>
      </c>
      <c r="G2341">
        <v>6</v>
      </c>
      <c r="H2341">
        <v>11</v>
      </c>
      <c r="I2341" s="13">
        <v>45626</v>
      </c>
      <c r="J2341" s="13" t="str">
        <f>TEXT(Table1[[#This Row],[Date]],"[$-en-US]mmm yyyy")</f>
        <v>Nov 2024</v>
      </c>
      <c r="K2341" s="13" t="str">
        <f>TEXT(Table1[[#This Row],[Date]],"[$-en-US]ddd")</f>
        <v>Sat</v>
      </c>
    </row>
    <row r="2342" spans="1:11" x14ac:dyDescent="0.25">
      <c r="A2342">
        <v>14</v>
      </c>
      <c r="B2342" t="s">
        <v>9</v>
      </c>
      <c r="C2342">
        <v>25.96</v>
      </c>
      <c r="D2342" t="s">
        <v>16</v>
      </c>
      <c r="E2342" t="s">
        <v>15</v>
      </c>
      <c r="F2342" t="s">
        <v>36</v>
      </c>
      <c r="G2342">
        <v>6</v>
      </c>
      <c r="H2342">
        <v>11</v>
      </c>
      <c r="I2342" s="13">
        <v>45626</v>
      </c>
      <c r="J2342" s="13" t="str">
        <f>TEXT(Table1[[#This Row],[Date]],"[$-en-US]mmm yyyy")</f>
        <v>Nov 2024</v>
      </c>
      <c r="K2342" s="13" t="str">
        <f>TEXT(Table1[[#This Row],[Date]],"[$-en-US]ddd")</f>
        <v>Sat</v>
      </c>
    </row>
    <row r="2343" spans="1:11" x14ac:dyDescent="0.25">
      <c r="A2343">
        <v>14</v>
      </c>
      <c r="B2343" t="s">
        <v>9</v>
      </c>
      <c r="C2343">
        <v>35.76</v>
      </c>
      <c r="D2343" t="s">
        <v>14</v>
      </c>
      <c r="E2343" t="s">
        <v>15</v>
      </c>
      <c r="F2343" t="s">
        <v>36</v>
      </c>
      <c r="G2343">
        <v>6</v>
      </c>
      <c r="H2343">
        <v>11</v>
      </c>
      <c r="I2343" s="13">
        <v>45626</v>
      </c>
      <c r="J2343" s="13" t="str">
        <f>TEXT(Table1[[#This Row],[Date]],"[$-en-US]mmm yyyy")</f>
        <v>Nov 2024</v>
      </c>
      <c r="K2343" s="13" t="str">
        <f>TEXT(Table1[[#This Row],[Date]],"[$-en-US]ddd")</f>
        <v>Sat</v>
      </c>
    </row>
    <row r="2344" spans="1:11" x14ac:dyDescent="0.25">
      <c r="A2344">
        <v>14</v>
      </c>
      <c r="B2344" t="s">
        <v>9</v>
      </c>
      <c r="C2344">
        <v>35.76</v>
      </c>
      <c r="D2344" t="s">
        <v>19</v>
      </c>
      <c r="E2344" t="s">
        <v>15</v>
      </c>
      <c r="F2344" t="s">
        <v>36</v>
      </c>
      <c r="G2344">
        <v>6</v>
      </c>
      <c r="H2344">
        <v>11</v>
      </c>
      <c r="I2344" s="13">
        <v>45626</v>
      </c>
      <c r="J2344" s="13" t="str">
        <f>TEXT(Table1[[#This Row],[Date]],"[$-en-US]mmm yyyy")</f>
        <v>Nov 2024</v>
      </c>
      <c r="K2344" s="13" t="str">
        <f>TEXT(Table1[[#This Row],[Date]],"[$-en-US]ddd")</f>
        <v>Sat</v>
      </c>
    </row>
    <row r="2345" spans="1:11" x14ac:dyDescent="0.25">
      <c r="A2345">
        <v>15</v>
      </c>
      <c r="B2345" t="s">
        <v>9</v>
      </c>
      <c r="C2345">
        <v>30.86</v>
      </c>
      <c r="D2345" t="s">
        <v>17</v>
      </c>
      <c r="E2345" t="s">
        <v>15</v>
      </c>
      <c r="F2345" t="s">
        <v>36</v>
      </c>
      <c r="G2345">
        <v>6</v>
      </c>
      <c r="H2345">
        <v>11</v>
      </c>
      <c r="I2345" s="13">
        <v>45626</v>
      </c>
      <c r="J2345" s="13" t="str">
        <f>TEXT(Table1[[#This Row],[Date]],"[$-en-US]mmm yyyy")</f>
        <v>Nov 2024</v>
      </c>
      <c r="K2345" s="13" t="str">
        <f>TEXT(Table1[[#This Row],[Date]],"[$-en-US]ddd")</f>
        <v>Sat</v>
      </c>
    </row>
    <row r="2346" spans="1:11" x14ac:dyDescent="0.25">
      <c r="A2346">
        <v>22</v>
      </c>
      <c r="B2346" t="s">
        <v>9</v>
      </c>
      <c r="C2346">
        <v>30.86</v>
      </c>
      <c r="D2346" t="s">
        <v>17</v>
      </c>
      <c r="E2346" t="s">
        <v>18</v>
      </c>
      <c r="F2346" t="s">
        <v>36</v>
      </c>
      <c r="G2346">
        <v>6</v>
      </c>
      <c r="H2346">
        <v>11</v>
      </c>
      <c r="I2346" s="13">
        <v>45626</v>
      </c>
      <c r="J2346" s="13" t="str">
        <f>TEXT(Table1[[#This Row],[Date]],"[$-en-US]mmm yyyy")</f>
        <v>Nov 2024</v>
      </c>
      <c r="K2346" s="13" t="str">
        <f>TEXT(Table1[[#This Row],[Date]],"[$-en-US]ddd")</f>
        <v>Sat</v>
      </c>
    </row>
    <row r="2347" spans="1:11" x14ac:dyDescent="0.25">
      <c r="A2347">
        <v>10</v>
      </c>
      <c r="B2347" t="s">
        <v>9</v>
      </c>
      <c r="C2347">
        <v>30.86</v>
      </c>
      <c r="D2347" t="s">
        <v>17</v>
      </c>
      <c r="E2347" t="s">
        <v>11</v>
      </c>
      <c r="F2347" t="s">
        <v>37</v>
      </c>
      <c r="G2347">
        <v>7</v>
      </c>
      <c r="H2347">
        <v>12</v>
      </c>
      <c r="I2347" s="13">
        <v>45627</v>
      </c>
      <c r="J2347" s="13" t="str">
        <f>TEXT(Table1[[#This Row],[Date]],"[$-en-US]mmm yyyy")</f>
        <v>Dec 2024</v>
      </c>
      <c r="K2347" s="13" t="str">
        <f>TEXT(Table1[[#This Row],[Date]],"[$-en-US]ddd")</f>
        <v>Sun</v>
      </c>
    </row>
    <row r="2348" spans="1:11" x14ac:dyDescent="0.25">
      <c r="A2348">
        <v>10</v>
      </c>
      <c r="B2348" t="s">
        <v>9</v>
      </c>
      <c r="C2348">
        <v>30.86</v>
      </c>
      <c r="D2348" t="s">
        <v>17</v>
      </c>
      <c r="E2348" t="s">
        <v>11</v>
      </c>
      <c r="F2348" t="s">
        <v>37</v>
      </c>
      <c r="G2348">
        <v>7</v>
      </c>
      <c r="H2348">
        <v>12</v>
      </c>
      <c r="I2348" s="13">
        <v>45627</v>
      </c>
      <c r="J2348" s="13" t="str">
        <f>TEXT(Table1[[#This Row],[Date]],"[$-en-US]mmm yyyy")</f>
        <v>Dec 2024</v>
      </c>
      <c r="K2348" s="13" t="str">
        <f>TEXT(Table1[[#This Row],[Date]],"[$-en-US]ddd")</f>
        <v>Sun</v>
      </c>
    </row>
    <row r="2349" spans="1:11" x14ac:dyDescent="0.25">
      <c r="A2349">
        <v>10</v>
      </c>
      <c r="B2349" t="s">
        <v>9</v>
      </c>
      <c r="C2349">
        <v>30.86</v>
      </c>
      <c r="D2349" t="s">
        <v>17</v>
      </c>
      <c r="E2349" t="s">
        <v>11</v>
      </c>
      <c r="F2349" t="s">
        <v>37</v>
      </c>
      <c r="G2349">
        <v>7</v>
      </c>
      <c r="H2349">
        <v>12</v>
      </c>
      <c r="I2349" s="13">
        <v>45627</v>
      </c>
      <c r="J2349" s="13" t="str">
        <f>TEXT(Table1[[#This Row],[Date]],"[$-en-US]mmm yyyy")</f>
        <v>Dec 2024</v>
      </c>
      <c r="K2349" s="13" t="str">
        <f>TEXT(Table1[[#This Row],[Date]],"[$-en-US]ddd")</f>
        <v>Sun</v>
      </c>
    </row>
    <row r="2350" spans="1:11" x14ac:dyDescent="0.25">
      <c r="A2350">
        <v>14</v>
      </c>
      <c r="B2350" t="s">
        <v>9</v>
      </c>
      <c r="C2350">
        <v>30.86</v>
      </c>
      <c r="D2350" t="s">
        <v>17</v>
      </c>
      <c r="E2350" t="s">
        <v>15</v>
      </c>
      <c r="F2350" t="s">
        <v>37</v>
      </c>
      <c r="G2350">
        <v>7</v>
      </c>
      <c r="H2350">
        <v>12</v>
      </c>
      <c r="I2350" s="13">
        <v>45627</v>
      </c>
      <c r="J2350" s="13" t="str">
        <f>TEXT(Table1[[#This Row],[Date]],"[$-en-US]mmm yyyy")</f>
        <v>Dec 2024</v>
      </c>
      <c r="K2350" s="13" t="str">
        <f>TEXT(Table1[[#This Row],[Date]],"[$-en-US]ddd")</f>
        <v>Sun</v>
      </c>
    </row>
    <row r="2351" spans="1:11" x14ac:dyDescent="0.25">
      <c r="A2351">
        <v>15</v>
      </c>
      <c r="B2351" t="s">
        <v>9</v>
      </c>
      <c r="C2351">
        <v>35.76</v>
      </c>
      <c r="D2351" t="s">
        <v>19</v>
      </c>
      <c r="E2351" t="s">
        <v>15</v>
      </c>
      <c r="F2351" t="s">
        <v>37</v>
      </c>
      <c r="G2351">
        <v>7</v>
      </c>
      <c r="H2351">
        <v>12</v>
      </c>
      <c r="I2351" s="13">
        <v>45627</v>
      </c>
      <c r="J2351" s="13" t="str">
        <f>TEXT(Table1[[#This Row],[Date]],"[$-en-US]mmm yyyy")</f>
        <v>Dec 2024</v>
      </c>
      <c r="K2351" s="13" t="str">
        <f>TEXT(Table1[[#This Row],[Date]],"[$-en-US]ddd")</f>
        <v>Sun</v>
      </c>
    </row>
    <row r="2352" spans="1:11" x14ac:dyDescent="0.25">
      <c r="A2352">
        <v>15</v>
      </c>
      <c r="B2352" t="s">
        <v>9</v>
      </c>
      <c r="C2352">
        <v>35.76</v>
      </c>
      <c r="D2352" t="s">
        <v>19</v>
      </c>
      <c r="E2352" t="s">
        <v>15</v>
      </c>
      <c r="F2352" t="s">
        <v>37</v>
      </c>
      <c r="G2352">
        <v>7</v>
      </c>
      <c r="H2352">
        <v>12</v>
      </c>
      <c r="I2352" s="13">
        <v>45627</v>
      </c>
      <c r="J2352" s="13" t="str">
        <f>TEXT(Table1[[#This Row],[Date]],"[$-en-US]mmm yyyy")</f>
        <v>Dec 2024</v>
      </c>
      <c r="K2352" s="13" t="str">
        <f>TEXT(Table1[[#This Row],[Date]],"[$-en-US]ddd")</f>
        <v>Sun</v>
      </c>
    </row>
    <row r="2353" spans="1:11" x14ac:dyDescent="0.25">
      <c r="A2353">
        <v>15</v>
      </c>
      <c r="B2353" t="s">
        <v>9</v>
      </c>
      <c r="C2353">
        <v>35.76</v>
      </c>
      <c r="D2353" t="s">
        <v>27</v>
      </c>
      <c r="E2353" t="s">
        <v>15</v>
      </c>
      <c r="F2353" t="s">
        <v>37</v>
      </c>
      <c r="G2353">
        <v>7</v>
      </c>
      <c r="H2353">
        <v>12</v>
      </c>
      <c r="I2353" s="13">
        <v>45627</v>
      </c>
      <c r="J2353" s="13" t="str">
        <f>TEXT(Table1[[#This Row],[Date]],"[$-en-US]mmm yyyy")</f>
        <v>Dec 2024</v>
      </c>
      <c r="K2353" s="13" t="str">
        <f>TEXT(Table1[[#This Row],[Date]],"[$-en-US]ddd")</f>
        <v>Sun</v>
      </c>
    </row>
    <row r="2354" spans="1:11" x14ac:dyDescent="0.25">
      <c r="A2354">
        <v>15</v>
      </c>
      <c r="B2354" t="s">
        <v>9</v>
      </c>
      <c r="C2354">
        <v>35.76</v>
      </c>
      <c r="D2354" t="s">
        <v>10</v>
      </c>
      <c r="E2354" t="s">
        <v>15</v>
      </c>
      <c r="F2354" t="s">
        <v>37</v>
      </c>
      <c r="G2354">
        <v>7</v>
      </c>
      <c r="H2354">
        <v>12</v>
      </c>
      <c r="I2354" s="13">
        <v>45627</v>
      </c>
      <c r="J2354" s="13" t="str">
        <f>TEXT(Table1[[#This Row],[Date]],"[$-en-US]mmm yyyy")</f>
        <v>Dec 2024</v>
      </c>
      <c r="K2354" s="13" t="str">
        <f>TEXT(Table1[[#This Row],[Date]],"[$-en-US]ddd")</f>
        <v>Sun</v>
      </c>
    </row>
    <row r="2355" spans="1:11" x14ac:dyDescent="0.25">
      <c r="A2355">
        <v>15</v>
      </c>
      <c r="B2355" t="s">
        <v>9</v>
      </c>
      <c r="C2355">
        <v>35.76</v>
      </c>
      <c r="D2355" t="s">
        <v>10</v>
      </c>
      <c r="E2355" t="s">
        <v>15</v>
      </c>
      <c r="F2355" t="s">
        <v>37</v>
      </c>
      <c r="G2355">
        <v>7</v>
      </c>
      <c r="H2355">
        <v>12</v>
      </c>
      <c r="I2355" s="13">
        <v>45627</v>
      </c>
      <c r="J2355" s="13" t="str">
        <f>TEXT(Table1[[#This Row],[Date]],"[$-en-US]mmm yyyy")</f>
        <v>Dec 2024</v>
      </c>
      <c r="K2355" s="13" t="str">
        <f>TEXT(Table1[[#This Row],[Date]],"[$-en-US]ddd")</f>
        <v>Sun</v>
      </c>
    </row>
    <row r="2356" spans="1:11" x14ac:dyDescent="0.25">
      <c r="A2356">
        <v>16</v>
      </c>
      <c r="B2356" t="s">
        <v>9</v>
      </c>
      <c r="C2356">
        <v>35.76</v>
      </c>
      <c r="D2356" t="s">
        <v>10</v>
      </c>
      <c r="E2356" t="s">
        <v>15</v>
      </c>
      <c r="F2356" t="s">
        <v>37</v>
      </c>
      <c r="G2356">
        <v>7</v>
      </c>
      <c r="H2356">
        <v>12</v>
      </c>
      <c r="I2356" s="13">
        <v>45627</v>
      </c>
      <c r="J2356" s="13" t="str">
        <f>TEXT(Table1[[#This Row],[Date]],"[$-en-US]mmm yyyy")</f>
        <v>Dec 2024</v>
      </c>
      <c r="K2356" s="13" t="str">
        <f>TEXT(Table1[[#This Row],[Date]],"[$-en-US]ddd")</f>
        <v>Sun</v>
      </c>
    </row>
    <row r="2357" spans="1:11" x14ac:dyDescent="0.25">
      <c r="A2357">
        <v>16</v>
      </c>
      <c r="B2357" t="s">
        <v>9</v>
      </c>
      <c r="C2357">
        <v>35.76</v>
      </c>
      <c r="D2357" t="s">
        <v>10</v>
      </c>
      <c r="E2357" t="s">
        <v>15</v>
      </c>
      <c r="F2357" t="s">
        <v>37</v>
      </c>
      <c r="G2357">
        <v>7</v>
      </c>
      <c r="H2357">
        <v>12</v>
      </c>
      <c r="I2357" s="13">
        <v>45627</v>
      </c>
      <c r="J2357" s="13" t="str">
        <f>TEXT(Table1[[#This Row],[Date]],"[$-en-US]mmm yyyy")</f>
        <v>Dec 2024</v>
      </c>
      <c r="K2357" s="13" t="str">
        <f>TEXT(Table1[[#This Row],[Date]],"[$-en-US]ddd")</f>
        <v>Sun</v>
      </c>
    </row>
    <row r="2358" spans="1:11" x14ac:dyDescent="0.25">
      <c r="A2358">
        <v>17</v>
      </c>
      <c r="B2358" t="s">
        <v>9</v>
      </c>
      <c r="C2358">
        <v>30.86</v>
      </c>
      <c r="D2358" t="s">
        <v>17</v>
      </c>
      <c r="E2358" t="s">
        <v>18</v>
      </c>
      <c r="F2358" t="s">
        <v>37</v>
      </c>
      <c r="G2358">
        <v>7</v>
      </c>
      <c r="H2358">
        <v>12</v>
      </c>
      <c r="I2358" s="13">
        <v>45627</v>
      </c>
      <c r="J2358" s="13" t="str">
        <f>TEXT(Table1[[#This Row],[Date]],"[$-en-US]mmm yyyy")</f>
        <v>Dec 2024</v>
      </c>
      <c r="K2358" s="13" t="str">
        <f>TEXT(Table1[[#This Row],[Date]],"[$-en-US]ddd")</f>
        <v>Sun</v>
      </c>
    </row>
    <row r="2359" spans="1:11" x14ac:dyDescent="0.25">
      <c r="A2359">
        <v>17</v>
      </c>
      <c r="B2359" t="s">
        <v>9</v>
      </c>
      <c r="C2359">
        <v>30.86</v>
      </c>
      <c r="D2359" t="s">
        <v>17</v>
      </c>
      <c r="E2359" t="s">
        <v>18</v>
      </c>
      <c r="F2359" t="s">
        <v>37</v>
      </c>
      <c r="G2359">
        <v>7</v>
      </c>
      <c r="H2359">
        <v>12</v>
      </c>
      <c r="I2359" s="13">
        <v>45627</v>
      </c>
      <c r="J2359" s="13" t="str">
        <f>TEXT(Table1[[#This Row],[Date]],"[$-en-US]mmm yyyy")</f>
        <v>Dec 2024</v>
      </c>
      <c r="K2359" s="13" t="str">
        <f>TEXT(Table1[[#This Row],[Date]],"[$-en-US]ddd")</f>
        <v>Sun</v>
      </c>
    </row>
    <row r="2360" spans="1:11" x14ac:dyDescent="0.25">
      <c r="A2360">
        <v>18</v>
      </c>
      <c r="B2360" t="s">
        <v>9</v>
      </c>
      <c r="C2360">
        <v>30.86</v>
      </c>
      <c r="D2360" t="s">
        <v>17</v>
      </c>
      <c r="E2360" t="s">
        <v>18</v>
      </c>
      <c r="F2360" t="s">
        <v>37</v>
      </c>
      <c r="G2360">
        <v>7</v>
      </c>
      <c r="H2360">
        <v>12</v>
      </c>
      <c r="I2360" s="13">
        <v>45627</v>
      </c>
      <c r="J2360" s="13" t="str">
        <f>TEXT(Table1[[#This Row],[Date]],"[$-en-US]mmm yyyy")</f>
        <v>Dec 2024</v>
      </c>
      <c r="K2360" s="13" t="str">
        <f>TEXT(Table1[[#This Row],[Date]],"[$-en-US]ddd")</f>
        <v>Sun</v>
      </c>
    </row>
    <row r="2361" spans="1:11" x14ac:dyDescent="0.25">
      <c r="A2361">
        <v>7</v>
      </c>
      <c r="B2361" t="s">
        <v>9</v>
      </c>
      <c r="C2361">
        <v>35.76</v>
      </c>
      <c r="D2361" t="s">
        <v>10</v>
      </c>
      <c r="E2361" t="s">
        <v>11</v>
      </c>
      <c r="F2361" t="s">
        <v>37</v>
      </c>
      <c r="G2361">
        <v>1</v>
      </c>
      <c r="H2361">
        <v>12</v>
      </c>
      <c r="I2361" s="13">
        <v>45628</v>
      </c>
      <c r="J2361" s="13" t="str">
        <f>TEXT(Table1[[#This Row],[Date]],"[$-en-US]mmm yyyy")</f>
        <v>Dec 2024</v>
      </c>
      <c r="K2361" s="13" t="str">
        <f>TEXT(Table1[[#This Row],[Date]],"[$-en-US]ddd")</f>
        <v>Mon</v>
      </c>
    </row>
    <row r="2362" spans="1:11" x14ac:dyDescent="0.25">
      <c r="A2362">
        <v>7</v>
      </c>
      <c r="B2362" t="s">
        <v>9</v>
      </c>
      <c r="C2362">
        <v>25.96</v>
      </c>
      <c r="D2362" t="s">
        <v>16</v>
      </c>
      <c r="E2362" t="s">
        <v>11</v>
      </c>
      <c r="F2362" t="s">
        <v>37</v>
      </c>
      <c r="G2362">
        <v>1</v>
      </c>
      <c r="H2362">
        <v>12</v>
      </c>
      <c r="I2362" s="13">
        <v>45628</v>
      </c>
      <c r="J2362" s="13" t="str">
        <f>TEXT(Table1[[#This Row],[Date]],"[$-en-US]mmm yyyy")</f>
        <v>Dec 2024</v>
      </c>
      <c r="K2362" s="13" t="str">
        <f>TEXT(Table1[[#This Row],[Date]],"[$-en-US]ddd")</f>
        <v>Mon</v>
      </c>
    </row>
    <row r="2363" spans="1:11" x14ac:dyDescent="0.25">
      <c r="A2363">
        <v>8</v>
      </c>
      <c r="B2363" t="s">
        <v>9</v>
      </c>
      <c r="C2363">
        <v>30.86</v>
      </c>
      <c r="D2363" t="s">
        <v>17</v>
      </c>
      <c r="E2363" t="s">
        <v>11</v>
      </c>
      <c r="F2363" t="s">
        <v>37</v>
      </c>
      <c r="G2363">
        <v>1</v>
      </c>
      <c r="H2363">
        <v>12</v>
      </c>
      <c r="I2363" s="13">
        <v>45628</v>
      </c>
      <c r="J2363" s="13" t="str">
        <f>TEXT(Table1[[#This Row],[Date]],"[$-en-US]mmm yyyy")</f>
        <v>Dec 2024</v>
      </c>
      <c r="K2363" s="13" t="str">
        <f>TEXT(Table1[[#This Row],[Date]],"[$-en-US]ddd")</f>
        <v>Mon</v>
      </c>
    </row>
    <row r="2364" spans="1:11" x14ac:dyDescent="0.25">
      <c r="A2364">
        <v>8</v>
      </c>
      <c r="B2364" t="s">
        <v>9</v>
      </c>
      <c r="C2364">
        <v>35.76</v>
      </c>
      <c r="D2364" t="s">
        <v>19</v>
      </c>
      <c r="E2364" t="s">
        <v>11</v>
      </c>
      <c r="F2364" t="s">
        <v>37</v>
      </c>
      <c r="G2364">
        <v>1</v>
      </c>
      <c r="H2364">
        <v>12</v>
      </c>
      <c r="I2364" s="13">
        <v>45628</v>
      </c>
      <c r="J2364" s="13" t="str">
        <f>TEXT(Table1[[#This Row],[Date]],"[$-en-US]mmm yyyy")</f>
        <v>Dec 2024</v>
      </c>
      <c r="K2364" s="13" t="str">
        <f>TEXT(Table1[[#This Row],[Date]],"[$-en-US]ddd")</f>
        <v>Mon</v>
      </c>
    </row>
    <row r="2365" spans="1:11" x14ac:dyDescent="0.25">
      <c r="A2365">
        <v>11</v>
      </c>
      <c r="B2365" t="s">
        <v>9</v>
      </c>
      <c r="C2365">
        <v>25.96</v>
      </c>
      <c r="D2365" t="s">
        <v>22</v>
      </c>
      <c r="E2365" t="s">
        <v>11</v>
      </c>
      <c r="F2365" t="s">
        <v>37</v>
      </c>
      <c r="G2365">
        <v>1</v>
      </c>
      <c r="H2365">
        <v>12</v>
      </c>
      <c r="I2365" s="13">
        <v>45628</v>
      </c>
      <c r="J2365" s="13" t="str">
        <f>TEXT(Table1[[#This Row],[Date]],"[$-en-US]mmm yyyy")</f>
        <v>Dec 2024</v>
      </c>
      <c r="K2365" s="13" t="str">
        <f>TEXT(Table1[[#This Row],[Date]],"[$-en-US]ddd")</f>
        <v>Mon</v>
      </c>
    </row>
    <row r="2366" spans="1:11" x14ac:dyDescent="0.25">
      <c r="A2366">
        <v>15</v>
      </c>
      <c r="B2366" t="s">
        <v>9</v>
      </c>
      <c r="C2366">
        <v>21.06</v>
      </c>
      <c r="D2366" t="s">
        <v>24</v>
      </c>
      <c r="E2366" t="s">
        <v>15</v>
      </c>
      <c r="F2366" t="s">
        <v>37</v>
      </c>
      <c r="G2366">
        <v>1</v>
      </c>
      <c r="H2366">
        <v>12</v>
      </c>
      <c r="I2366" s="13">
        <v>45628</v>
      </c>
      <c r="J2366" s="13" t="str">
        <f>TEXT(Table1[[#This Row],[Date]],"[$-en-US]mmm yyyy")</f>
        <v>Dec 2024</v>
      </c>
      <c r="K2366" s="13" t="str">
        <f>TEXT(Table1[[#This Row],[Date]],"[$-en-US]ddd")</f>
        <v>Mon</v>
      </c>
    </row>
    <row r="2367" spans="1:11" x14ac:dyDescent="0.25">
      <c r="A2367">
        <v>16</v>
      </c>
      <c r="B2367" t="s">
        <v>9</v>
      </c>
      <c r="C2367">
        <v>35.76</v>
      </c>
      <c r="D2367" t="s">
        <v>27</v>
      </c>
      <c r="E2367" t="s">
        <v>15</v>
      </c>
      <c r="F2367" t="s">
        <v>37</v>
      </c>
      <c r="G2367">
        <v>1</v>
      </c>
      <c r="H2367">
        <v>12</v>
      </c>
      <c r="I2367" s="13">
        <v>45628</v>
      </c>
      <c r="J2367" s="13" t="str">
        <f>TEXT(Table1[[#This Row],[Date]],"[$-en-US]mmm yyyy")</f>
        <v>Dec 2024</v>
      </c>
      <c r="K2367" s="13" t="str">
        <f>TEXT(Table1[[#This Row],[Date]],"[$-en-US]ddd")</f>
        <v>Mon</v>
      </c>
    </row>
    <row r="2368" spans="1:11" x14ac:dyDescent="0.25">
      <c r="A2368">
        <v>17</v>
      </c>
      <c r="B2368" t="s">
        <v>9</v>
      </c>
      <c r="C2368">
        <v>25.96</v>
      </c>
      <c r="D2368" t="s">
        <v>16</v>
      </c>
      <c r="E2368" t="s">
        <v>18</v>
      </c>
      <c r="F2368" t="s">
        <v>37</v>
      </c>
      <c r="G2368">
        <v>1</v>
      </c>
      <c r="H2368">
        <v>12</v>
      </c>
      <c r="I2368" s="13">
        <v>45628</v>
      </c>
      <c r="J2368" s="13" t="str">
        <f>TEXT(Table1[[#This Row],[Date]],"[$-en-US]mmm yyyy")</f>
        <v>Dec 2024</v>
      </c>
      <c r="K2368" s="13" t="str">
        <f>TEXT(Table1[[#This Row],[Date]],"[$-en-US]ddd")</f>
        <v>Mon</v>
      </c>
    </row>
    <row r="2369" spans="1:11" x14ac:dyDescent="0.25">
      <c r="A2369">
        <v>18</v>
      </c>
      <c r="B2369" t="s">
        <v>9</v>
      </c>
      <c r="C2369">
        <v>35.76</v>
      </c>
      <c r="D2369" t="s">
        <v>27</v>
      </c>
      <c r="E2369" t="s">
        <v>18</v>
      </c>
      <c r="F2369" t="s">
        <v>37</v>
      </c>
      <c r="G2369">
        <v>1</v>
      </c>
      <c r="H2369">
        <v>12</v>
      </c>
      <c r="I2369" s="13">
        <v>45628</v>
      </c>
      <c r="J2369" s="13" t="str">
        <f>TEXT(Table1[[#This Row],[Date]],"[$-en-US]mmm yyyy")</f>
        <v>Dec 2024</v>
      </c>
      <c r="K2369" s="13" t="str">
        <f>TEXT(Table1[[#This Row],[Date]],"[$-en-US]ddd")</f>
        <v>Mon</v>
      </c>
    </row>
    <row r="2370" spans="1:11" x14ac:dyDescent="0.25">
      <c r="A2370">
        <v>8</v>
      </c>
      <c r="B2370" t="s">
        <v>9</v>
      </c>
      <c r="C2370">
        <v>35.76</v>
      </c>
      <c r="D2370" t="s">
        <v>10</v>
      </c>
      <c r="E2370" t="s">
        <v>11</v>
      </c>
      <c r="F2370" t="s">
        <v>37</v>
      </c>
      <c r="G2370">
        <v>2</v>
      </c>
      <c r="H2370">
        <v>12</v>
      </c>
      <c r="I2370" s="13">
        <v>45629</v>
      </c>
      <c r="J2370" s="13" t="str">
        <f>TEXT(Table1[[#This Row],[Date]],"[$-en-US]mmm yyyy")</f>
        <v>Dec 2024</v>
      </c>
      <c r="K2370" s="13" t="str">
        <f>TEXT(Table1[[#This Row],[Date]],"[$-en-US]ddd")</f>
        <v>Tue</v>
      </c>
    </row>
    <row r="2371" spans="1:11" x14ac:dyDescent="0.25">
      <c r="A2371">
        <v>9</v>
      </c>
      <c r="B2371" t="s">
        <v>9</v>
      </c>
      <c r="C2371">
        <v>30.86</v>
      </c>
      <c r="D2371" t="s">
        <v>17</v>
      </c>
      <c r="E2371" t="s">
        <v>11</v>
      </c>
      <c r="F2371" t="s">
        <v>37</v>
      </c>
      <c r="G2371">
        <v>2</v>
      </c>
      <c r="H2371">
        <v>12</v>
      </c>
      <c r="I2371" s="13">
        <v>45629</v>
      </c>
      <c r="J2371" s="13" t="str">
        <f>TEXT(Table1[[#This Row],[Date]],"[$-en-US]mmm yyyy")</f>
        <v>Dec 2024</v>
      </c>
      <c r="K2371" s="13" t="str">
        <f>TEXT(Table1[[#This Row],[Date]],"[$-en-US]ddd")</f>
        <v>Tue</v>
      </c>
    </row>
    <row r="2372" spans="1:11" x14ac:dyDescent="0.25">
      <c r="A2372">
        <v>9</v>
      </c>
      <c r="B2372" t="s">
        <v>9</v>
      </c>
      <c r="C2372">
        <v>30.86</v>
      </c>
      <c r="D2372" t="s">
        <v>17</v>
      </c>
      <c r="E2372" t="s">
        <v>11</v>
      </c>
      <c r="F2372" t="s">
        <v>37</v>
      </c>
      <c r="G2372">
        <v>2</v>
      </c>
      <c r="H2372">
        <v>12</v>
      </c>
      <c r="I2372" s="13">
        <v>45629</v>
      </c>
      <c r="J2372" s="13" t="str">
        <f>TEXT(Table1[[#This Row],[Date]],"[$-en-US]mmm yyyy")</f>
        <v>Dec 2024</v>
      </c>
      <c r="K2372" s="13" t="str">
        <f>TEXT(Table1[[#This Row],[Date]],"[$-en-US]ddd")</f>
        <v>Tue</v>
      </c>
    </row>
    <row r="2373" spans="1:11" x14ac:dyDescent="0.25">
      <c r="A2373">
        <v>11</v>
      </c>
      <c r="B2373" t="s">
        <v>9</v>
      </c>
      <c r="C2373">
        <v>25.96</v>
      </c>
      <c r="D2373" t="s">
        <v>16</v>
      </c>
      <c r="E2373" t="s">
        <v>11</v>
      </c>
      <c r="F2373" t="s">
        <v>37</v>
      </c>
      <c r="G2373">
        <v>2</v>
      </c>
      <c r="H2373">
        <v>12</v>
      </c>
      <c r="I2373" s="13">
        <v>45629</v>
      </c>
      <c r="J2373" s="13" t="str">
        <f>TEXT(Table1[[#This Row],[Date]],"[$-en-US]mmm yyyy")</f>
        <v>Dec 2024</v>
      </c>
      <c r="K2373" s="13" t="str">
        <f>TEXT(Table1[[#This Row],[Date]],"[$-en-US]ddd")</f>
        <v>Tue</v>
      </c>
    </row>
    <row r="2374" spans="1:11" x14ac:dyDescent="0.25">
      <c r="A2374">
        <v>11</v>
      </c>
      <c r="B2374" t="s">
        <v>9</v>
      </c>
      <c r="C2374">
        <v>30.86</v>
      </c>
      <c r="D2374" t="s">
        <v>17</v>
      </c>
      <c r="E2374" t="s">
        <v>11</v>
      </c>
      <c r="F2374" t="s">
        <v>37</v>
      </c>
      <c r="G2374">
        <v>2</v>
      </c>
      <c r="H2374">
        <v>12</v>
      </c>
      <c r="I2374" s="13">
        <v>45629</v>
      </c>
      <c r="J2374" s="13" t="str">
        <f>TEXT(Table1[[#This Row],[Date]],"[$-en-US]mmm yyyy")</f>
        <v>Dec 2024</v>
      </c>
      <c r="K2374" s="13" t="str">
        <f>TEXT(Table1[[#This Row],[Date]],"[$-en-US]ddd")</f>
        <v>Tue</v>
      </c>
    </row>
    <row r="2375" spans="1:11" x14ac:dyDescent="0.25">
      <c r="A2375">
        <v>11</v>
      </c>
      <c r="B2375" t="s">
        <v>9</v>
      </c>
      <c r="C2375">
        <v>30.86</v>
      </c>
      <c r="D2375" t="s">
        <v>17</v>
      </c>
      <c r="E2375" t="s">
        <v>11</v>
      </c>
      <c r="F2375" t="s">
        <v>37</v>
      </c>
      <c r="G2375">
        <v>2</v>
      </c>
      <c r="H2375">
        <v>12</v>
      </c>
      <c r="I2375" s="13">
        <v>45629</v>
      </c>
      <c r="J2375" s="13" t="str">
        <f>TEXT(Table1[[#This Row],[Date]],"[$-en-US]mmm yyyy")</f>
        <v>Dec 2024</v>
      </c>
      <c r="K2375" s="13" t="str">
        <f>TEXT(Table1[[#This Row],[Date]],"[$-en-US]ddd")</f>
        <v>Tue</v>
      </c>
    </row>
    <row r="2376" spans="1:11" x14ac:dyDescent="0.25">
      <c r="A2376">
        <v>11</v>
      </c>
      <c r="B2376" t="s">
        <v>9</v>
      </c>
      <c r="C2376">
        <v>30.86</v>
      </c>
      <c r="D2376" t="s">
        <v>17</v>
      </c>
      <c r="E2376" t="s">
        <v>11</v>
      </c>
      <c r="F2376" t="s">
        <v>37</v>
      </c>
      <c r="G2376">
        <v>2</v>
      </c>
      <c r="H2376">
        <v>12</v>
      </c>
      <c r="I2376" s="13">
        <v>45629</v>
      </c>
      <c r="J2376" s="13" t="str">
        <f>TEXT(Table1[[#This Row],[Date]],"[$-en-US]mmm yyyy")</f>
        <v>Dec 2024</v>
      </c>
      <c r="K2376" s="13" t="str">
        <f>TEXT(Table1[[#This Row],[Date]],"[$-en-US]ddd")</f>
        <v>Tue</v>
      </c>
    </row>
    <row r="2377" spans="1:11" x14ac:dyDescent="0.25">
      <c r="A2377">
        <v>20</v>
      </c>
      <c r="B2377" t="s">
        <v>9</v>
      </c>
      <c r="C2377">
        <v>35.76</v>
      </c>
      <c r="D2377" t="s">
        <v>19</v>
      </c>
      <c r="E2377" t="s">
        <v>18</v>
      </c>
      <c r="F2377" t="s">
        <v>37</v>
      </c>
      <c r="G2377">
        <v>2</v>
      </c>
      <c r="H2377">
        <v>12</v>
      </c>
      <c r="I2377" s="13">
        <v>45629</v>
      </c>
      <c r="J2377" s="13" t="str">
        <f>TEXT(Table1[[#This Row],[Date]],"[$-en-US]mmm yyyy")</f>
        <v>Dec 2024</v>
      </c>
      <c r="K2377" s="13" t="str">
        <f>TEXT(Table1[[#This Row],[Date]],"[$-en-US]ddd")</f>
        <v>Tue</v>
      </c>
    </row>
    <row r="2378" spans="1:11" x14ac:dyDescent="0.25">
      <c r="A2378">
        <v>21</v>
      </c>
      <c r="B2378" t="s">
        <v>9</v>
      </c>
      <c r="C2378">
        <v>35.76</v>
      </c>
      <c r="D2378" t="s">
        <v>10</v>
      </c>
      <c r="E2378" t="s">
        <v>18</v>
      </c>
      <c r="F2378" t="s">
        <v>37</v>
      </c>
      <c r="G2378">
        <v>2</v>
      </c>
      <c r="H2378">
        <v>12</v>
      </c>
      <c r="I2378" s="13">
        <v>45629</v>
      </c>
      <c r="J2378" s="13" t="str">
        <f>TEXT(Table1[[#This Row],[Date]],"[$-en-US]mmm yyyy")</f>
        <v>Dec 2024</v>
      </c>
      <c r="K2378" s="13" t="str">
        <f>TEXT(Table1[[#This Row],[Date]],"[$-en-US]ddd")</f>
        <v>Tue</v>
      </c>
    </row>
    <row r="2379" spans="1:11" x14ac:dyDescent="0.25">
      <c r="A2379">
        <v>21</v>
      </c>
      <c r="B2379" t="s">
        <v>9</v>
      </c>
      <c r="C2379">
        <v>35.76</v>
      </c>
      <c r="D2379" t="s">
        <v>27</v>
      </c>
      <c r="E2379" t="s">
        <v>18</v>
      </c>
      <c r="F2379" t="s">
        <v>37</v>
      </c>
      <c r="G2379">
        <v>2</v>
      </c>
      <c r="H2379">
        <v>12</v>
      </c>
      <c r="I2379" s="13">
        <v>45629</v>
      </c>
      <c r="J2379" s="13" t="str">
        <f>TEXT(Table1[[#This Row],[Date]],"[$-en-US]mmm yyyy")</f>
        <v>Dec 2024</v>
      </c>
      <c r="K2379" s="13" t="str">
        <f>TEXT(Table1[[#This Row],[Date]],"[$-en-US]ddd")</f>
        <v>Tue</v>
      </c>
    </row>
    <row r="2380" spans="1:11" x14ac:dyDescent="0.25">
      <c r="A2380">
        <v>21</v>
      </c>
      <c r="B2380" t="s">
        <v>9</v>
      </c>
      <c r="C2380">
        <v>35.76</v>
      </c>
      <c r="D2380" t="s">
        <v>14</v>
      </c>
      <c r="E2380" t="s">
        <v>18</v>
      </c>
      <c r="F2380" t="s">
        <v>37</v>
      </c>
      <c r="G2380">
        <v>2</v>
      </c>
      <c r="H2380">
        <v>12</v>
      </c>
      <c r="I2380" s="13">
        <v>45629</v>
      </c>
      <c r="J2380" s="13" t="str">
        <f>TEXT(Table1[[#This Row],[Date]],"[$-en-US]mmm yyyy")</f>
        <v>Dec 2024</v>
      </c>
      <c r="K2380" s="13" t="str">
        <f>TEXT(Table1[[#This Row],[Date]],"[$-en-US]ddd")</f>
        <v>Tue</v>
      </c>
    </row>
    <row r="2381" spans="1:11" x14ac:dyDescent="0.25">
      <c r="A2381">
        <v>22</v>
      </c>
      <c r="B2381" t="s">
        <v>9</v>
      </c>
      <c r="C2381">
        <v>30.86</v>
      </c>
      <c r="D2381" t="s">
        <v>17</v>
      </c>
      <c r="E2381" t="s">
        <v>18</v>
      </c>
      <c r="F2381" t="s">
        <v>37</v>
      </c>
      <c r="G2381">
        <v>2</v>
      </c>
      <c r="H2381">
        <v>12</v>
      </c>
      <c r="I2381" s="13">
        <v>45629</v>
      </c>
      <c r="J2381" s="13" t="str">
        <f>TEXT(Table1[[#This Row],[Date]],"[$-en-US]mmm yyyy")</f>
        <v>Dec 2024</v>
      </c>
      <c r="K2381" s="13" t="str">
        <f>TEXT(Table1[[#This Row],[Date]],"[$-en-US]ddd")</f>
        <v>Tue</v>
      </c>
    </row>
    <row r="2382" spans="1:11" x14ac:dyDescent="0.25">
      <c r="A2382">
        <v>22</v>
      </c>
      <c r="B2382" t="s">
        <v>9</v>
      </c>
      <c r="C2382">
        <v>35.76</v>
      </c>
      <c r="D2382" t="s">
        <v>27</v>
      </c>
      <c r="E2382" t="s">
        <v>18</v>
      </c>
      <c r="F2382" t="s">
        <v>37</v>
      </c>
      <c r="G2382">
        <v>2</v>
      </c>
      <c r="H2382">
        <v>12</v>
      </c>
      <c r="I2382" s="13">
        <v>45629</v>
      </c>
      <c r="J2382" s="13" t="str">
        <f>TEXT(Table1[[#This Row],[Date]],"[$-en-US]mmm yyyy")</f>
        <v>Dec 2024</v>
      </c>
      <c r="K2382" s="13" t="str">
        <f>TEXT(Table1[[#This Row],[Date]],"[$-en-US]ddd")</f>
        <v>Tue</v>
      </c>
    </row>
    <row r="2383" spans="1:11" x14ac:dyDescent="0.25">
      <c r="A2383">
        <v>8</v>
      </c>
      <c r="B2383" t="s">
        <v>9</v>
      </c>
      <c r="C2383">
        <v>25.96</v>
      </c>
      <c r="D2383" t="s">
        <v>22</v>
      </c>
      <c r="E2383" t="s">
        <v>11</v>
      </c>
      <c r="F2383" t="s">
        <v>37</v>
      </c>
      <c r="G2383">
        <v>3</v>
      </c>
      <c r="H2383">
        <v>12</v>
      </c>
      <c r="I2383" s="13">
        <v>45630</v>
      </c>
      <c r="J2383" s="13" t="str">
        <f>TEXT(Table1[[#This Row],[Date]],"[$-en-US]mmm yyyy")</f>
        <v>Dec 2024</v>
      </c>
      <c r="K2383" s="13" t="str">
        <f>TEXT(Table1[[#This Row],[Date]],"[$-en-US]ddd")</f>
        <v>Wed</v>
      </c>
    </row>
    <row r="2384" spans="1:11" x14ac:dyDescent="0.25">
      <c r="A2384">
        <v>8</v>
      </c>
      <c r="B2384" t="s">
        <v>9</v>
      </c>
      <c r="C2384">
        <v>35.76</v>
      </c>
      <c r="D2384" t="s">
        <v>10</v>
      </c>
      <c r="E2384" t="s">
        <v>11</v>
      </c>
      <c r="F2384" t="s">
        <v>37</v>
      </c>
      <c r="G2384">
        <v>3</v>
      </c>
      <c r="H2384">
        <v>12</v>
      </c>
      <c r="I2384" s="13">
        <v>45630</v>
      </c>
      <c r="J2384" s="13" t="str">
        <f>TEXT(Table1[[#This Row],[Date]],"[$-en-US]mmm yyyy")</f>
        <v>Dec 2024</v>
      </c>
      <c r="K2384" s="13" t="str">
        <f>TEXT(Table1[[#This Row],[Date]],"[$-en-US]ddd")</f>
        <v>Wed</v>
      </c>
    </row>
    <row r="2385" spans="1:11" x14ac:dyDescent="0.25">
      <c r="A2385">
        <v>8</v>
      </c>
      <c r="B2385" t="s">
        <v>9</v>
      </c>
      <c r="C2385">
        <v>35.76</v>
      </c>
      <c r="D2385" t="s">
        <v>10</v>
      </c>
      <c r="E2385" t="s">
        <v>11</v>
      </c>
      <c r="F2385" t="s">
        <v>37</v>
      </c>
      <c r="G2385">
        <v>3</v>
      </c>
      <c r="H2385">
        <v>12</v>
      </c>
      <c r="I2385" s="13">
        <v>45630</v>
      </c>
      <c r="J2385" s="13" t="str">
        <f>TEXT(Table1[[#This Row],[Date]],"[$-en-US]mmm yyyy")</f>
        <v>Dec 2024</v>
      </c>
      <c r="K2385" s="13" t="str">
        <f>TEXT(Table1[[#This Row],[Date]],"[$-en-US]ddd")</f>
        <v>Wed</v>
      </c>
    </row>
    <row r="2386" spans="1:11" x14ac:dyDescent="0.25">
      <c r="A2386">
        <v>9</v>
      </c>
      <c r="B2386" t="s">
        <v>9</v>
      </c>
      <c r="C2386">
        <v>25.96</v>
      </c>
      <c r="D2386" t="s">
        <v>16</v>
      </c>
      <c r="E2386" t="s">
        <v>11</v>
      </c>
      <c r="F2386" t="s">
        <v>37</v>
      </c>
      <c r="G2386">
        <v>3</v>
      </c>
      <c r="H2386">
        <v>12</v>
      </c>
      <c r="I2386" s="13">
        <v>45630</v>
      </c>
      <c r="J2386" s="13" t="str">
        <f>TEXT(Table1[[#This Row],[Date]],"[$-en-US]mmm yyyy")</f>
        <v>Dec 2024</v>
      </c>
      <c r="K2386" s="13" t="str">
        <f>TEXT(Table1[[#This Row],[Date]],"[$-en-US]ddd")</f>
        <v>Wed</v>
      </c>
    </row>
    <row r="2387" spans="1:11" x14ac:dyDescent="0.25">
      <c r="A2387">
        <v>10</v>
      </c>
      <c r="B2387" t="s">
        <v>9</v>
      </c>
      <c r="C2387">
        <v>30.86</v>
      </c>
      <c r="D2387" t="s">
        <v>17</v>
      </c>
      <c r="E2387" t="s">
        <v>11</v>
      </c>
      <c r="F2387" t="s">
        <v>37</v>
      </c>
      <c r="G2387">
        <v>3</v>
      </c>
      <c r="H2387">
        <v>12</v>
      </c>
      <c r="I2387" s="13">
        <v>45630</v>
      </c>
      <c r="J2387" s="13" t="str">
        <f>TEXT(Table1[[#This Row],[Date]],"[$-en-US]mmm yyyy")</f>
        <v>Dec 2024</v>
      </c>
      <c r="K2387" s="13" t="str">
        <f>TEXT(Table1[[#This Row],[Date]],"[$-en-US]ddd")</f>
        <v>Wed</v>
      </c>
    </row>
    <row r="2388" spans="1:11" x14ac:dyDescent="0.25">
      <c r="A2388">
        <v>10</v>
      </c>
      <c r="B2388" t="s">
        <v>9</v>
      </c>
      <c r="C2388">
        <v>30.86</v>
      </c>
      <c r="D2388" t="s">
        <v>17</v>
      </c>
      <c r="E2388" t="s">
        <v>11</v>
      </c>
      <c r="F2388" t="s">
        <v>37</v>
      </c>
      <c r="G2388">
        <v>3</v>
      </c>
      <c r="H2388">
        <v>12</v>
      </c>
      <c r="I2388" s="13">
        <v>45630</v>
      </c>
      <c r="J2388" s="13" t="str">
        <f>TEXT(Table1[[#This Row],[Date]],"[$-en-US]mmm yyyy")</f>
        <v>Dec 2024</v>
      </c>
      <c r="K2388" s="13" t="str">
        <f>TEXT(Table1[[#This Row],[Date]],"[$-en-US]ddd")</f>
        <v>Wed</v>
      </c>
    </row>
    <row r="2389" spans="1:11" x14ac:dyDescent="0.25">
      <c r="A2389">
        <v>10</v>
      </c>
      <c r="B2389" t="s">
        <v>9</v>
      </c>
      <c r="C2389">
        <v>30.86</v>
      </c>
      <c r="D2389" t="s">
        <v>17</v>
      </c>
      <c r="E2389" t="s">
        <v>11</v>
      </c>
      <c r="F2389" t="s">
        <v>37</v>
      </c>
      <c r="G2389">
        <v>3</v>
      </c>
      <c r="H2389">
        <v>12</v>
      </c>
      <c r="I2389" s="13">
        <v>45630</v>
      </c>
      <c r="J2389" s="13" t="str">
        <f>TEXT(Table1[[#This Row],[Date]],"[$-en-US]mmm yyyy")</f>
        <v>Dec 2024</v>
      </c>
      <c r="K2389" s="13" t="str">
        <f>TEXT(Table1[[#This Row],[Date]],"[$-en-US]ddd")</f>
        <v>Wed</v>
      </c>
    </row>
    <row r="2390" spans="1:11" x14ac:dyDescent="0.25">
      <c r="A2390">
        <v>10</v>
      </c>
      <c r="B2390" t="s">
        <v>9</v>
      </c>
      <c r="C2390">
        <v>35.76</v>
      </c>
      <c r="D2390" t="s">
        <v>14</v>
      </c>
      <c r="E2390" t="s">
        <v>11</v>
      </c>
      <c r="F2390" t="s">
        <v>37</v>
      </c>
      <c r="G2390">
        <v>3</v>
      </c>
      <c r="H2390">
        <v>12</v>
      </c>
      <c r="I2390" s="13">
        <v>45630</v>
      </c>
      <c r="J2390" s="13" t="str">
        <f>TEXT(Table1[[#This Row],[Date]],"[$-en-US]mmm yyyy")</f>
        <v>Dec 2024</v>
      </c>
      <c r="K2390" s="13" t="str">
        <f>TEXT(Table1[[#This Row],[Date]],"[$-en-US]ddd")</f>
        <v>Wed</v>
      </c>
    </row>
    <row r="2391" spans="1:11" x14ac:dyDescent="0.25">
      <c r="A2391">
        <v>11</v>
      </c>
      <c r="B2391" t="s">
        <v>9</v>
      </c>
      <c r="C2391">
        <v>30.86</v>
      </c>
      <c r="D2391" t="s">
        <v>17</v>
      </c>
      <c r="E2391" t="s">
        <v>11</v>
      </c>
      <c r="F2391" t="s">
        <v>37</v>
      </c>
      <c r="G2391">
        <v>3</v>
      </c>
      <c r="H2391">
        <v>12</v>
      </c>
      <c r="I2391" s="13">
        <v>45630</v>
      </c>
      <c r="J2391" s="13" t="str">
        <f>TEXT(Table1[[#This Row],[Date]],"[$-en-US]mmm yyyy")</f>
        <v>Dec 2024</v>
      </c>
      <c r="K2391" s="13" t="str">
        <f>TEXT(Table1[[#This Row],[Date]],"[$-en-US]ddd")</f>
        <v>Wed</v>
      </c>
    </row>
    <row r="2392" spans="1:11" x14ac:dyDescent="0.25">
      <c r="A2392">
        <v>14</v>
      </c>
      <c r="B2392" t="s">
        <v>9</v>
      </c>
      <c r="C2392">
        <v>35.76</v>
      </c>
      <c r="D2392" t="s">
        <v>14</v>
      </c>
      <c r="E2392" t="s">
        <v>15</v>
      </c>
      <c r="F2392" t="s">
        <v>37</v>
      </c>
      <c r="G2392">
        <v>3</v>
      </c>
      <c r="H2392">
        <v>12</v>
      </c>
      <c r="I2392" s="13">
        <v>45630</v>
      </c>
      <c r="J2392" s="13" t="str">
        <f>TEXT(Table1[[#This Row],[Date]],"[$-en-US]mmm yyyy")</f>
        <v>Dec 2024</v>
      </c>
      <c r="K2392" s="13" t="str">
        <f>TEXT(Table1[[#This Row],[Date]],"[$-en-US]ddd")</f>
        <v>Wed</v>
      </c>
    </row>
    <row r="2393" spans="1:11" x14ac:dyDescent="0.25">
      <c r="A2393">
        <v>8</v>
      </c>
      <c r="B2393" t="s">
        <v>9</v>
      </c>
      <c r="C2393">
        <v>25.96</v>
      </c>
      <c r="D2393" t="s">
        <v>16</v>
      </c>
      <c r="E2393" t="s">
        <v>11</v>
      </c>
      <c r="F2393" t="s">
        <v>37</v>
      </c>
      <c r="G2393">
        <v>4</v>
      </c>
      <c r="H2393">
        <v>12</v>
      </c>
      <c r="I2393" s="13">
        <v>45631</v>
      </c>
      <c r="J2393" s="13" t="str">
        <f>TEXT(Table1[[#This Row],[Date]],"[$-en-US]mmm yyyy")</f>
        <v>Dec 2024</v>
      </c>
      <c r="K2393" s="13" t="str">
        <f>TEXT(Table1[[#This Row],[Date]],"[$-en-US]ddd")</f>
        <v>Thu</v>
      </c>
    </row>
    <row r="2394" spans="1:11" x14ac:dyDescent="0.25">
      <c r="A2394">
        <v>9</v>
      </c>
      <c r="B2394" t="s">
        <v>9</v>
      </c>
      <c r="C2394">
        <v>25.96</v>
      </c>
      <c r="D2394" t="s">
        <v>22</v>
      </c>
      <c r="E2394" t="s">
        <v>11</v>
      </c>
      <c r="F2394" t="s">
        <v>37</v>
      </c>
      <c r="G2394">
        <v>4</v>
      </c>
      <c r="H2394">
        <v>12</v>
      </c>
      <c r="I2394" s="13">
        <v>45631</v>
      </c>
      <c r="J2394" s="13" t="str">
        <f>TEXT(Table1[[#This Row],[Date]],"[$-en-US]mmm yyyy")</f>
        <v>Dec 2024</v>
      </c>
      <c r="K2394" s="13" t="str">
        <f>TEXT(Table1[[#This Row],[Date]],"[$-en-US]ddd")</f>
        <v>Thu</v>
      </c>
    </row>
    <row r="2395" spans="1:11" x14ac:dyDescent="0.25">
      <c r="A2395">
        <v>10</v>
      </c>
      <c r="B2395" t="s">
        <v>9</v>
      </c>
      <c r="C2395">
        <v>30.86</v>
      </c>
      <c r="D2395" t="s">
        <v>17</v>
      </c>
      <c r="E2395" t="s">
        <v>11</v>
      </c>
      <c r="F2395" t="s">
        <v>37</v>
      </c>
      <c r="G2395">
        <v>4</v>
      </c>
      <c r="H2395">
        <v>12</v>
      </c>
      <c r="I2395" s="13">
        <v>45631</v>
      </c>
      <c r="J2395" s="13" t="str">
        <f>TEXT(Table1[[#This Row],[Date]],"[$-en-US]mmm yyyy")</f>
        <v>Dec 2024</v>
      </c>
      <c r="K2395" s="13" t="str">
        <f>TEXT(Table1[[#This Row],[Date]],"[$-en-US]ddd")</f>
        <v>Thu</v>
      </c>
    </row>
    <row r="2396" spans="1:11" x14ac:dyDescent="0.25">
      <c r="A2396">
        <v>10</v>
      </c>
      <c r="B2396" t="s">
        <v>9</v>
      </c>
      <c r="C2396">
        <v>30.86</v>
      </c>
      <c r="D2396" t="s">
        <v>17</v>
      </c>
      <c r="E2396" t="s">
        <v>11</v>
      </c>
      <c r="F2396" t="s">
        <v>37</v>
      </c>
      <c r="G2396">
        <v>4</v>
      </c>
      <c r="H2396">
        <v>12</v>
      </c>
      <c r="I2396" s="13">
        <v>45631</v>
      </c>
      <c r="J2396" s="13" t="str">
        <f>TEXT(Table1[[#This Row],[Date]],"[$-en-US]mmm yyyy")</f>
        <v>Dec 2024</v>
      </c>
      <c r="K2396" s="13" t="str">
        <f>TEXT(Table1[[#This Row],[Date]],"[$-en-US]ddd")</f>
        <v>Thu</v>
      </c>
    </row>
    <row r="2397" spans="1:11" x14ac:dyDescent="0.25">
      <c r="A2397">
        <v>11</v>
      </c>
      <c r="B2397" t="s">
        <v>9</v>
      </c>
      <c r="C2397">
        <v>35.76</v>
      </c>
      <c r="D2397" t="s">
        <v>10</v>
      </c>
      <c r="E2397" t="s">
        <v>11</v>
      </c>
      <c r="F2397" t="s">
        <v>37</v>
      </c>
      <c r="G2397">
        <v>4</v>
      </c>
      <c r="H2397">
        <v>12</v>
      </c>
      <c r="I2397" s="13">
        <v>45631</v>
      </c>
      <c r="J2397" s="13" t="str">
        <f>TEXT(Table1[[#This Row],[Date]],"[$-en-US]mmm yyyy")</f>
        <v>Dec 2024</v>
      </c>
      <c r="K2397" s="13" t="str">
        <f>TEXT(Table1[[#This Row],[Date]],"[$-en-US]ddd")</f>
        <v>Thu</v>
      </c>
    </row>
    <row r="2398" spans="1:11" x14ac:dyDescent="0.25">
      <c r="A2398">
        <v>11</v>
      </c>
      <c r="B2398" t="s">
        <v>9</v>
      </c>
      <c r="C2398">
        <v>25.96</v>
      </c>
      <c r="D2398" t="s">
        <v>16</v>
      </c>
      <c r="E2398" t="s">
        <v>11</v>
      </c>
      <c r="F2398" t="s">
        <v>37</v>
      </c>
      <c r="G2398">
        <v>4</v>
      </c>
      <c r="H2398">
        <v>12</v>
      </c>
      <c r="I2398" s="13">
        <v>45631</v>
      </c>
      <c r="J2398" s="13" t="str">
        <f>TEXT(Table1[[#This Row],[Date]],"[$-en-US]mmm yyyy")</f>
        <v>Dec 2024</v>
      </c>
      <c r="K2398" s="13" t="str">
        <f>TEXT(Table1[[#This Row],[Date]],"[$-en-US]ddd")</f>
        <v>Thu</v>
      </c>
    </row>
    <row r="2399" spans="1:11" x14ac:dyDescent="0.25">
      <c r="A2399">
        <v>14</v>
      </c>
      <c r="B2399" t="s">
        <v>9</v>
      </c>
      <c r="C2399">
        <v>35.76</v>
      </c>
      <c r="D2399" t="s">
        <v>27</v>
      </c>
      <c r="E2399" t="s">
        <v>15</v>
      </c>
      <c r="F2399" t="s">
        <v>37</v>
      </c>
      <c r="G2399">
        <v>4</v>
      </c>
      <c r="H2399">
        <v>12</v>
      </c>
      <c r="I2399" s="13">
        <v>45631</v>
      </c>
      <c r="J2399" s="13" t="str">
        <f>TEXT(Table1[[#This Row],[Date]],"[$-en-US]mmm yyyy")</f>
        <v>Dec 2024</v>
      </c>
      <c r="K2399" s="13" t="str">
        <f>TEXT(Table1[[#This Row],[Date]],"[$-en-US]ddd")</f>
        <v>Thu</v>
      </c>
    </row>
    <row r="2400" spans="1:11" x14ac:dyDescent="0.25">
      <c r="A2400">
        <v>15</v>
      </c>
      <c r="B2400" t="s">
        <v>9</v>
      </c>
      <c r="C2400">
        <v>35.76</v>
      </c>
      <c r="D2400" t="s">
        <v>10</v>
      </c>
      <c r="E2400" t="s">
        <v>15</v>
      </c>
      <c r="F2400" t="s">
        <v>37</v>
      </c>
      <c r="G2400">
        <v>4</v>
      </c>
      <c r="H2400">
        <v>12</v>
      </c>
      <c r="I2400" s="13">
        <v>45631</v>
      </c>
      <c r="J2400" s="13" t="str">
        <f>TEXT(Table1[[#This Row],[Date]],"[$-en-US]mmm yyyy")</f>
        <v>Dec 2024</v>
      </c>
      <c r="K2400" s="13" t="str">
        <f>TEXT(Table1[[#This Row],[Date]],"[$-en-US]ddd")</f>
        <v>Thu</v>
      </c>
    </row>
    <row r="2401" spans="1:11" x14ac:dyDescent="0.25">
      <c r="A2401">
        <v>16</v>
      </c>
      <c r="B2401" t="s">
        <v>9</v>
      </c>
      <c r="C2401">
        <v>35.76</v>
      </c>
      <c r="D2401" t="s">
        <v>10</v>
      </c>
      <c r="E2401" t="s">
        <v>15</v>
      </c>
      <c r="F2401" t="s">
        <v>37</v>
      </c>
      <c r="G2401">
        <v>4</v>
      </c>
      <c r="H2401">
        <v>12</v>
      </c>
      <c r="I2401" s="13">
        <v>45631</v>
      </c>
      <c r="J2401" s="13" t="str">
        <f>TEXT(Table1[[#This Row],[Date]],"[$-en-US]mmm yyyy")</f>
        <v>Dec 2024</v>
      </c>
      <c r="K2401" s="13" t="str">
        <f>TEXT(Table1[[#This Row],[Date]],"[$-en-US]ddd")</f>
        <v>Thu</v>
      </c>
    </row>
    <row r="2402" spans="1:11" x14ac:dyDescent="0.25">
      <c r="A2402">
        <v>11</v>
      </c>
      <c r="B2402" t="s">
        <v>9</v>
      </c>
      <c r="C2402">
        <v>35.76</v>
      </c>
      <c r="D2402" t="s">
        <v>10</v>
      </c>
      <c r="E2402" t="s">
        <v>11</v>
      </c>
      <c r="F2402" t="s">
        <v>37</v>
      </c>
      <c r="G2402">
        <v>5</v>
      </c>
      <c r="H2402">
        <v>12</v>
      </c>
      <c r="I2402" s="13">
        <v>45632</v>
      </c>
      <c r="J2402" s="13" t="str">
        <f>TEXT(Table1[[#This Row],[Date]],"[$-en-US]mmm yyyy")</f>
        <v>Dec 2024</v>
      </c>
      <c r="K2402" s="13" t="str">
        <f>TEXT(Table1[[#This Row],[Date]],"[$-en-US]ddd")</f>
        <v>Fri</v>
      </c>
    </row>
    <row r="2403" spans="1:11" x14ac:dyDescent="0.25">
      <c r="A2403">
        <v>16</v>
      </c>
      <c r="B2403" t="s">
        <v>9</v>
      </c>
      <c r="C2403">
        <v>35.76</v>
      </c>
      <c r="D2403" t="s">
        <v>14</v>
      </c>
      <c r="E2403" t="s">
        <v>15</v>
      </c>
      <c r="F2403" t="s">
        <v>37</v>
      </c>
      <c r="G2403">
        <v>5</v>
      </c>
      <c r="H2403">
        <v>12</v>
      </c>
      <c r="I2403" s="13">
        <v>45632</v>
      </c>
      <c r="J2403" s="13" t="str">
        <f>TEXT(Table1[[#This Row],[Date]],"[$-en-US]mmm yyyy")</f>
        <v>Dec 2024</v>
      </c>
      <c r="K2403" s="13" t="str">
        <f>TEXT(Table1[[#This Row],[Date]],"[$-en-US]ddd")</f>
        <v>Fri</v>
      </c>
    </row>
    <row r="2404" spans="1:11" x14ac:dyDescent="0.25">
      <c r="A2404">
        <v>22</v>
      </c>
      <c r="B2404" t="s">
        <v>9</v>
      </c>
      <c r="C2404">
        <v>35.76</v>
      </c>
      <c r="D2404" t="s">
        <v>10</v>
      </c>
      <c r="E2404" t="s">
        <v>18</v>
      </c>
      <c r="F2404" t="s">
        <v>37</v>
      </c>
      <c r="G2404">
        <v>5</v>
      </c>
      <c r="H2404">
        <v>12</v>
      </c>
      <c r="I2404" s="13">
        <v>45632</v>
      </c>
      <c r="J2404" s="13" t="str">
        <f>TEXT(Table1[[#This Row],[Date]],"[$-en-US]mmm yyyy")</f>
        <v>Dec 2024</v>
      </c>
      <c r="K2404" s="13" t="str">
        <f>TEXT(Table1[[#This Row],[Date]],"[$-en-US]ddd")</f>
        <v>Fri</v>
      </c>
    </row>
    <row r="2405" spans="1:11" x14ac:dyDescent="0.25">
      <c r="A2405">
        <v>22</v>
      </c>
      <c r="B2405" t="s">
        <v>9</v>
      </c>
      <c r="C2405">
        <v>35.76</v>
      </c>
      <c r="D2405" t="s">
        <v>14</v>
      </c>
      <c r="E2405" t="s">
        <v>18</v>
      </c>
      <c r="F2405" t="s">
        <v>37</v>
      </c>
      <c r="G2405">
        <v>5</v>
      </c>
      <c r="H2405">
        <v>12</v>
      </c>
      <c r="I2405" s="13">
        <v>45632</v>
      </c>
      <c r="J2405" s="13" t="str">
        <f>TEXT(Table1[[#This Row],[Date]],"[$-en-US]mmm yyyy")</f>
        <v>Dec 2024</v>
      </c>
      <c r="K2405" s="13" t="str">
        <f>TEXT(Table1[[#This Row],[Date]],"[$-en-US]ddd")</f>
        <v>Fri</v>
      </c>
    </row>
    <row r="2406" spans="1:11" x14ac:dyDescent="0.25">
      <c r="A2406">
        <v>11</v>
      </c>
      <c r="B2406" t="s">
        <v>9</v>
      </c>
      <c r="C2406">
        <v>30.86</v>
      </c>
      <c r="D2406" t="s">
        <v>17</v>
      </c>
      <c r="E2406" t="s">
        <v>11</v>
      </c>
      <c r="F2406" t="s">
        <v>37</v>
      </c>
      <c r="G2406">
        <v>6</v>
      </c>
      <c r="H2406">
        <v>12</v>
      </c>
      <c r="I2406" s="13">
        <v>45633</v>
      </c>
      <c r="J2406" s="13" t="str">
        <f>TEXT(Table1[[#This Row],[Date]],"[$-en-US]mmm yyyy")</f>
        <v>Dec 2024</v>
      </c>
      <c r="K2406" s="13" t="str">
        <f>TEXT(Table1[[#This Row],[Date]],"[$-en-US]ddd")</f>
        <v>Sat</v>
      </c>
    </row>
    <row r="2407" spans="1:11" x14ac:dyDescent="0.25">
      <c r="A2407">
        <v>14</v>
      </c>
      <c r="B2407" t="s">
        <v>9</v>
      </c>
      <c r="C2407">
        <v>25.96</v>
      </c>
      <c r="D2407" t="s">
        <v>16</v>
      </c>
      <c r="E2407" t="s">
        <v>15</v>
      </c>
      <c r="F2407" t="s">
        <v>37</v>
      </c>
      <c r="G2407">
        <v>6</v>
      </c>
      <c r="H2407">
        <v>12</v>
      </c>
      <c r="I2407" s="13">
        <v>45633</v>
      </c>
      <c r="J2407" s="13" t="str">
        <f>TEXT(Table1[[#This Row],[Date]],"[$-en-US]mmm yyyy")</f>
        <v>Dec 2024</v>
      </c>
      <c r="K2407" s="13" t="str">
        <f>TEXT(Table1[[#This Row],[Date]],"[$-en-US]ddd")</f>
        <v>Sat</v>
      </c>
    </row>
    <row r="2408" spans="1:11" x14ac:dyDescent="0.25">
      <c r="A2408">
        <v>15</v>
      </c>
      <c r="B2408" t="s">
        <v>9</v>
      </c>
      <c r="C2408">
        <v>35.76</v>
      </c>
      <c r="D2408" t="s">
        <v>10</v>
      </c>
      <c r="E2408" t="s">
        <v>15</v>
      </c>
      <c r="F2408" t="s">
        <v>37</v>
      </c>
      <c r="G2408">
        <v>6</v>
      </c>
      <c r="H2408">
        <v>12</v>
      </c>
      <c r="I2408" s="13">
        <v>45633</v>
      </c>
      <c r="J2408" s="13" t="str">
        <f>TEXT(Table1[[#This Row],[Date]],"[$-en-US]mmm yyyy")</f>
        <v>Dec 2024</v>
      </c>
      <c r="K2408" s="13" t="str">
        <f>TEXT(Table1[[#This Row],[Date]],"[$-en-US]ddd")</f>
        <v>Sat</v>
      </c>
    </row>
    <row r="2409" spans="1:11" x14ac:dyDescent="0.25">
      <c r="A2409">
        <v>19</v>
      </c>
      <c r="B2409" t="s">
        <v>9</v>
      </c>
      <c r="C2409">
        <v>35.76</v>
      </c>
      <c r="D2409" t="s">
        <v>27</v>
      </c>
      <c r="E2409" t="s">
        <v>18</v>
      </c>
      <c r="F2409" t="s">
        <v>37</v>
      </c>
      <c r="G2409">
        <v>6</v>
      </c>
      <c r="H2409">
        <v>12</v>
      </c>
      <c r="I2409" s="13">
        <v>45633</v>
      </c>
      <c r="J2409" s="13" t="str">
        <f>TEXT(Table1[[#This Row],[Date]],"[$-en-US]mmm yyyy")</f>
        <v>Dec 2024</v>
      </c>
      <c r="K2409" s="13" t="str">
        <f>TEXT(Table1[[#This Row],[Date]],"[$-en-US]ddd")</f>
        <v>Sat</v>
      </c>
    </row>
    <row r="2410" spans="1:11" x14ac:dyDescent="0.25">
      <c r="A2410">
        <v>22</v>
      </c>
      <c r="B2410" t="s">
        <v>9</v>
      </c>
      <c r="C2410">
        <v>30.86</v>
      </c>
      <c r="D2410" t="s">
        <v>17</v>
      </c>
      <c r="E2410" t="s">
        <v>18</v>
      </c>
      <c r="F2410" t="s">
        <v>37</v>
      </c>
      <c r="G2410">
        <v>6</v>
      </c>
      <c r="H2410">
        <v>12</v>
      </c>
      <c r="I2410" s="13">
        <v>45633</v>
      </c>
      <c r="J2410" s="13" t="str">
        <f>TEXT(Table1[[#This Row],[Date]],"[$-en-US]mmm yyyy")</f>
        <v>Dec 2024</v>
      </c>
      <c r="K2410" s="13" t="str">
        <f>TEXT(Table1[[#This Row],[Date]],"[$-en-US]ddd")</f>
        <v>Sat</v>
      </c>
    </row>
    <row r="2411" spans="1:11" x14ac:dyDescent="0.25">
      <c r="A2411">
        <v>22</v>
      </c>
      <c r="B2411" t="s">
        <v>9</v>
      </c>
      <c r="C2411">
        <v>25.96</v>
      </c>
      <c r="D2411" t="s">
        <v>16</v>
      </c>
      <c r="E2411" t="s">
        <v>18</v>
      </c>
      <c r="F2411" t="s">
        <v>37</v>
      </c>
      <c r="G2411">
        <v>6</v>
      </c>
      <c r="H2411">
        <v>12</v>
      </c>
      <c r="I2411" s="13">
        <v>45633</v>
      </c>
      <c r="J2411" s="13" t="str">
        <f>TEXT(Table1[[#This Row],[Date]],"[$-en-US]mmm yyyy")</f>
        <v>Dec 2024</v>
      </c>
      <c r="K2411" s="13" t="str">
        <f>TEXT(Table1[[#This Row],[Date]],"[$-en-US]ddd")</f>
        <v>Sat</v>
      </c>
    </row>
    <row r="2412" spans="1:11" x14ac:dyDescent="0.25">
      <c r="A2412">
        <v>8</v>
      </c>
      <c r="B2412" t="s">
        <v>9</v>
      </c>
      <c r="C2412">
        <v>25.96</v>
      </c>
      <c r="D2412" t="s">
        <v>22</v>
      </c>
      <c r="E2412" t="s">
        <v>11</v>
      </c>
      <c r="F2412" t="s">
        <v>37</v>
      </c>
      <c r="G2412">
        <v>7</v>
      </c>
      <c r="H2412">
        <v>12</v>
      </c>
      <c r="I2412" s="13">
        <v>45634</v>
      </c>
      <c r="J2412" s="13" t="str">
        <f>TEXT(Table1[[#This Row],[Date]],"[$-en-US]mmm yyyy")</f>
        <v>Dec 2024</v>
      </c>
      <c r="K2412" s="13" t="str">
        <f>TEXT(Table1[[#This Row],[Date]],"[$-en-US]ddd")</f>
        <v>Sun</v>
      </c>
    </row>
    <row r="2413" spans="1:11" x14ac:dyDescent="0.25">
      <c r="A2413">
        <v>10</v>
      </c>
      <c r="B2413" t="s">
        <v>9</v>
      </c>
      <c r="C2413">
        <v>35.76</v>
      </c>
      <c r="D2413" t="s">
        <v>10</v>
      </c>
      <c r="E2413" t="s">
        <v>11</v>
      </c>
      <c r="F2413" t="s">
        <v>37</v>
      </c>
      <c r="G2413">
        <v>7</v>
      </c>
      <c r="H2413">
        <v>12</v>
      </c>
      <c r="I2413" s="13">
        <v>45634</v>
      </c>
      <c r="J2413" s="13" t="str">
        <f>TEXT(Table1[[#This Row],[Date]],"[$-en-US]mmm yyyy")</f>
        <v>Dec 2024</v>
      </c>
      <c r="K2413" s="13" t="str">
        <f>TEXT(Table1[[#This Row],[Date]],"[$-en-US]ddd")</f>
        <v>Sun</v>
      </c>
    </row>
    <row r="2414" spans="1:11" x14ac:dyDescent="0.25">
      <c r="A2414">
        <v>10</v>
      </c>
      <c r="B2414" t="s">
        <v>9</v>
      </c>
      <c r="C2414">
        <v>35.76</v>
      </c>
      <c r="D2414" t="s">
        <v>27</v>
      </c>
      <c r="E2414" t="s">
        <v>11</v>
      </c>
      <c r="F2414" t="s">
        <v>37</v>
      </c>
      <c r="G2414">
        <v>7</v>
      </c>
      <c r="H2414">
        <v>12</v>
      </c>
      <c r="I2414" s="13">
        <v>45634</v>
      </c>
      <c r="J2414" s="13" t="str">
        <f>TEXT(Table1[[#This Row],[Date]],"[$-en-US]mmm yyyy")</f>
        <v>Dec 2024</v>
      </c>
      <c r="K2414" s="13" t="str">
        <f>TEXT(Table1[[#This Row],[Date]],"[$-en-US]ddd")</f>
        <v>Sun</v>
      </c>
    </row>
    <row r="2415" spans="1:11" x14ac:dyDescent="0.25">
      <c r="A2415">
        <v>12</v>
      </c>
      <c r="B2415" t="s">
        <v>9</v>
      </c>
      <c r="C2415">
        <v>25.96</v>
      </c>
      <c r="D2415" t="s">
        <v>22</v>
      </c>
      <c r="E2415" t="s">
        <v>15</v>
      </c>
      <c r="F2415" t="s">
        <v>37</v>
      </c>
      <c r="G2415">
        <v>7</v>
      </c>
      <c r="H2415">
        <v>12</v>
      </c>
      <c r="I2415" s="13">
        <v>45634</v>
      </c>
      <c r="J2415" s="13" t="str">
        <f>TEXT(Table1[[#This Row],[Date]],"[$-en-US]mmm yyyy")</f>
        <v>Dec 2024</v>
      </c>
      <c r="K2415" s="13" t="str">
        <f>TEXT(Table1[[#This Row],[Date]],"[$-en-US]ddd")</f>
        <v>Sun</v>
      </c>
    </row>
    <row r="2416" spans="1:11" x14ac:dyDescent="0.25">
      <c r="A2416">
        <v>13</v>
      </c>
      <c r="B2416" t="s">
        <v>9</v>
      </c>
      <c r="C2416">
        <v>30.86</v>
      </c>
      <c r="D2416" t="s">
        <v>17</v>
      </c>
      <c r="E2416" t="s">
        <v>15</v>
      </c>
      <c r="F2416" t="s">
        <v>37</v>
      </c>
      <c r="G2416">
        <v>7</v>
      </c>
      <c r="H2416">
        <v>12</v>
      </c>
      <c r="I2416" s="13">
        <v>45634</v>
      </c>
      <c r="J2416" s="13" t="str">
        <f>TEXT(Table1[[#This Row],[Date]],"[$-en-US]mmm yyyy")</f>
        <v>Dec 2024</v>
      </c>
      <c r="K2416" s="13" t="str">
        <f>TEXT(Table1[[#This Row],[Date]],"[$-en-US]ddd")</f>
        <v>Sun</v>
      </c>
    </row>
    <row r="2417" spans="1:11" x14ac:dyDescent="0.25">
      <c r="A2417">
        <v>13</v>
      </c>
      <c r="B2417" t="s">
        <v>9</v>
      </c>
      <c r="C2417">
        <v>30.86</v>
      </c>
      <c r="D2417" t="s">
        <v>17</v>
      </c>
      <c r="E2417" t="s">
        <v>15</v>
      </c>
      <c r="F2417" t="s">
        <v>37</v>
      </c>
      <c r="G2417">
        <v>7</v>
      </c>
      <c r="H2417">
        <v>12</v>
      </c>
      <c r="I2417" s="13">
        <v>45634</v>
      </c>
      <c r="J2417" s="13" t="str">
        <f>TEXT(Table1[[#This Row],[Date]],"[$-en-US]mmm yyyy")</f>
        <v>Dec 2024</v>
      </c>
      <c r="K2417" s="13" t="str">
        <f>TEXT(Table1[[#This Row],[Date]],"[$-en-US]ddd")</f>
        <v>Sun</v>
      </c>
    </row>
    <row r="2418" spans="1:11" x14ac:dyDescent="0.25">
      <c r="A2418">
        <v>17</v>
      </c>
      <c r="B2418" t="s">
        <v>9</v>
      </c>
      <c r="C2418">
        <v>35.76</v>
      </c>
      <c r="D2418" t="s">
        <v>27</v>
      </c>
      <c r="E2418" t="s">
        <v>18</v>
      </c>
      <c r="F2418" t="s">
        <v>37</v>
      </c>
      <c r="G2418">
        <v>7</v>
      </c>
      <c r="H2418">
        <v>12</v>
      </c>
      <c r="I2418" s="13">
        <v>45634</v>
      </c>
      <c r="J2418" s="13" t="str">
        <f>TEXT(Table1[[#This Row],[Date]],"[$-en-US]mmm yyyy")</f>
        <v>Dec 2024</v>
      </c>
      <c r="K2418" s="13" t="str">
        <f>TEXT(Table1[[#This Row],[Date]],"[$-en-US]ddd")</f>
        <v>Sun</v>
      </c>
    </row>
    <row r="2419" spans="1:11" x14ac:dyDescent="0.25">
      <c r="A2419">
        <v>18</v>
      </c>
      <c r="B2419" t="s">
        <v>9</v>
      </c>
      <c r="C2419">
        <v>21.06</v>
      </c>
      <c r="D2419" t="s">
        <v>24</v>
      </c>
      <c r="E2419" t="s">
        <v>18</v>
      </c>
      <c r="F2419" t="s">
        <v>37</v>
      </c>
      <c r="G2419">
        <v>7</v>
      </c>
      <c r="H2419">
        <v>12</v>
      </c>
      <c r="I2419" s="13">
        <v>45634</v>
      </c>
      <c r="J2419" s="13" t="str">
        <f>TEXT(Table1[[#This Row],[Date]],"[$-en-US]mmm yyyy")</f>
        <v>Dec 2024</v>
      </c>
      <c r="K2419" s="13" t="str">
        <f>TEXT(Table1[[#This Row],[Date]],"[$-en-US]ddd")</f>
        <v>Sun</v>
      </c>
    </row>
    <row r="2420" spans="1:11" x14ac:dyDescent="0.25">
      <c r="A2420">
        <v>20</v>
      </c>
      <c r="B2420" t="s">
        <v>9</v>
      </c>
      <c r="C2420">
        <v>35.76</v>
      </c>
      <c r="D2420" t="s">
        <v>27</v>
      </c>
      <c r="E2420" t="s">
        <v>18</v>
      </c>
      <c r="F2420" t="s">
        <v>37</v>
      </c>
      <c r="G2420">
        <v>7</v>
      </c>
      <c r="H2420">
        <v>12</v>
      </c>
      <c r="I2420" s="13">
        <v>45634</v>
      </c>
      <c r="J2420" s="13" t="str">
        <f>TEXT(Table1[[#This Row],[Date]],"[$-en-US]mmm yyyy")</f>
        <v>Dec 2024</v>
      </c>
      <c r="K2420" s="13" t="str">
        <f>TEXT(Table1[[#This Row],[Date]],"[$-en-US]ddd")</f>
        <v>Sun</v>
      </c>
    </row>
    <row r="2421" spans="1:11" x14ac:dyDescent="0.25">
      <c r="A2421">
        <v>21</v>
      </c>
      <c r="B2421" t="s">
        <v>9</v>
      </c>
      <c r="C2421">
        <v>30.86</v>
      </c>
      <c r="D2421" t="s">
        <v>17</v>
      </c>
      <c r="E2421" t="s">
        <v>18</v>
      </c>
      <c r="F2421" t="s">
        <v>37</v>
      </c>
      <c r="G2421">
        <v>7</v>
      </c>
      <c r="H2421">
        <v>12</v>
      </c>
      <c r="I2421" s="13">
        <v>45634</v>
      </c>
      <c r="J2421" s="13" t="str">
        <f>TEXT(Table1[[#This Row],[Date]],"[$-en-US]mmm yyyy")</f>
        <v>Dec 2024</v>
      </c>
      <c r="K2421" s="13" t="str">
        <f>TEXT(Table1[[#This Row],[Date]],"[$-en-US]ddd")</f>
        <v>Sun</v>
      </c>
    </row>
    <row r="2422" spans="1:11" x14ac:dyDescent="0.25">
      <c r="A2422">
        <v>21</v>
      </c>
      <c r="B2422" t="s">
        <v>9</v>
      </c>
      <c r="C2422">
        <v>30.86</v>
      </c>
      <c r="D2422" t="s">
        <v>17</v>
      </c>
      <c r="E2422" t="s">
        <v>18</v>
      </c>
      <c r="F2422" t="s">
        <v>37</v>
      </c>
      <c r="G2422">
        <v>7</v>
      </c>
      <c r="H2422">
        <v>12</v>
      </c>
      <c r="I2422" s="13">
        <v>45634</v>
      </c>
      <c r="J2422" s="13" t="str">
        <f>TEXT(Table1[[#This Row],[Date]],"[$-en-US]mmm yyyy")</f>
        <v>Dec 2024</v>
      </c>
      <c r="K2422" s="13" t="str">
        <f>TEXT(Table1[[#This Row],[Date]],"[$-en-US]ddd")</f>
        <v>Sun</v>
      </c>
    </row>
    <row r="2423" spans="1:11" x14ac:dyDescent="0.25">
      <c r="A2423">
        <v>8</v>
      </c>
      <c r="B2423" t="s">
        <v>9</v>
      </c>
      <c r="C2423">
        <v>35.76</v>
      </c>
      <c r="D2423" t="s">
        <v>27</v>
      </c>
      <c r="E2423" t="s">
        <v>11</v>
      </c>
      <c r="F2423" t="s">
        <v>37</v>
      </c>
      <c r="G2423">
        <v>1</v>
      </c>
      <c r="H2423">
        <v>12</v>
      </c>
      <c r="I2423" s="13">
        <v>45635</v>
      </c>
      <c r="J2423" s="13" t="str">
        <f>TEXT(Table1[[#This Row],[Date]],"[$-en-US]mmm yyyy")</f>
        <v>Dec 2024</v>
      </c>
      <c r="K2423" s="13" t="str">
        <f>TEXT(Table1[[#This Row],[Date]],"[$-en-US]ddd")</f>
        <v>Mon</v>
      </c>
    </row>
    <row r="2424" spans="1:11" x14ac:dyDescent="0.25">
      <c r="A2424">
        <v>9</v>
      </c>
      <c r="B2424" t="s">
        <v>9</v>
      </c>
      <c r="C2424">
        <v>25.96</v>
      </c>
      <c r="D2424" t="s">
        <v>16</v>
      </c>
      <c r="E2424" t="s">
        <v>11</v>
      </c>
      <c r="F2424" t="s">
        <v>37</v>
      </c>
      <c r="G2424">
        <v>1</v>
      </c>
      <c r="H2424">
        <v>12</v>
      </c>
      <c r="I2424" s="13">
        <v>45635</v>
      </c>
      <c r="J2424" s="13" t="str">
        <f>TEXT(Table1[[#This Row],[Date]],"[$-en-US]mmm yyyy")</f>
        <v>Dec 2024</v>
      </c>
      <c r="K2424" s="13" t="str">
        <f>TEXT(Table1[[#This Row],[Date]],"[$-en-US]ddd")</f>
        <v>Mon</v>
      </c>
    </row>
    <row r="2425" spans="1:11" x14ac:dyDescent="0.25">
      <c r="A2425">
        <v>9</v>
      </c>
      <c r="B2425" t="s">
        <v>9</v>
      </c>
      <c r="C2425">
        <v>30.86</v>
      </c>
      <c r="D2425" t="s">
        <v>17</v>
      </c>
      <c r="E2425" t="s">
        <v>11</v>
      </c>
      <c r="F2425" t="s">
        <v>37</v>
      </c>
      <c r="G2425">
        <v>1</v>
      </c>
      <c r="H2425">
        <v>12</v>
      </c>
      <c r="I2425" s="13">
        <v>45635</v>
      </c>
      <c r="J2425" s="13" t="str">
        <f>TEXT(Table1[[#This Row],[Date]],"[$-en-US]mmm yyyy")</f>
        <v>Dec 2024</v>
      </c>
      <c r="K2425" s="13" t="str">
        <f>TEXT(Table1[[#This Row],[Date]],"[$-en-US]ddd")</f>
        <v>Mon</v>
      </c>
    </row>
    <row r="2426" spans="1:11" x14ac:dyDescent="0.25">
      <c r="A2426">
        <v>13</v>
      </c>
      <c r="B2426" t="s">
        <v>9</v>
      </c>
      <c r="C2426">
        <v>25.96</v>
      </c>
      <c r="D2426" t="s">
        <v>22</v>
      </c>
      <c r="E2426" t="s">
        <v>15</v>
      </c>
      <c r="F2426" t="s">
        <v>37</v>
      </c>
      <c r="G2426">
        <v>1</v>
      </c>
      <c r="H2426">
        <v>12</v>
      </c>
      <c r="I2426" s="13">
        <v>45635</v>
      </c>
      <c r="J2426" s="13" t="str">
        <f>TEXT(Table1[[#This Row],[Date]],"[$-en-US]mmm yyyy")</f>
        <v>Dec 2024</v>
      </c>
      <c r="K2426" s="13" t="str">
        <f>TEXT(Table1[[#This Row],[Date]],"[$-en-US]ddd")</f>
        <v>Mon</v>
      </c>
    </row>
    <row r="2427" spans="1:11" x14ac:dyDescent="0.25">
      <c r="A2427">
        <v>21</v>
      </c>
      <c r="B2427" t="s">
        <v>9</v>
      </c>
      <c r="C2427">
        <v>35.76</v>
      </c>
      <c r="D2427" t="s">
        <v>19</v>
      </c>
      <c r="E2427" t="s">
        <v>18</v>
      </c>
      <c r="F2427" t="s">
        <v>37</v>
      </c>
      <c r="G2427">
        <v>1</v>
      </c>
      <c r="H2427">
        <v>12</v>
      </c>
      <c r="I2427" s="13">
        <v>45635</v>
      </c>
      <c r="J2427" s="13" t="str">
        <f>TEXT(Table1[[#This Row],[Date]],"[$-en-US]mmm yyyy")</f>
        <v>Dec 2024</v>
      </c>
      <c r="K2427" s="13" t="str">
        <f>TEXT(Table1[[#This Row],[Date]],"[$-en-US]ddd")</f>
        <v>Mon</v>
      </c>
    </row>
    <row r="2428" spans="1:11" x14ac:dyDescent="0.25">
      <c r="A2428">
        <v>12</v>
      </c>
      <c r="B2428" t="s">
        <v>9</v>
      </c>
      <c r="C2428">
        <v>25.96</v>
      </c>
      <c r="D2428" t="s">
        <v>22</v>
      </c>
      <c r="E2428" t="s">
        <v>15</v>
      </c>
      <c r="F2428" t="s">
        <v>37</v>
      </c>
      <c r="G2428">
        <v>2</v>
      </c>
      <c r="H2428">
        <v>12</v>
      </c>
      <c r="I2428" s="13">
        <v>45636</v>
      </c>
      <c r="J2428" s="13" t="str">
        <f>TEXT(Table1[[#This Row],[Date]],"[$-en-US]mmm yyyy")</f>
        <v>Dec 2024</v>
      </c>
      <c r="K2428" s="13" t="str">
        <f>TEXT(Table1[[#This Row],[Date]],"[$-en-US]ddd")</f>
        <v>Tue</v>
      </c>
    </row>
    <row r="2429" spans="1:11" x14ac:dyDescent="0.25">
      <c r="A2429">
        <v>18</v>
      </c>
      <c r="B2429" t="s">
        <v>9</v>
      </c>
      <c r="C2429">
        <v>35.76</v>
      </c>
      <c r="D2429" t="s">
        <v>14</v>
      </c>
      <c r="E2429" t="s">
        <v>18</v>
      </c>
      <c r="F2429" t="s">
        <v>37</v>
      </c>
      <c r="G2429">
        <v>2</v>
      </c>
      <c r="H2429">
        <v>12</v>
      </c>
      <c r="I2429" s="13">
        <v>45636</v>
      </c>
      <c r="J2429" s="13" t="str">
        <f>TEXT(Table1[[#This Row],[Date]],"[$-en-US]mmm yyyy")</f>
        <v>Dec 2024</v>
      </c>
      <c r="K2429" s="13" t="str">
        <f>TEXT(Table1[[#This Row],[Date]],"[$-en-US]ddd")</f>
        <v>Tue</v>
      </c>
    </row>
    <row r="2430" spans="1:11" x14ac:dyDescent="0.25">
      <c r="A2430">
        <v>7</v>
      </c>
      <c r="B2430" t="s">
        <v>9</v>
      </c>
      <c r="C2430">
        <v>35.76</v>
      </c>
      <c r="D2430" t="s">
        <v>10</v>
      </c>
      <c r="E2430" t="s">
        <v>11</v>
      </c>
      <c r="F2430" t="s">
        <v>37</v>
      </c>
      <c r="G2430">
        <v>3</v>
      </c>
      <c r="H2430">
        <v>12</v>
      </c>
      <c r="I2430" s="13">
        <v>45637</v>
      </c>
      <c r="J2430" s="13" t="str">
        <f>TEXT(Table1[[#This Row],[Date]],"[$-en-US]mmm yyyy")</f>
        <v>Dec 2024</v>
      </c>
      <c r="K2430" s="13" t="str">
        <f>TEXT(Table1[[#This Row],[Date]],"[$-en-US]ddd")</f>
        <v>Wed</v>
      </c>
    </row>
    <row r="2431" spans="1:11" x14ac:dyDescent="0.25">
      <c r="A2431">
        <v>10</v>
      </c>
      <c r="B2431" t="s">
        <v>9</v>
      </c>
      <c r="C2431">
        <v>25.96</v>
      </c>
      <c r="D2431" t="s">
        <v>22</v>
      </c>
      <c r="E2431" t="s">
        <v>11</v>
      </c>
      <c r="F2431" t="s">
        <v>37</v>
      </c>
      <c r="G2431">
        <v>3</v>
      </c>
      <c r="H2431">
        <v>12</v>
      </c>
      <c r="I2431" s="13">
        <v>45637</v>
      </c>
      <c r="J2431" s="13" t="str">
        <f>TEXT(Table1[[#This Row],[Date]],"[$-en-US]mmm yyyy")</f>
        <v>Dec 2024</v>
      </c>
      <c r="K2431" s="13" t="str">
        <f>TEXT(Table1[[#This Row],[Date]],"[$-en-US]ddd")</f>
        <v>Wed</v>
      </c>
    </row>
    <row r="2432" spans="1:11" x14ac:dyDescent="0.25">
      <c r="A2432">
        <v>12</v>
      </c>
      <c r="B2432" t="s">
        <v>9</v>
      </c>
      <c r="C2432">
        <v>35.76</v>
      </c>
      <c r="D2432" t="s">
        <v>14</v>
      </c>
      <c r="E2432" t="s">
        <v>15</v>
      </c>
      <c r="F2432" t="s">
        <v>37</v>
      </c>
      <c r="G2432">
        <v>3</v>
      </c>
      <c r="H2432">
        <v>12</v>
      </c>
      <c r="I2432" s="13">
        <v>45637</v>
      </c>
      <c r="J2432" s="13" t="str">
        <f>TEXT(Table1[[#This Row],[Date]],"[$-en-US]mmm yyyy")</f>
        <v>Dec 2024</v>
      </c>
      <c r="K2432" s="13" t="str">
        <f>TEXT(Table1[[#This Row],[Date]],"[$-en-US]ddd")</f>
        <v>Wed</v>
      </c>
    </row>
    <row r="2433" spans="1:11" x14ac:dyDescent="0.25">
      <c r="A2433">
        <v>12</v>
      </c>
      <c r="B2433" t="s">
        <v>9</v>
      </c>
      <c r="C2433">
        <v>21.06</v>
      </c>
      <c r="D2433" t="s">
        <v>24</v>
      </c>
      <c r="E2433" t="s">
        <v>15</v>
      </c>
      <c r="F2433" t="s">
        <v>37</v>
      </c>
      <c r="G2433">
        <v>3</v>
      </c>
      <c r="H2433">
        <v>12</v>
      </c>
      <c r="I2433" s="13">
        <v>45637</v>
      </c>
      <c r="J2433" s="13" t="str">
        <f>TEXT(Table1[[#This Row],[Date]],"[$-en-US]mmm yyyy")</f>
        <v>Dec 2024</v>
      </c>
      <c r="K2433" s="13" t="str">
        <f>TEXT(Table1[[#This Row],[Date]],"[$-en-US]ddd")</f>
        <v>Wed</v>
      </c>
    </row>
    <row r="2434" spans="1:11" x14ac:dyDescent="0.25">
      <c r="A2434">
        <v>17</v>
      </c>
      <c r="B2434" t="s">
        <v>9</v>
      </c>
      <c r="C2434">
        <v>35.76</v>
      </c>
      <c r="D2434" t="s">
        <v>19</v>
      </c>
      <c r="E2434" t="s">
        <v>18</v>
      </c>
      <c r="F2434" t="s">
        <v>37</v>
      </c>
      <c r="G2434">
        <v>3</v>
      </c>
      <c r="H2434">
        <v>12</v>
      </c>
      <c r="I2434" s="13">
        <v>45637</v>
      </c>
      <c r="J2434" s="13" t="str">
        <f>TEXT(Table1[[#This Row],[Date]],"[$-en-US]mmm yyyy")</f>
        <v>Dec 2024</v>
      </c>
      <c r="K2434" s="13" t="str">
        <f>TEXT(Table1[[#This Row],[Date]],"[$-en-US]ddd")</f>
        <v>Wed</v>
      </c>
    </row>
    <row r="2435" spans="1:11" x14ac:dyDescent="0.25">
      <c r="A2435">
        <v>21</v>
      </c>
      <c r="B2435" t="s">
        <v>9</v>
      </c>
      <c r="C2435">
        <v>35.76</v>
      </c>
      <c r="D2435" t="s">
        <v>10</v>
      </c>
      <c r="E2435" t="s">
        <v>18</v>
      </c>
      <c r="F2435" t="s">
        <v>37</v>
      </c>
      <c r="G2435">
        <v>3</v>
      </c>
      <c r="H2435">
        <v>12</v>
      </c>
      <c r="I2435" s="13">
        <v>45637</v>
      </c>
      <c r="J2435" s="13" t="str">
        <f>TEXT(Table1[[#This Row],[Date]],"[$-en-US]mmm yyyy")</f>
        <v>Dec 2024</v>
      </c>
      <c r="K2435" s="13" t="str">
        <f>TEXT(Table1[[#This Row],[Date]],"[$-en-US]ddd")</f>
        <v>Wed</v>
      </c>
    </row>
    <row r="2436" spans="1:11" x14ac:dyDescent="0.25">
      <c r="A2436">
        <v>21</v>
      </c>
      <c r="B2436" t="s">
        <v>9</v>
      </c>
      <c r="C2436">
        <v>35.76</v>
      </c>
      <c r="D2436" t="s">
        <v>10</v>
      </c>
      <c r="E2436" t="s">
        <v>18</v>
      </c>
      <c r="F2436" t="s">
        <v>37</v>
      </c>
      <c r="G2436">
        <v>3</v>
      </c>
      <c r="H2436">
        <v>12</v>
      </c>
      <c r="I2436" s="13">
        <v>45637</v>
      </c>
      <c r="J2436" s="13" t="str">
        <f>TEXT(Table1[[#This Row],[Date]],"[$-en-US]mmm yyyy")</f>
        <v>Dec 2024</v>
      </c>
      <c r="K2436" s="13" t="str">
        <f>TEXT(Table1[[#This Row],[Date]],"[$-en-US]ddd")</f>
        <v>Wed</v>
      </c>
    </row>
    <row r="2437" spans="1:11" x14ac:dyDescent="0.25">
      <c r="A2437">
        <v>7</v>
      </c>
      <c r="B2437" t="s">
        <v>9</v>
      </c>
      <c r="C2437">
        <v>30.86</v>
      </c>
      <c r="D2437" t="s">
        <v>17</v>
      </c>
      <c r="E2437" t="s">
        <v>11</v>
      </c>
      <c r="F2437" t="s">
        <v>37</v>
      </c>
      <c r="G2437">
        <v>4</v>
      </c>
      <c r="H2437">
        <v>12</v>
      </c>
      <c r="I2437" s="13">
        <v>45638</v>
      </c>
      <c r="J2437" s="13" t="str">
        <f>TEXT(Table1[[#This Row],[Date]],"[$-en-US]mmm yyyy")</f>
        <v>Dec 2024</v>
      </c>
      <c r="K2437" s="13" t="str">
        <f>TEXT(Table1[[#This Row],[Date]],"[$-en-US]ddd")</f>
        <v>Thu</v>
      </c>
    </row>
    <row r="2438" spans="1:11" x14ac:dyDescent="0.25">
      <c r="A2438">
        <v>12</v>
      </c>
      <c r="B2438" t="s">
        <v>9</v>
      </c>
      <c r="C2438">
        <v>25.96</v>
      </c>
      <c r="D2438" t="s">
        <v>16</v>
      </c>
      <c r="E2438" t="s">
        <v>15</v>
      </c>
      <c r="F2438" t="s">
        <v>37</v>
      </c>
      <c r="G2438">
        <v>4</v>
      </c>
      <c r="H2438">
        <v>12</v>
      </c>
      <c r="I2438" s="13">
        <v>45638</v>
      </c>
      <c r="J2438" s="13" t="str">
        <f>TEXT(Table1[[#This Row],[Date]],"[$-en-US]mmm yyyy")</f>
        <v>Dec 2024</v>
      </c>
      <c r="K2438" s="13" t="str">
        <f>TEXT(Table1[[#This Row],[Date]],"[$-en-US]ddd")</f>
        <v>Thu</v>
      </c>
    </row>
    <row r="2439" spans="1:11" x14ac:dyDescent="0.25">
      <c r="A2439">
        <v>16</v>
      </c>
      <c r="B2439" t="s">
        <v>9</v>
      </c>
      <c r="C2439">
        <v>21.06</v>
      </c>
      <c r="D2439" t="s">
        <v>24</v>
      </c>
      <c r="E2439" t="s">
        <v>15</v>
      </c>
      <c r="F2439" t="s">
        <v>37</v>
      </c>
      <c r="G2439">
        <v>4</v>
      </c>
      <c r="H2439">
        <v>12</v>
      </c>
      <c r="I2439" s="13">
        <v>45638</v>
      </c>
      <c r="J2439" s="13" t="str">
        <f>TEXT(Table1[[#This Row],[Date]],"[$-en-US]mmm yyyy")</f>
        <v>Dec 2024</v>
      </c>
      <c r="K2439" s="13" t="str">
        <f>TEXT(Table1[[#This Row],[Date]],"[$-en-US]ddd")</f>
        <v>Thu</v>
      </c>
    </row>
    <row r="2440" spans="1:11" x14ac:dyDescent="0.25">
      <c r="A2440">
        <v>16</v>
      </c>
      <c r="B2440" t="s">
        <v>9</v>
      </c>
      <c r="C2440">
        <v>21.06</v>
      </c>
      <c r="D2440" t="s">
        <v>24</v>
      </c>
      <c r="E2440" t="s">
        <v>15</v>
      </c>
      <c r="F2440" t="s">
        <v>37</v>
      </c>
      <c r="G2440">
        <v>4</v>
      </c>
      <c r="H2440">
        <v>12</v>
      </c>
      <c r="I2440" s="13">
        <v>45638</v>
      </c>
      <c r="J2440" s="13" t="str">
        <f>TEXT(Table1[[#This Row],[Date]],"[$-en-US]mmm yyyy")</f>
        <v>Dec 2024</v>
      </c>
      <c r="K2440" s="13" t="str">
        <f>TEXT(Table1[[#This Row],[Date]],"[$-en-US]ddd")</f>
        <v>Thu</v>
      </c>
    </row>
    <row r="2441" spans="1:11" x14ac:dyDescent="0.25">
      <c r="A2441">
        <v>16</v>
      </c>
      <c r="B2441" t="s">
        <v>9</v>
      </c>
      <c r="C2441">
        <v>25.96</v>
      </c>
      <c r="D2441" t="s">
        <v>16</v>
      </c>
      <c r="E2441" t="s">
        <v>15</v>
      </c>
      <c r="F2441" t="s">
        <v>37</v>
      </c>
      <c r="G2441">
        <v>4</v>
      </c>
      <c r="H2441">
        <v>12</v>
      </c>
      <c r="I2441" s="13">
        <v>45638</v>
      </c>
      <c r="J2441" s="13" t="str">
        <f>TEXT(Table1[[#This Row],[Date]],"[$-en-US]mmm yyyy")</f>
        <v>Dec 2024</v>
      </c>
      <c r="K2441" s="13" t="str">
        <f>TEXT(Table1[[#This Row],[Date]],"[$-en-US]ddd")</f>
        <v>Thu</v>
      </c>
    </row>
    <row r="2442" spans="1:11" x14ac:dyDescent="0.25">
      <c r="A2442">
        <v>19</v>
      </c>
      <c r="B2442" t="s">
        <v>9</v>
      </c>
      <c r="C2442">
        <v>35.76</v>
      </c>
      <c r="D2442" t="s">
        <v>19</v>
      </c>
      <c r="E2442" t="s">
        <v>18</v>
      </c>
      <c r="F2442" t="s">
        <v>37</v>
      </c>
      <c r="G2442">
        <v>4</v>
      </c>
      <c r="H2442">
        <v>12</v>
      </c>
      <c r="I2442" s="13">
        <v>45638</v>
      </c>
      <c r="J2442" s="13" t="str">
        <f>TEXT(Table1[[#This Row],[Date]],"[$-en-US]mmm yyyy")</f>
        <v>Dec 2024</v>
      </c>
      <c r="K2442" s="13" t="str">
        <f>TEXT(Table1[[#This Row],[Date]],"[$-en-US]ddd")</f>
        <v>Thu</v>
      </c>
    </row>
    <row r="2443" spans="1:11" x14ac:dyDescent="0.25">
      <c r="A2443">
        <v>19</v>
      </c>
      <c r="B2443" t="s">
        <v>9</v>
      </c>
      <c r="C2443">
        <v>35.76</v>
      </c>
      <c r="D2443" t="s">
        <v>19</v>
      </c>
      <c r="E2443" t="s">
        <v>18</v>
      </c>
      <c r="F2443" t="s">
        <v>37</v>
      </c>
      <c r="G2443">
        <v>4</v>
      </c>
      <c r="H2443">
        <v>12</v>
      </c>
      <c r="I2443" s="13">
        <v>45638</v>
      </c>
      <c r="J2443" s="13" t="str">
        <f>TEXT(Table1[[#This Row],[Date]],"[$-en-US]mmm yyyy")</f>
        <v>Dec 2024</v>
      </c>
      <c r="K2443" s="13" t="str">
        <f>TEXT(Table1[[#This Row],[Date]],"[$-en-US]ddd")</f>
        <v>Thu</v>
      </c>
    </row>
    <row r="2444" spans="1:11" x14ac:dyDescent="0.25">
      <c r="A2444">
        <v>12</v>
      </c>
      <c r="B2444" t="s">
        <v>9</v>
      </c>
      <c r="C2444">
        <v>25.96</v>
      </c>
      <c r="D2444" t="s">
        <v>16</v>
      </c>
      <c r="E2444" t="s">
        <v>15</v>
      </c>
      <c r="F2444" t="s">
        <v>37</v>
      </c>
      <c r="G2444">
        <v>5</v>
      </c>
      <c r="H2444">
        <v>12</v>
      </c>
      <c r="I2444" s="13">
        <v>45639</v>
      </c>
      <c r="J2444" s="13" t="str">
        <f>TEXT(Table1[[#This Row],[Date]],"[$-en-US]mmm yyyy")</f>
        <v>Dec 2024</v>
      </c>
      <c r="K2444" s="13" t="str">
        <f>TEXT(Table1[[#This Row],[Date]],"[$-en-US]ddd")</f>
        <v>Fri</v>
      </c>
    </row>
    <row r="2445" spans="1:11" x14ac:dyDescent="0.25">
      <c r="A2445">
        <v>12</v>
      </c>
      <c r="B2445" t="s">
        <v>9</v>
      </c>
      <c r="C2445">
        <v>25.96</v>
      </c>
      <c r="D2445" t="s">
        <v>16</v>
      </c>
      <c r="E2445" t="s">
        <v>15</v>
      </c>
      <c r="F2445" t="s">
        <v>37</v>
      </c>
      <c r="G2445">
        <v>5</v>
      </c>
      <c r="H2445">
        <v>12</v>
      </c>
      <c r="I2445" s="13">
        <v>45639</v>
      </c>
      <c r="J2445" s="13" t="str">
        <f>TEXT(Table1[[#This Row],[Date]],"[$-en-US]mmm yyyy")</f>
        <v>Dec 2024</v>
      </c>
      <c r="K2445" s="13" t="str">
        <f>TEXT(Table1[[#This Row],[Date]],"[$-en-US]ddd")</f>
        <v>Fri</v>
      </c>
    </row>
    <row r="2446" spans="1:11" x14ac:dyDescent="0.25">
      <c r="A2446">
        <v>12</v>
      </c>
      <c r="B2446" t="s">
        <v>9</v>
      </c>
      <c r="C2446">
        <v>35.76</v>
      </c>
      <c r="D2446" t="s">
        <v>14</v>
      </c>
      <c r="E2446" t="s">
        <v>15</v>
      </c>
      <c r="F2446" t="s">
        <v>37</v>
      </c>
      <c r="G2446">
        <v>5</v>
      </c>
      <c r="H2446">
        <v>12</v>
      </c>
      <c r="I2446" s="13">
        <v>45639</v>
      </c>
      <c r="J2446" s="13" t="str">
        <f>TEXT(Table1[[#This Row],[Date]],"[$-en-US]mmm yyyy")</f>
        <v>Dec 2024</v>
      </c>
      <c r="K2446" s="13" t="str">
        <f>TEXT(Table1[[#This Row],[Date]],"[$-en-US]ddd")</f>
        <v>Fri</v>
      </c>
    </row>
    <row r="2447" spans="1:11" x14ac:dyDescent="0.25">
      <c r="A2447">
        <v>14</v>
      </c>
      <c r="B2447" t="s">
        <v>9</v>
      </c>
      <c r="C2447">
        <v>35.76</v>
      </c>
      <c r="D2447" t="s">
        <v>14</v>
      </c>
      <c r="E2447" t="s">
        <v>15</v>
      </c>
      <c r="F2447" t="s">
        <v>37</v>
      </c>
      <c r="G2447">
        <v>5</v>
      </c>
      <c r="H2447">
        <v>12</v>
      </c>
      <c r="I2447" s="13">
        <v>45639</v>
      </c>
      <c r="J2447" s="13" t="str">
        <f>TEXT(Table1[[#This Row],[Date]],"[$-en-US]mmm yyyy")</f>
        <v>Dec 2024</v>
      </c>
      <c r="K2447" s="13" t="str">
        <f>TEXT(Table1[[#This Row],[Date]],"[$-en-US]ddd")</f>
        <v>Fri</v>
      </c>
    </row>
    <row r="2448" spans="1:11" x14ac:dyDescent="0.25">
      <c r="A2448">
        <v>16</v>
      </c>
      <c r="B2448" t="s">
        <v>9</v>
      </c>
      <c r="C2448">
        <v>35.76</v>
      </c>
      <c r="D2448" t="s">
        <v>19</v>
      </c>
      <c r="E2448" t="s">
        <v>15</v>
      </c>
      <c r="F2448" t="s">
        <v>37</v>
      </c>
      <c r="G2448">
        <v>5</v>
      </c>
      <c r="H2448">
        <v>12</v>
      </c>
      <c r="I2448" s="13">
        <v>45639</v>
      </c>
      <c r="J2448" s="13" t="str">
        <f>TEXT(Table1[[#This Row],[Date]],"[$-en-US]mmm yyyy")</f>
        <v>Dec 2024</v>
      </c>
      <c r="K2448" s="13" t="str">
        <f>TEXT(Table1[[#This Row],[Date]],"[$-en-US]ddd")</f>
        <v>Fri</v>
      </c>
    </row>
    <row r="2449" spans="1:11" x14ac:dyDescent="0.25">
      <c r="A2449">
        <v>19</v>
      </c>
      <c r="B2449" t="s">
        <v>9</v>
      </c>
      <c r="C2449">
        <v>35.76</v>
      </c>
      <c r="D2449" t="s">
        <v>27</v>
      </c>
      <c r="E2449" t="s">
        <v>18</v>
      </c>
      <c r="F2449" t="s">
        <v>37</v>
      </c>
      <c r="G2449">
        <v>5</v>
      </c>
      <c r="H2449">
        <v>12</v>
      </c>
      <c r="I2449" s="13">
        <v>45639</v>
      </c>
      <c r="J2449" s="13" t="str">
        <f>TEXT(Table1[[#This Row],[Date]],"[$-en-US]mmm yyyy")</f>
        <v>Dec 2024</v>
      </c>
      <c r="K2449" s="13" t="str">
        <f>TEXT(Table1[[#This Row],[Date]],"[$-en-US]ddd")</f>
        <v>Fri</v>
      </c>
    </row>
    <row r="2450" spans="1:11" x14ac:dyDescent="0.25">
      <c r="A2450">
        <v>19</v>
      </c>
      <c r="B2450" t="s">
        <v>9</v>
      </c>
      <c r="C2450">
        <v>35.76</v>
      </c>
      <c r="D2450" t="s">
        <v>27</v>
      </c>
      <c r="E2450" t="s">
        <v>18</v>
      </c>
      <c r="F2450" t="s">
        <v>37</v>
      </c>
      <c r="G2450">
        <v>5</v>
      </c>
      <c r="H2450">
        <v>12</v>
      </c>
      <c r="I2450" s="13">
        <v>45639</v>
      </c>
      <c r="J2450" s="13" t="str">
        <f>TEXT(Table1[[#This Row],[Date]],"[$-en-US]mmm yyyy")</f>
        <v>Dec 2024</v>
      </c>
      <c r="K2450" s="13" t="str">
        <f>TEXT(Table1[[#This Row],[Date]],"[$-en-US]ddd")</f>
        <v>Fri</v>
      </c>
    </row>
    <row r="2451" spans="1:11" x14ac:dyDescent="0.25">
      <c r="A2451">
        <v>21</v>
      </c>
      <c r="B2451" t="s">
        <v>9</v>
      </c>
      <c r="C2451">
        <v>35.76</v>
      </c>
      <c r="D2451" t="s">
        <v>10</v>
      </c>
      <c r="E2451" t="s">
        <v>18</v>
      </c>
      <c r="F2451" t="s">
        <v>37</v>
      </c>
      <c r="G2451">
        <v>5</v>
      </c>
      <c r="H2451">
        <v>12</v>
      </c>
      <c r="I2451" s="13">
        <v>45639</v>
      </c>
      <c r="J2451" s="13" t="str">
        <f>TEXT(Table1[[#This Row],[Date]],"[$-en-US]mmm yyyy")</f>
        <v>Dec 2024</v>
      </c>
      <c r="K2451" s="13" t="str">
        <f>TEXT(Table1[[#This Row],[Date]],"[$-en-US]ddd")</f>
        <v>Fri</v>
      </c>
    </row>
    <row r="2452" spans="1:11" x14ac:dyDescent="0.25">
      <c r="A2452">
        <v>8</v>
      </c>
      <c r="B2452" t="s">
        <v>9</v>
      </c>
      <c r="C2452">
        <v>30.86</v>
      </c>
      <c r="D2452" t="s">
        <v>17</v>
      </c>
      <c r="E2452" t="s">
        <v>11</v>
      </c>
      <c r="F2452" t="s">
        <v>37</v>
      </c>
      <c r="G2452">
        <v>6</v>
      </c>
      <c r="H2452">
        <v>12</v>
      </c>
      <c r="I2452" s="13">
        <v>45640</v>
      </c>
      <c r="J2452" s="13" t="str">
        <f>TEXT(Table1[[#This Row],[Date]],"[$-en-US]mmm yyyy")</f>
        <v>Dec 2024</v>
      </c>
      <c r="K2452" s="13" t="str">
        <f>TEXT(Table1[[#This Row],[Date]],"[$-en-US]ddd")</f>
        <v>Sat</v>
      </c>
    </row>
    <row r="2453" spans="1:11" x14ac:dyDescent="0.25">
      <c r="A2453">
        <v>9</v>
      </c>
      <c r="B2453" t="s">
        <v>9</v>
      </c>
      <c r="C2453">
        <v>35.76</v>
      </c>
      <c r="D2453" t="s">
        <v>19</v>
      </c>
      <c r="E2453" t="s">
        <v>11</v>
      </c>
      <c r="F2453" t="s">
        <v>37</v>
      </c>
      <c r="G2453">
        <v>6</v>
      </c>
      <c r="H2453">
        <v>12</v>
      </c>
      <c r="I2453" s="13">
        <v>45640</v>
      </c>
      <c r="J2453" s="13" t="str">
        <f>TEXT(Table1[[#This Row],[Date]],"[$-en-US]mmm yyyy")</f>
        <v>Dec 2024</v>
      </c>
      <c r="K2453" s="13" t="str">
        <f>TEXT(Table1[[#This Row],[Date]],"[$-en-US]ddd")</f>
        <v>Sat</v>
      </c>
    </row>
    <row r="2454" spans="1:11" x14ac:dyDescent="0.25">
      <c r="A2454">
        <v>11</v>
      </c>
      <c r="B2454" t="s">
        <v>9</v>
      </c>
      <c r="C2454">
        <v>35.76</v>
      </c>
      <c r="D2454" t="s">
        <v>27</v>
      </c>
      <c r="E2454" t="s">
        <v>11</v>
      </c>
      <c r="F2454" t="s">
        <v>37</v>
      </c>
      <c r="G2454">
        <v>6</v>
      </c>
      <c r="H2454">
        <v>12</v>
      </c>
      <c r="I2454" s="13">
        <v>45640</v>
      </c>
      <c r="J2454" s="13" t="str">
        <f>TEXT(Table1[[#This Row],[Date]],"[$-en-US]mmm yyyy")</f>
        <v>Dec 2024</v>
      </c>
      <c r="K2454" s="13" t="str">
        <f>TEXT(Table1[[#This Row],[Date]],"[$-en-US]ddd")</f>
        <v>Sat</v>
      </c>
    </row>
    <row r="2455" spans="1:11" x14ac:dyDescent="0.25">
      <c r="A2455">
        <v>13</v>
      </c>
      <c r="B2455" t="s">
        <v>9</v>
      </c>
      <c r="C2455">
        <v>25.96</v>
      </c>
      <c r="D2455" t="s">
        <v>16</v>
      </c>
      <c r="E2455" t="s">
        <v>15</v>
      </c>
      <c r="F2455" t="s">
        <v>37</v>
      </c>
      <c r="G2455">
        <v>6</v>
      </c>
      <c r="H2455">
        <v>12</v>
      </c>
      <c r="I2455" s="13">
        <v>45640</v>
      </c>
      <c r="J2455" s="13" t="str">
        <f>TEXT(Table1[[#This Row],[Date]],"[$-en-US]mmm yyyy")</f>
        <v>Dec 2024</v>
      </c>
      <c r="K2455" s="13" t="str">
        <f>TEXT(Table1[[#This Row],[Date]],"[$-en-US]ddd")</f>
        <v>Sat</v>
      </c>
    </row>
    <row r="2456" spans="1:11" x14ac:dyDescent="0.25">
      <c r="A2456">
        <v>13</v>
      </c>
      <c r="B2456" t="s">
        <v>9</v>
      </c>
      <c r="C2456">
        <v>35.76</v>
      </c>
      <c r="D2456" t="s">
        <v>10</v>
      </c>
      <c r="E2456" t="s">
        <v>15</v>
      </c>
      <c r="F2456" t="s">
        <v>37</v>
      </c>
      <c r="G2456">
        <v>6</v>
      </c>
      <c r="H2456">
        <v>12</v>
      </c>
      <c r="I2456" s="13">
        <v>45640</v>
      </c>
      <c r="J2456" s="13" t="str">
        <f>TEXT(Table1[[#This Row],[Date]],"[$-en-US]mmm yyyy")</f>
        <v>Dec 2024</v>
      </c>
      <c r="K2456" s="13" t="str">
        <f>TEXT(Table1[[#This Row],[Date]],"[$-en-US]ddd")</f>
        <v>Sat</v>
      </c>
    </row>
    <row r="2457" spans="1:11" x14ac:dyDescent="0.25">
      <c r="A2457">
        <v>16</v>
      </c>
      <c r="B2457" t="s">
        <v>9</v>
      </c>
      <c r="C2457">
        <v>35.76</v>
      </c>
      <c r="D2457" t="s">
        <v>19</v>
      </c>
      <c r="E2457" t="s">
        <v>15</v>
      </c>
      <c r="F2457" t="s">
        <v>37</v>
      </c>
      <c r="G2457">
        <v>6</v>
      </c>
      <c r="H2457">
        <v>12</v>
      </c>
      <c r="I2457" s="13">
        <v>45640</v>
      </c>
      <c r="J2457" s="13" t="str">
        <f>TEXT(Table1[[#This Row],[Date]],"[$-en-US]mmm yyyy")</f>
        <v>Dec 2024</v>
      </c>
      <c r="K2457" s="13" t="str">
        <f>TEXT(Table1[[#This Row],[Date]],"[$-en-US]ddd")</f>
        <v>Sat</v>
      </c>
    </row>
    <row r="2458" spans="1:11" x14ac:dyDescent="0.25">
      <c r="A2458">
        <v>16</v>
      </c>
      <c r="B2458" t="s">
        <v>9</v>
      </c>
      <c r="C2458">
        <v>25.96</v>
      </c>
      <c r="D2458" t="s">
        <v>16</v>
      </c>
      <c r="E2458" t="s">
        <v>15</v>
      </c>
      <c r="F2458" t="s">
        <v>37</v>
      </c>
      <c r="G2458">
        <v>6</v>
      </c>
      <c r="H2458">
        <v>12</v>
      </c>
      <c r="I2458" s="13">
        <v>45640</v>
      </c>
      <c r="J2458" s="13" t="str">
        <f>TEXT(Table1[[#This Row],[Date]],"[$-en-US]mmm yyyy")</f>
        <v>Dec 2024</v>
      </c>
      <c r="K2458" s="13" t="str">
        <f>TEXT(Table1[[#This Row],[Date]],"[$-en-US]ddd")</f>
        <v>Sat</v>
      </c>
    </row>
    <row r="2459" spans="1:11" x14ac:dyDescent="0.25">
      <c r="A2459">
        <v>16</v>
      </c>
      <c r="B2459" t="s">
        <v>9</v>
      </c>
      <c r="C2459">
        <v>25.96</v>
      </c>
      <c r="D2459" t="s">
        <v>16</v>
      </c>
      <c r="E2459" t="s">
        <v>15</v>
      </c>
      <c r="F2459" t="s">
        <v>37</v>
      </c>
      <c r="G2459">
        <v>6</v>
      </c>
      <c r="H2459">
        <v>12</v>
      </c>
      <c r="I2459" s="13">
        <v>45640</v>
      </c>
      <c r="J2459" s="13" t="str">
        <f>TEXT(Table1[[#This Row],[Date]],"[$-en-US]mmm yyyy")</f>
        <v>Dec 2024</v>
      </c>
      <c r="K2459" s="13" t="str">
        <f>TEXT(Table1[[#This Row],[Date]],"[$-en-US]ddd")</f>
        <v>Sat</v>
      </c>
    </row>
    <row r="2460" spans="1:11" x14ac:dyDescent="0.25">
      <c r="A2460">
        <v>17</v>
      </c>
      <c r="B2460" t="s">
        <v>9</v>
      </c>
      <c r="C2460">
        <v>25.96</v>
      </c>
      <c r="D2460" t="s">
        <v>16</v>
      </c>
      <c r="E2460" t="s">
        <v>18</v>
      </c>
      <c r="F2460" t="s">
        <v>37</v>
      </c>
      <c r="G2460">
        <v>6</v>
      </c>
      <c r="H2460">
        <v>12</v>
      </c>
      <c r="I2460" s="13">
        <v>45640</v>
      </c>
      <c r="J2460" s="13" t="str">
        <f>TEXT(Table1[[#This Row],[Date]],"[$-en-US]mmm yyyy")</f>
        <v>Dec 2024</v>
      </c>
      <c r="K2460" s="13" t="str">
        <f>TEXT(Table1[[#This Row],[Date]],"[$-en-US]ddd")</f>
        <v>Sat</v>
      </c>
    </row>
    <row r="2461" spans="1:11" x14ac:dyDescent="0.25">
      <c r="A2461">
        <v>17</v>
      </c>
      <c r="B2461" t="s">
        <v>9</v>
      </c>
      <c r="C2461">
        <v>25.96</v>
      </c>
      <c r="D2461" t="s">
        <v>16</v>
      </c>
      <c r="E2461" t="s">
        <v>18</v>
      </c>
      <c r="F2461" t="s">
        <v>37</v>
      </c>
      <c r="G2461">
        <v>6</v>
      </c>
      <c r="H2461">
        <v>12</v>
      </c>
      <c r="I2461" s="13">
        <v>45640</v>
      </c>
      <c r="J2461" s="13" t="str">
        <f>TEXT(Table1[[#This Row],[Date]],"[$-en-US]mmm yyyy")</f>
        <v>Dec 2024</v>
      </c>
      <c r="K2461" s="13" t="str">
        <f>TEXT(Table1[[#This Row],[Date]],"[$-en-US]ddd")</f>
        <v>Sat</v>
      </c>
    </row>
    <row r="2462" spans="1:11" x14ac:dyDescent="0.25">
      <c r="A2462">
        <v>18</v>
      </c>
      <c r="B2462" t="s">
        <v>9</v>
      </c>
      <c r="C2462">
        <v>30.86</v>
      </c>
      <c r="D2462" t="s">
        <v>17</v>
      </c>
      <c r="E2462" t="s">
        <v>18</v>
      </c>
      <c r="F2462" t="s">
        <v>37</v>
      </c>
      <c r="G2462">
        <v>6</v>
      </c>
      <c r="H2462">
        <v>12</v>
      </c>
      <c r="I2462" s="13">
        <v>45640</v>
      </c>
      <c r="J2462" s="13" t="str">
        <f>TEXT(Table1[[#This Row],[Date]],"[$-en-US]mmm yyyy")</f>
        <v>Dec 2024</v>
      </c>
      <c r="K2462" s="13" t="str">
        <f>TEXT(Table1[[#This Row],[Date]],"[$-en-US]ddd")</f>
        <v>Sat</v>
      </c>
    </row>
    <row r="2463" spans="1:11" x14ac:dyDescent="0.25">
      <c r="A2463">
        <v>11</v>
      </c>
      <c r="B2463" t="s">
        <v>9</v>
      </c>
      <c r="C2463">
        <v>35.76</v>
      </c>
      <c r="D2463" t="s">
        <v>10</v>
      </c>
      <c r="E2463" t="s">
        <v>11</v>
      </c>
      <c r="F2463" t="s">
        <v>37</v>
      </c>
      <c r="G2463">
        <v>7</v>
      </c>
      <c r="H2463">
        <v>12</v>
      </c>
      <c r="I2463" s="13">
        <v>45641</v>
      </c>
      <c r="J2463" s="13" t="str">
        <f>TEXT(Table1[[#This Row],[Date]],"[$-en-US]mmm yyyy")</f>
        <v>Dec 2024</v>
      </c>
      <c r="K2463" s="13" t="str">
        <f>TEXT(Table1[[#This Row],[Date]],"[$-en-US]ddd")</f>
        <v>Sun</v>
      </c>
    </row>
    <row r="2464" spans="1:11" x14ac:dyDescent="0.25">
      <c r="A2464">
        <v>11</v>
      </c>
      <c r="B2464" t="s">
        <v>9</v>
      </c>
      <c r="C2464">
        <v>35.76</v>
      </c>
      <c r="D2464" t="s">
        <v>19</v>
      </c>
      <c r="E2464" t="s">
        <v>11</v>
      </c>
      <c r="F2464" t="s">
        <v>37</v>
      </c>
      <c r="G2464">
        <v>7</v>
      </c>
      <c r="H2464">
        <v>12</v>
      </c>
      <c r="I2464" s="13">
        <v>45641</v>
      </c>
      <c r="J2464" s="13" t="str">
        <f>TEXT(Table1[[#This Row],[Date]],"[$-en-US]mmm yyyy")</f>
        <v>Dec 2024</v>
      </c>
      <c r="K2464" s="13" t="str">
        <f>TEXT(Table1[[#This Row],[Date]],"[$-en-US]ddd")</f>
        <v>Sun</v>
      </c>
    </row>
    <row r="2465" spans="1:11" x14ac:dyDescent="0.25">
      <c r="A2465">
        <v>17</v>
      </c>
      <c r="B2465" t="s">
        <v>9</v>
      </c>
      <c r="C2465">
        <v>35.76</v>
      </c>
      <c r="D2465" t="s">
        <v>14</v>
      </c>
      <c r="E2465" t="s">
        <v>18</v>
      </c>
      <c r="F2465" t="s">
        <v>37</v>
      </c>
      <c r="G2465">
        <v>7</v>
      </c>
      <c r="H2465">
        <v>12</v>
      </c>
      <c r="I2465" s="13">
        <v>45641</v>
      </c>
      <c r="J2465" s="13" t="str">
        <f>TEXT(Table1[[#This Row],[Date]],"[$-en-US]mmm yyyy")</f>
        <v>Dec 2024</v>
      </c>
      <c r="K2465" s="13" t="str">
        <f>TEXT(Table1[[#This Row],[Date]],"[$-en-US]ddd")</f>
        <v>Sun</v>
      </c>
    </row>
    <row r="2466" spans="1:11" x14ac:dyDescent="0.25">
      <c r="A2466">
        <v>7</v>
      </c>
      <c r="B2466" t="s">
        <v>9</v>
      </c>
      <c r="C2466">
        <v>35.76</v>
      </c>
      <c r="D2466" t="s">
        <v>10</v>
      </c>
      <c r="E2466" t="s">
        <v>11</v>
      </c>
      <c r="F2466" t="s">
        <v>37</v>
      </c>
      <c r="G2466">
        <v>1</v>
      </c>
      <c r="H2466">
        <v>12</v>
      </c>
      <c r="I2466" s="13">
        <v>45642</v>
      </c>
      <c r="J2466" s="13" t="str">
        <f>TEXT(Table1[[#This Row],[Date]],"[$-en-US]mmm yyyy")</f>
        <v>Dec 2024</v>
      </c>
      <c r="K2466" s="13" t="str">
        <f>TEXT(Table1[[#This Row],[Date]],"[$-en-US]ddd")</f>
        <v>Mon</v>
      </c>
    </row>
    <row r="2467" spans="1:11" x14ac:dyDescent="0.25">
      <c r="A2467">
        <v>8</v>
      </c>
      <c r="B2467" t="s">
        <v>9</v>
      </c>
      <c r="C2467">
        <v>35.76</v>
      </c>
      <c r="D2467" t="s">
        <v>14</v>
      </c>
      <c r="E2467" t="s">
        <v>11</v>
      </c>
      <c r="F2467" t="s">
        <v>37</v>
      </c>
      <c r="G2467">
        <v>1</v>
      </c>
      <c r="H2467">
        <v>12</v>
      </c>
      <c r="I2467" s="13">
        <v>45642</v>
      </c>
      <c r="J2467" s="13" t="str">
        <f>TEXT(Table1[[#This Row],[Date]],"[$-en-US]mmm yyyy")</f>
        <v>Dec 2024</v>
      </c>
      <c r="K2467" s="13" t="str">
        <f>TEXT(Table1[[#This Row],[Date]],"[$-en-US]ddd")</f>
        <v>Mon</v>
      </c>
    </row>
    <row r="2468" spans="1:11" x14ac:dyDescent="0.25">
      <c r="A2468">
        <v>8</v>
      </c>
      <c r="B2468" t="s">
        <v>9</v>
      </c>
      <c r="C2468">
        <v>35.76</v>
      </c>
      <c r="D2468" t="s">
        <v>19</v>
      </c>
      <c r="E2468" t="s">
        <v>11</v>
      </c>
      <c r="F2468" t="s">
        <v>37</v>
      </c>
      <c r="G2468">
        <v>1</v>
      </c>
      <c r="H2468">
        <v>12</v>
      </c>
      <c r="I2468" s="13">
        <v>45642</v>
      </c>
      <c r="J2468" s="13" t="str">
        <f>TEXT(Table1[[#This Row],[Date]],"[$-en-US]mmm yyyy")</f>
        <v>Dec 2024</v>
      </c>
      <c r="K2468" s="13" t="str">
        <f>TEXT(Table1[[#This Row],[Date]],"[$-en-US]ddd")</f>
        <v>Mon</v>
      </c>
    </row>
    <row r="2469" spans="1:11" x14ac:dyDescent="0.25">
      <c r="A2469">
        <v>12</v>
      </c>
      <c r="B2469" t="s">
        <v>9</v>
      </c>
      <c r="C2469">
        <v>30.86</v>
      </c>
      <c r="D2469" t="s">
        <v>17</v>
      </c>
      <c r="E2469" t="s">
        <v>15</v>
      </c>
      <c r="F2469" t="s">
        <v>37</v>
      </c>
      <c r="G2469">
        <v>1</v>
      </c>
      <c r="H2469">
        <v>12</v>
      </c>
      <c r="I2469" s="13">
        <v>45642</v>
      </c>
      <c r="J2469" s="13" t="str">
        <f>TEXT(Table1[[#This Row],[Date]],"[$-en-US]mmm yyyy")</f>
        <v>Dec 2024</v>
      </c>
      <c r="K2469" s="13" t="str">
        <f>TEXT(Table1[[#This Row],[Date]],"[$-en-US]ddd")</f>
        <v>Mon</v>
      </c>
    </row>
    <row r="2470" spans="1:11" x14ac:dyDescent="0.25">
      <c r="A2470">
        <v>13</v>
      </c>
      <c r="B2470" t="s">
        <v>9</v>
      </c>
      <c r="C2470">
        <v>35.76</v>
      </c>
      <c r="D2470" t="s">
        <v>10</v>
      </c>
      <c r="E2470" t="s">
        <v>15</v>
      </c>
      <c r="F2470" t="s">
        <v>37</v>
      </c>
      <c r="G2470">
        <v>1</v>
      </c>
      <c r="H2470">
        <v>12</v>
      </c>
      <c r="I2470" s="13">
        <v>45642</v>
      </c>
      <c r="J2470" s="13" t="str">
        <f>TEXT(Table1[[#This Row],[Date]],"[$-en-US]mmm yyyy")</f>
        <v>Dec 2024</v>
      </c>
      <c r="K2470" s="13" t="str">
        <f>TEXT(Table1[[#This Row],[Date]],"[$-en-US]ddd")</f>
        <v>Mon</v>
      </c>
    </row>
    <row r="2471" spans="1:11" x14ac:dyDescent="0.25">
      <c r="A2471">
        <v>14</v>
      </c>
      <c r="B2471" t="s">
        <v>9</v>
      </c>
      <c r="C2471">
        <v>35.76</v>
      </c>
      <c r="D2471" t="s">
        <v>14</v>
      </c>
      <c r="E2471" t="s">
        <v>15</v>
      </c>
      <c r="F2471" t="s">
        <v>37</v>
      </c>
      <c r="G2471">
        <v>1</v>
      </c>
      <c r="H2471">
        <v>12</v>
      </c>
      <c r="I2471" s="13">
        <v>45642</v>
      </c>
      <c r="J2471" s="13" t="str">
        <f>TEXT(Table1[[#This Row],[Date]],"[$-en-US]mmm yyyy")</f>
        <v>Dec 2024</v>
      </c>
      <c r="K2471" s="13" t="str">
        <f>TEXT(Table1[[#This Row],[Date]],"[$-en-US]ddd")</f>
        <v>Mon</v>
      </c>
    </row>
    <row r="2472" spans="1:11" x14ac:dyDescent="0.25">
      <c r="A2472">
        <v>18</v>
      </c>
      <c r="B2472" t="s">
        <v>9</v>
      </c>
      <c r="C2472">
        <v>35.76</v>
      </c>
      <c r="D2472" t="s">
        <v>10</v>
      </c>
      <c r="E2472" t="s">
        <v>18</v>
      </c>
      <c r="F2472" t="s">
        <v>37</v>
      </c>
      <c r="G2472">
        <v>1</v>
      </c>
      <c r="H2472">
        <v>12</v>
      </c>
      <c r="I2472" s="13">
        <v>45642</v>
      </c>
      <c r="J2472" s="13" t="str">
        <f>TEXT(Table1[[#This Row],[Date]],"[$-en-US]mmm yyyy")</f>
        <v>Dec 2024</v>
      </c>
      <c r="K2472" s="13" t="str">
        <f>TEXT(Table1[[#This Row],[Date]],"[$-en-US]ddd")</f>
        <v>Mon</v>
      </c>
    </row>
    <row r="2473" spans="1:11" x14ac:dyDescent="0.25">
      <c r="A2473">
        <v>18</v>
      </c>
      <c r="B2473" t="s">
        <v>9</v>
      </c>
      <c r="C2473">
        <v>30.86</v>
      </c>
      <c r="D2473" t="s">
        <v>17</v>
      </c>
      <c r="E2473" t="s">
        <v>18</v>
      </c>
      <c r="F2473" t="s">
        <v>37</v>
      </c>
      <c r="G2473">
        <v>1</v>
      </c>
      <c r="H2473">
        <v>12</v>
      </c>
      <c r="I2473" s="13">
        <v>45642</v>
      </c>
      <c r="J2473" s="13" t="str">
        <f>TEXT(Table1[[#This Row],[Date]],"[$-en-US]mmm yyyy")</f>
        <v>Dec 2024</v>
      </c>
      <c r="K2473" s="13" t="str">
        <f>TEXT(Table1[[#This Row],[Date]],"[$-en-US]ddd")</f>
        <v>Mon</v>
      </c>
    </row>
    <row r="2474" spans="1:11" x14ac:dyDescent="0.25">
      <c r="A2474">
        <v>8</v>
      </c>
      <c r="B2474" t="s">
        <v>9</v>
      </c>
      <c r="C2474">
        <v>25.96</v>
      </c>
      <c r="D2474" t="s">
        <v>22</v>
      </c>
      <c r="E2474" t="s">
        <v>11</v>
      </c>
      <c r="F2474" t="s">
        <v>37</v>
      </c>
      <c r="G2474">
        <v>2</v>
      </c>
      <c r="H2474">
        <v>12</v>
      </c>
      <c r="I2474" s="13">
        <v>45643</v>
      </c>
      <c r="J2474" s="13" t="str">
        <f>TEXT(Table1[[#This Row],[Date]],"[$-en-US]mmm yyyy")</f>
        <v>Dec 2024</v>
      </c>
      <c r="K2474" s="13" t="str">
        <f>TEXT(Table1[[#This Row],[Date]],"[$-en-US]ddd")</f>
        <v>Tue</v>
      </c>
    </row>
    <row r="2475" spans="1:11" x14ac:dyDescent="0.25">
      <c r="A2475">
        <v>8</v>
      </c>
      <c r="B2475" t="s">
        <v>9</v>
      </c>
      <c r="C2475">
        <v>35.76</v>
      </c>
      <c r="D2475" t="s">
        <v>27</v>
      </c>
      <c r="E2475" t="s">
        <v>11</v>
      </c>
      <c r="F2475" t="s">
        <v>37</v>
      </c>
      <c r="G2475">
        <v>2</v>
      </c>
      <c r="H2475">
        <v>12</v>
      </c>
      <c r="I2475" s="13">
        <v>45643</v>
      </c>
      <c r="J2475" s="13" t="str">
        <f>TEXT(Table1[[#This Row],[Date]],"[$-en-US]mmm yyyy")</f>
        <v>Dec 2024</v>
      </c>
      <c r="K2475" s="13" t="str">
        <f>TEXT(Table1[[#This Row],[Date]],"[$-en-US]ddd")</f>
        <v>Tue</v>
      </c>
    </row>
    <row r="2476" spans="1:11" x14ac:dyDescent="0.25">
      <c r="A2476">
        <v>10</v>
      </c>
      <c r="B2476" t="s">
        <v>9</v>
      </c>
      <c r="C2476">
        <v>30.86</v>
      </c>
      <c r="D2476" t="s">
        <v>17</v>
      </c>
      <c r="E2476" t="s">
        <v>11</v>
      </c>
      <c r="F2476" t="s">
        <v>37</v>
      </c>
      <c r="G2476">
        <v>2</v>
      </c>
      <c r="H2476">
        <v>12</v>
      </c>
      <c r="I2476" s="13">
        <v>45643</v>
      </c>
      <c r="J2476" s="13" t="str">
        <f>TEXT(Table1[[#This Row],[Date]],"[$-en-US]mmm yyyy")</f>
        <v>Dec 2024</v>
      </c>
      <c r="K2476" s="13" t="str">
        <f>TEXT(Table1[[#This Row],[Date]],"[$-en-US]ddd")</f>
        <v>Tue</v>
      </c>
    </row>
    <row r="2477" spans="1:11" x14ac:dyDescent="0.25">
      <c r="A2477">
        <v>16</v>
      </c>
      <c r="B2477" t="s">
        <v>9</v>
      </c>
      <c r="C2477">
        <v>25.96</v>
      </c>
      <c r="D2477" t="s">
        <v>16</v>
      </c>
      <c r="E2477" t="s">
        <v>15</v>
      </c>
      <c r="F2477" t="s">
        <v>37</v>
      </c>
      <c r="G2477">
        <v>2</v>
      </c>
      <c r="H2477">
        <v>12</v>
      </c>
      <c r="I2477" s="13">
        <v>45643</v>
      </c>
      <c r="J2477" s="13" t="str">
        <f>TEXT(Table1[[#This Row],[Date]],"[$-en-US]mmm yyyy")</f>
        <v>Dec 2024</v>
      </c>
      <c r="K2477" s="13" t="str">
        <f>TEXT(Table1[[#This Row],[Date]],"[$-en-US]ddd")</f>
        <v>Tue</v>
      </c>
    </row>
    <row r="2478" spans="1:11" x14ac:dyDescent="0.25">
      <c r="A2478">
        <v>16</v>
      </c>
      <c r="B2478" t="s">
        <v>9</v>
      </c>
      <c r="C2478">
        <v>35.76</v>
      </c>
      <c r="D2478" t="s">
        <v>19</v>
      </c>
      <c r="E2478" t="s">
        <v>15</v>
      </c>
      <c r="F2478" t="s">
        <v>37</v>
      </c>
      <c r="G2478">
        <v>2</v>
      </c>
      <c r="H2478">
        <v>12</v>
      </c>
      <c r="I2478" s="13">
        <v>45643</v>
      </c>
      <c r="J2478" s="13" t="str">
        <f>TEXT(Table1[[#This Row],[Date]],"[$-en-US]mmm yyyy")</f>
        <v>Dec 2024</v>
      </c>
      <c r="K2478" s="13" t="str">
        <f>TEXT(Table1[[#This Row],[Date]],"[$-en-US]ddd")</f>
        <v>Tue</v>
      </c>
    </row>
    <row r="2479" spans="1:11" x14ac:dyDescent="0.25">
      <c r="A2479">
        <v>17</v>
      </c>
      <c r="B2479" t="s">
        <v>9</v>
      </c>
      <c r="C2479">
        <v>35.76</v>
      </c>
      <c r="D2479" t="s">
        <v>27</v>
      </c>
      <c r="E2479" t="s">
        <v>18</v>
      </c>
      <c r="F2479" t="s">
        <v>37</v>
      </c>
      <c r="G2479">
        <v>2</v>
      </c>
      <c r="H2479">
        <v>12</v>
      </c>
      <c r="I2479" s="13">
        <v>45643</v>
      </c>
      <c r="J2479" s="13" t="str">
        <f>TEXT(Table1[[#This Row],[Date]],"[$-en-US]mmm yyyy")</f>
        <v>Dec 2024</v>
      </c>
      <c r="K2479" s="13" t="str">
        <f>TEXT(Table1[[#This Row],[Date]],"[$-en-US]ddd")</f>
        <v>Tue</v>
      </c>
    </row>
    <row r="2480" spans="1:11" x14ac:dyDescent="0.25">
      <c r="A2480">
        <v>18</v>
      </c>
      <c r="B2480" t="s">
        <v>9</v>
      </c>
      <c r="C2480">
        <v>35.76</v>
      </c>
      <c r="D2480" t="s">
        <v>19</v>
      </c>
      <c r="E2480" t="s">
        <v>18</v>
      </c>
      <c r="F2480" t="s">
        <v>37</v>
      </c>
      <c r="G2480">
        <v>2</v>
      </c>
      <c r="H2480">
        <v>12</v>
      </c>
      <c r="I2480" s="13">
        <v>45643</v>
      </c>
      <c r="J2480" s="13" t="str">
        <f>TEXT(Table1[[#This Row],[Date]],"[$-en-US]mmm yyyy")</f>
        <v>Dec 2024</v>
      </c>
      <c r="K2480" s="13" t="str">
        <f>TEXT(Table1[[#This Row],[Date]],"[$-en-US]ddd")</f>
        <v>Tue</v>
      </c>
    </row>
    <row r="2481" spans="1:11" x14ac:dyDescent="0.25">
      <c r="A2481">
        <v>9</v>
      </c>
      <c r="B2481" t="s">
        <v>9</v>
      </c>
      <c r="C2481">
        <v>35.76</v>
      </c>
      <c r="D2481" t="s">
        <v>10</v>
      </c>
      <c r="E2481" t="s">
        <v>11</v>
      </c>
      <c r="F2481" t="s">
        <v>37</v>
      </c>
      <c r="G2481">
        <v>3</v>
      </c>
      <c r="H2481">
        <v>12</v>
      </c>
      <c r="I2481" s="13">
        <v>45644</v>
      </c>
      <c r="J2481" s="13" t="str">
        <f>TEXT(Table1[[#This Row],[Date]],"[$-en-US]mmm yyyy")</f>
        <v>Dec 2024</v>
      </c>
      <c r="K2481" s="13" t="str">
        <f>TEXT(Table1[[#This Row],[Date]],"[$-en-US]ddd")</f>
        <v>Wed</v>
      </c>
    </row>
    <row r="2482" spans="1:11" x14ac:dyDescent="0.25">
      <c r="A2482">
        <v>10</v>
      </c>
      <c r="B2482" t="s">
        <v>9</v>
      </c>
      <c r="C2482">
        <v>30.86</v>
      </c>
      <c r="D2482" t="s">
        <v>17</v>
      </c>
      <c r="E2482" t="s">
        <v>11</v>
      </c>
      <c r="F2482" t="s">
        <v>37</v>
      </c>
      <c r="G2482">
        <v>3</v>
      </c>
      <c r="H2482">
        <v>12</v>
      </c>
      <c r="I2482" s="13">
        <v>45644</v>
      </c>
      <c r="J2482" s="13" t="str">
        <f>TEXT(Table1[[#This Row],[Date]],"[$-en-US]mmm yyyy")</f>
        <v>Dec 2024</v>
      </c>
      <c r="K2482" s="13" t="str">
        <f>TEXT(Table1[[#This Row],[Date]],"[$-en-US]ddd")</f>
        <v>Wed</v>
      </c>
    </row>
    <row r="2483" spans="1:11" x14ac:dyDescent="0.25">
      <c r="A2483">
        <v>10</v>
      </c>
      <c r="B2483" t="s">
        <v>9</v>
      </c>
      <c r="C2483">
        <v>35.76</v>
      </c>
      <c r="D2483" t="s">
        <v>10</v>
      </c>
      <c r="E2483" t="s">
        <v>11</v>
      </c>
      <c r="F2483" t="s">
        <v>37</v>
      </c>
      <c r="G2483">
        <v>3</v>
      </c>
      <c r="H2483">
        <v>12</v>
      </c>
      <c r="I2483" s="13">
        <v>45644</v>
      </c>
      <c r="J2483" s="13" t="str">
        <f>TEXT(Table1[[#This Row],[Date]],"[$-en-US]mmm yyyy")</f>
        <v>Dec 2024</v>
      </c>
      <c r="K2483" s="13" t="str">
        <f>TEXT(Table1[[#This Row],[Date]],"[$-en-US]ddd")</f>
        <v>Wed</v>
      </c>
    </row>
    <row r="2484" spans="1:11" x14ac:dyDescent="0.25">
      <c r="A2484">
        <v>10</v>
      </c>
      <c r="B2484" t="s">
        <v>9</v>
      </c>
      <c r="C2484">
        <v>35.76</v>
      </c>
      <c r="D2484" t="s">
        <v>27</v>
      </c>
      <c r="E2484" t="s">
        <v>11</v>
      </c>
      <c r="F2484" t="s">
        <v>37</v>
      </c>
      <c r="G2484">
        <v>3</v>
      </c>
      <c r="H2484">
        <v>12</v>
      </c>
      <c r="I2484" s="13">
        <v>45644</v>
      </c>
      <c r="J2484" s="13" t="str">
        <f>TEXT(Table1[[#This Row],[Date]],"[$-en-US]mmm yyyy")</f>
        <v>Dec 2024</v>
      </c>
      <c r="K2484" s="13" t="str">
        <f>TEXT(Table1[[#This Row],[Date]],"[$-en-US]ddd")</f>
        <v>Wed</v>
      </c>
    </row>
    <row r="2485" spans="1:11" x14ac:dyDescent="0.25">
      <c r="A2485">
        <v>10</v>
      </c>
      <c r="B2485" t="s">
        <v>9</v>
      </c>
      <c r="C2485">
        <v>35.76</v>
      </c>
      <c r="D2485" t="s">
        <v>14</v>
      </c>
      <c r="E2485" t="s">
        <v>11</v>
      </c>
      <c r="F2485" t="s">
        <v>37</v>
      </c>
      <c r="G2485">
        <v>4</v>
      </c>
      <c r="H2485">
        <v>12</v>
      </c>
      <c r="I2485" s="13">
        <v>45645</v>
      </c>
      <c r="J2485" s="13" t="str">
        <f>TEXT(Table1[[#This Row],[Date]],"[$-en-US]mmm yyyy")</f>
        <v>Dec 2024</v>
      </c>
      <c r="K2485" s="13" t="str">
        <f>TEXT(Table1[[#This Row],[Date]],"[$-en-US]ddd")</f>
        <v>Thu</v>
      </c>
    </row>
    <row r="2486" spans="1:11" x14ac:dyDescent="0.25">
      <c r="A2486">
        <v>11</v>
      </c>
      <c r="B2486" t="s">
        <v>9</v>
      </c>
      <c r="C2486">
        <v>30.86</v>
      </c>
      <c r="D2486" t="s">
        <v>17</v>
      </c>
      <c r="E2486" t="s">
        <v>11</v>
      </c>
      <c r="F2486" t="s">
        <v>37</v>
      </c>
      <c r="G2486">
        <v>4</v>
      </c>
      <c r="H2486">
        <v>12</v>
      </c>
      <c r="I2486" s="13">
        <v>45645</v>
      </c>
      <c r="J2486" s="13" t="str">
        <f>TEXT(Table1[[#This Row],[Date]],"[$-en-US]mmm yyyy")</f>
        <v>Dec 2024</v>
      </c>
      <c r="K2486" s="13" t="str">
        <f>TEXT(Table1[[#This Row],[Date]],"[$-en-US]ddd")</f>
        <v>Thu</v>
      </c>
    </row>
    <row r="2487" spans="1:11" x14ac:dyDescent="0.25">
      <c r="A2487">
        <v>12</v>
      </c>
      <c r="B2487" t="s">
        <v>9</v>
      </c>
      <c r="C2487">
        <v>21.06</v>
      </c>
      <c r="D2487" t="s">
        <v>24</v>
      </c>
      <c r="E2487" t="s">
        <v>15</v>
      </c>
      <c r="F2487" t="s">
        <v>37</v>
      </c>
      <c r="G2487">
        <v>4</v>
      </c>
      <c r="H2487">
        <v>12</v>
      </c>
      <c r="I2487" s="13">
        <v>45645</v>
      </c>
      <c r="J2487" s="13" t="str">
        <f>TEXT(Table1[[#This Row],[Date]],"[$-en-US]mmm yyyy")</f>
        <v>Dec 2024</v>
      </c>
      <c r="K2487" s="13" t="str">
        <f>TEXT(Table1[[#This Row],[Date]],"[$-en-US]ddd")</f>
        <v>Thu</v>
      </c>
    </row>
    <row r="2488" spans="1:11" x14ac:dyDescent="0.25">
      <c r="A2488">
        <v>13</v>
      </c>
      <c r="B2488" t="s">
        <v>9</v>
      </c>
      <c r="C2488">
        <v>35.76</v>
      </c>
      <c r="D2488" t="s">
        <v>14</v>
      </c>
      <c r="E2488" t="s">
        <v>15</v>
      </c>
      <c r="F2488" t="s">
        <v>37</v>
      </c>
      <c r="G2488">
        <v>4</v>
      </c>
      <c r="H2488">
        <v>12</v>
      </c>
      <c r="I2488" s="13">
        <v>45645</v>
      </c>
      <c r="J2488" s="13" t="str">
        <f>TEXT(Table1[[#This Row],[Date]],"[$-en-US]mmm yyyy")</f>
        <v>Dec 2024</v>
      </c>
      <c r="K2488" s="13" t="str">
        <f>TEXT(Table1[[#This Row],[Date]],"[$-en-US]ddd")</f>
        <v>Thu</v>
      </c>
    </row>
    <row r="2489" spans="1:11" x14ac:dyDescent="0.25">
      <c r="A2489">
        <v>19</v>
      </c>
      <c r="B2489" t="s">
        <v>9</v>
      </c>
      <c r="C2489">
        <v>35.76</v>
      </c>
      <c r="D2489" t="s">
        <v>27</v>
      </c>
      <c r="E2489" t="s">
        <v>18</v>
      </c>
      <c r="F2489" t="s">
        <v>37</v>
      </c>
      <c r="G2489">
        <v>4</v>
      </c>
      <c r="H2489">
        <v>12</v>
      </c>
      <c r="I2489" s="13">
        <v>45645</v>
      </c>
      <c r="J2489" s="13" t="str">
        <f>TEXT(Table1[[#This Row],[Date]],"[$-en-US]mmm yyyy")</f>
        <v>Dec 2024</v>
      </c>
      <c r="K2489" s="13" t="str">
        <f>TEXT(Table1[[#This Row],[Date]],"[$-en-US]ddd")</f>
        <v>Thu</v>
      </c>
    </row>
    <row r="2490" spans="1:11" x14ac:dyDescent="0.25">
      <c r="A2490">
        <v>19</v>
      </c>
      <c r="B2490" t="s">
        <v>9</v>
      </c>
      <c r="C2490">
        <v>35.76</v>
      </c>
      <c r="D2490" t="s">
        <v>27</v>
      </c>
      <c r="E2490" t="s">
        <v>18</v>
      </c>
      <c r="F2490" t="s">
        <v>37</v>
      </c>
      <c r="G2490">
        <v>4</v>
      </c>
      <c r="H2490">
        <v>12</v>
      </c>
      <c r="I2490" s="13">
        <v>45645</v>
      </c>
      <c r="J2490" s="13" t="str">
        <f>TEXT(Table1[[#This Row],[Date]],"[$-en-US]mmm yyyy")</f>
        <v>Dec 2024</v>
      </c>
      <c r="K2490" s="13" t="str">
        <f>TEXT(Table1[[#This Row],[Date]],"[$-en-US]ddd")</f>
        <v>Thu</v>
      </c>
    </row>
    <row r="2491" spans="1:11" x14ac:dyDescent="0.25">
      <c r="A2491">
        <v>19</v>
      </c>
      <c r="B2491" t="s">
        <v>9</v>
      </c>
      <c r="C2491">
        <v>30.86</v>
      </c>
      <c r="D2491" t="s">
        <v>17</v>
      </c>
      <c r="E2491" t="s">
        <v>18</v>
      </c>
      <c r="F2491" t="s">
        <v>37</v>
      </c>
      <c r="G2491">
        <v>4</v>
      </c>
      <c r="H2491">
        <v>12</v>
      </c>
      <c r="I2491" s="13">
        <v>45645</v>
      </c>
      <c r="J2491" s="13" t="str">
        <f>TEXT(Table1[[#This Row],[Date]],"[$-en-US]mmm yyyy")</f>
        <v>Dec 2024</v>
      </c>
      <c r="K2491" s="13" t="str">
        <f>TEXT(Table1[[#This Row],[Date]],"[$-en-US]ddd")</f>
        <v>Thu</v>
      </c>
    </row>
    <row r="2492" spans="1:11" x14ac:dyDescent="0.25">
      <c r="A2492">
        <v>19</v>
      </c>
      <c r="B2492" t="s">
        <v>9</v>
      </c>
      <c r="C2492">
        <v>35.76</v>
      </c>
      <c r="D2492" t="s">
        <v>14</v>
      </c>
      <c r="E2492" t="s">
        <v>18</v>
      </c>
      <c r="F2492" t="s">
        <v>37</v>
      </c>
      <c r="G2492">
        <v>4</v>
      </c>
      <c r="H2492">
        <v>12</v>
      </c>
      <c r="I2492" s="13">
        <v>45645</v>
      </c>
      <c r="J2492" s="13" t="str">
        <f>TEXT(Table1[[#This Row],[Date]],"[$-en-US]mmm yyyy")</f>
        <v>Dec 2024</v>
      </c>
      <c r="K2492" s="13" t="str">
        <f>TEXT(Table1[[#This Row],[Date]],"[$-en-US]ddd")</f>
        <v>Thu</v>
      </c>
    </row>
    <row r="2493" spans="1:11" x14ac:dyDescent="0.25">
      <c r="A2493">
        <v>21</v>
      </c>
      <c r="B2493" t="s">
        <v>9</v>
      </c>
      <c r="C2493">
        <v>35.76</v>
      </c>
      <c r="D2493" t="s">
        <v>10</v>
      </c>
      <c r="E2493" t="s">
        <v>18</v>
      </c>
      <c r="F2493" t="s">
        <v>37</v>
      </c>
      <c r="G2493">
        <v>4</v>
      </c>
      <c r="H2493">
        <v>12</v>
      </c>
      <c r="I2493" s="13">
        <v>45645</v>
      </c>
      <c r="J2493" s="13" t="str">
        <f>TEXT(Table1[[#This Row],[Date]],"[$-en-US]mmm yyyy")</f>
        <v>Dec 2024</v>
      </c>
      <c r="K2493" s="13" t="str">
        <f>TEXT(Table1[[#This Row],[Date]],"[$-en-US]ddd")</f>
        <v>Thu</v>
      </c>
    </row>
    <row r="2494" spans="1:11" x14ac:dyDescent="0.25">
      <c r="A2494">
        <v>21</v>
      </c>
      <c r="B2494" t="s">
        <v>9</v>
      </c>
      <c r="C2494">
        <v>35.76</v>
      </c>
      <c r="D2494" t="s">
        <v>27</v>
      </c>
      <c r="E2494" t="s">
        <v>18</v>
      </c>
      <c r="F2494" t="s">
        <v>37</v>
      </c>
      <c r="G2494">
        <v>4</v>
      </c>
      <c r="H2494">
        <v>12</v>
      </c>
      <c r="I2494" s="13">
        <v>45645</v>
      </c>
      <c r="J2494" s="13" t="str">
        <f>TEXT(Table1[[#This Row],[Date]],"[$-en-US]mmm yyyy")</f>
        <v>Dec 2024</v>
      </c>
      <c r="K2494" s="13" t="str">
        <f>TEXT(Table1[[#This Row],[Date]],"[$-en-US]ddd")</f>
        <v>Thu</v>
      </c>
    </row>
    <row r="2495" spans="1:11" x14ac:dyDescent="0.25">
      <c r="A2495">
        <v>8</v>
      </c>
      <c r="B2495" t="s">
        <v>9</v>
      </c>
      <c r="C2495">
        <v>25.96</v>
      </c>
      <c r="D2495" t="s">
        <v>22</v>
      </c>
      <c r="E2495" t="s">
        <v>11</v>
      </c>
      <c r="F2495" t="s">
        <v>37</v>
      </c>
      <c r="G2495">
        <v>5</v>
      </c>
      <c r="H2495">
        <v>12</v>
      </c>
      <c r="I2495" s="13">
        <v>45646</v>
      </c>
      <c r="J2495" s="13" t="str">
        <f>TEXT(Table1[[#This Row],[Date]],"[$-en-US]mmm yyyy")</f>
        <v>Dec 2024</v>
      </c>
      <c r="K2495" s="13" t="str">
        <f>TEXT(Table1[[#This Row],[Date]],"[$-en-US]ddd")</f>
        <v>Fri</v>
      </c>
    </row>
    <row r="2496" spans="1:11" x14ac:dyDescent="0.25">
      <c r="A2496">
        <v>9</v>
      </c>
      <c r="B2496" t="s">
        <v>9</v>
      </c>
      <c r="C2496">
        <v>30.86</v>
      </c>
      <c r="D2496" t="s">
        <v>17</v>
      </c>
      <c r="E2496" t="s">
        <v>11</v>
      </c>
      <c r="F2496" t="s">
        <v>37</v>
      </c>
      <c r="G2496">
        <v>5</v>
      </c>
      <c r="H2496">
        <v>12</v>
      </c>
      <c r="I2496" s="13">
        <v>45646</v>
      </c>
      <c r="J2496" s="13" t="str">
        <f>TEXT(Table1[[#This Row],[Date]],"[$-en-US]mmm yyyy")</f>
        <v>Dec 2024</v>
      </c>
      <c r="K2496" s="13" t="str">
        <f>TEXT(Table1[[#This Row],[Date]],"[$-en-US]ddd")</f>
        <v>Fri</v>
      </c>
    </row>
    <row r="2497" spans="1:11" x14ac:dyDescent="0.25">
      <c r="A2497">
        <v>10</v>
      </c>
      <c r="B2497" t="s">
        <v>9</v>
      </c>
      <c r="C2497">
        <v>35.76</v>
      </c>
      <c r="D2497" t="s">
        <v>27</v>
      </c>
      <c r="E2497" t="s">
        <v>11</v>
      </c>
      <c r="F2497" t="s">
        <v>37</v>
      </c>
      <c r="G2497">
        <v>5</v>
      </c>
      <c r="H2497">
        <v>12</v>
      </c>
      <c r="I2497" s="13">
        <v>45646</v>
      </c>
      <c r="J2497" s="13" t="str">
        <f>TEXT(Table1[[#This Row],[Date]],"[$-en-US]mmm yyyy")</f>
        <v>Dec 2024</v>
      </c>
      <c r="K2497" s="13" t="str">
        <f>TEXT(Table1[[#This Row],[Date]],"[$-en-US]ddd")</f>
        <v>Fri</v>
      </c>
    </row>
    <row r="2498" spans="1:11" x14ac:dyDescent="0.25">
      <c r="A2498">
        <v>10</v>
      </c>
      <c r="B2498" t="s">
        <v>9</v>
      </c>
      <c r="C2498">
        <v>25.96</v>
      </c>
      <c r="D2498" t="s">
        <v>22</v>
      </c>
      <c r="E2498" t="s">
        <v>11</v>
      </c>
      <c r="F2498" t="s">
        <v>37</v>
      </c>
      <c r="G2498">
        <v>5</v>
      </c>
      <c r="H2498">
        <v>12</v>
      </c>
      <c r="I2498" s="13">
        <v>45646</v>
      </c>
      <c r="J2498" s="13" t="str">
        <f>TEXT(Table1[[#This Row],[Date]],"[$-en-US]mmm yyyy")</f>
        <v>Dec 2024</v>
      </c>
      <c r="K2498" s="13" t="str">
        <f>TEXT(Table1[[#This Row],[Date]],"[$-en-US]ddd")</f>
        <v>Fri</v>
      </c>
    </row>
    <row r="2499" spans="1:11" x14ac:dyDescent="0.25">
      <c r="A2499">
        <v>12</v>
      </c>
      <c r="B2499" t="s">
        <v>9</v>
      </c>
      <c r="C2499">
        <v>21.06</v>
      </c>
      <c r="D2499" t="s">
        <v>24</v>
      </c>
      <c r="E2499" t="s">
        <v>15</v>
      </c>
      <c r="F2499" t="s">
        <v>37</v>
      </c>
      <c r="G2499">
        <v>5</v>
      </c>
      <c r="H2499">
        <v>12</v>
      </c>
      <c r="I2499" s="13">
        <v>45646</v>
      </c>
      <c r="J2499" s="13" t="str">
        <f>TEXT(Table1[[#This Row],[Date]],"[$-en-US]mmm yyyy")</f>
        <v>Dec 2024</v>
      </c>
      <c r="K2499" s="13" t="str">
        <f>TEXT(Table1[[#This Row],[Date]],"[$-en-US]ddd")</f>
        <v>Fri</v>
      </c>
    </row>
    <row r="2500" spans="1:11" x14ac:dyDescent="0.25">
      <c r="A2500">
        <v>12</v>
      </c>
      <c r="B2500" t="s">
        <v>9</v>
      </c>
      <c r="C2500">
        <v>30.86</v>
      </c>
      <c r="D2500" t="s">
        <v>17</v>
      </c>
      <c r="E2500" t="s">
        <v>15</v>
      </c>
      <c r="F2500" t="s">
        <v>37</v>
      </c>
      <c r="G2500">
        <v>5</v>
      </c>
      <c r="H2500">
        <v>12</v>
      </c>
      <c r="I2500" s="13">
        <v>45646</v>
      </c>
      <c r="J2500" s="13" t="str">
        <f>TEXT(Table1[[#This Row],[Date]],"[$-en-US]mmm yyyy")</f>
        <v>Dec 2024</v>
      </c>
      <c r="K2500" s="13" t="str">
        <f>TEXT(Table1[[#This Row],[Date]],"[$-en-US]ddd")</f>
        <v>Fri</v>
      </c>
    </row>
    <row r="2501" spans="1:11" x14ac:dyDescent="0.25">
      <c r="A2501">
        <v>14</v>
      </c>
      <c r="B2501" t="s">
        <v>9</v>
      </c>
      <c r="C2501">
        <v>25.96</v>
      </c>
      <c r="D2501" t="s">
        <v>22</v>
      </c>
      <c r="E2501" t="s">
        <v>15</v>
      </c>
      <c r="F2501" t="s">
        <v>37</v>
      </c>
      <c r="G2501">
        <v>5</v>
      </c>
      <c r="H2501">
        <v>12</v>
      </c>
      <c r="I2501" s="13">
        <v>45646</v>
      </c>
      <c r="J2501" s="13" t="str">
        <f>TEXT(Table1[[#This Row],[Date]],"[$-en-US]mmm yyyy")</f>
        <v>Dec 2024</v>
      </c>
      <c r="K2501" s="13" t="str">
        <f>TEXT(Table1[[#This Row],[Date]],"[$-en-US]ddd")</f>
        <v>Fri</v>
      </c>
    </row>
    <row r="2502" spans="1:11" x14ac:dyDescent="0.25">
      <c r="A2502">
        <v>18</v>
      </c>
      <c r="B2502" t="s">
        <v>9</v>
      </c>
      <c r="C2502">
        <v>35.76</v>
      </c>
      <c r="D2502" t="s">
        <v>27</v>
      </c>
      <c r="E2502" t="s">
        <v>18</v>
      </c>
      <c r="F2502" t="s">
        <v>37</v>
      </c>
      <c r="G2502">
        <v>5</v>
      </c>
      <c r="H2502">
        <v>12</v>
      </c>
      <c r="I2502" s="13">
        <v>45646</v>
      </c>
      <c r="J2502" s="13" t="str">
        <f>TEXT(Table1[[#This Row],[Date]],"[$-en-US]mmm yyyy")</f>
        <v>Dec 2024</v>
      </c>
      <c r="K2502" s="13" t="str">
        <f>TEXT(Table1[[#This Row],[Date]],"[$-en-US]ddd")</f>
        <v>Fri</v>
      </c>
    </row>
    <row r="2503" spans="1:11" x14ac:dyDescent="0.25">
      <c r="A2503">
        <v>18</v>
      </c>
      <c r="B2503" t="s">
        <v>9</v>
      </c>
      <c r="C2503">
        <v>35.76</v>
      </c>
      <c r="D2503" t="s">
        <v>27</v>
      </c>
      <c r="E2503" t="s">
        <v>18</v>
      </c>
      <c r="F2503" t="s">
        <v>37</v>
      </c>
      <c r="G2503">
        <v>5</v>
      </c>
      <c r="H2503">
        <v>12</v>
      </c>
      <c r="I2503" s="13">
        <v>45646</v>
      </c>
      <c r="J2503" s="13" t="str">
        <f>TEXT(Table1[[#This Row],[Date]],"[$-en-US]mmm yyyy")</f>
        <v>Dec 2024</v>
      </c>
      <c r="K2503" s="13" t="str">
        <f>TEXT(Table1[[#This Row],[Date]],"[$-en-US]ddd")</f>
        <v>Fri</v>
      </c>
    </row>
    <row r="2504" spans="1:11" x14ac:dyDescent="0.25">
      <c r="A2504">
        <v>10</v>
      </c>
      <c r="B2504" t="s">
        <v>9</v>
      </c>
      <c r="C2504">
        <v>35.76</v>
      </c>
      <c r="D2504" t="s">
        <v>27</v>
      </c>
      <c r="E2504" t="s">
        <v>11</v>
      </c>
      <c r="F2504" t="s">
        <v>37</v>
      </c>
      <c r="G2504">
        <v>6</v>
      </c>
      <c r="H2504">
        <v>12</v>
      </c>
      <c r="I2504" s="13">
        <v>45647</v>
      </c>
      <c r="J2504" s="13" t="str">
        <f>TEXT(Table1[[#This Row],[Date]],"[$-en-US]mmm yyyy")</f>
        <v>Dec 2024</v>
      </c>
      <c r="K2504" s="13" t="str">
        <f>TEXT(Table1[[#This Row],[Date]],"[$-en-US]ddd")</f>
        <v>Sat</v>
      </c>
    </row>
    <row r="2505" spans="1:11" x14ac:dyDescent="0.25">
      <c r="A2505">
        <v>10</v>
      </c>
      <c r="B2505" t="s">
        <v>9</v>
      </c>
      <c r="C2505">
        <v>35.76</v>
      </c>
      <c r="D2505" t="s">
        <v>10</v>
      </c>
      <c r="E2505" t="s">
        <v>11</v>
      </c>
      <c r="F2505" t="s">
        <v>37</v>
      </c>
      <c r="G2505">
        <v>6</v>
      </c>
      <c r="H2505">
        <v>12</v>
      </c>
      <c r="I2505" s="13">
        <v>45647</v>
      </c>
      <c r="J2505" s="13" t="str">
        <f>TEXT(Table1[[#This Row],[Date]],"[$-en-US]mmm yyyy")</f>
        <v>Dec 2024</v>
      </c>
      <c r="K2505" s="13" t="str">
        <f>TEXT(Table1[[#This Row],[Date]],"[$-en-US]ddd")</f>
        <v>Sat</v>
      </c>
    </row>
    <row r="2506" spans="1:11" x14ac:dyDescent="0.25">
      <c r="A2506">
        <v>10</v>
      </c>
      <c r="B2506" t="s">
        <v>9</v>
      </c>
      <c r="C2506">
        <v>25.96</v>
      </c>
      <c r="D2506" t="s">
        <v>16</v>
      </c>
      <c r="E2506" t="s">
        <v>11</v>
      </c>
      <c r="F2506" t="s">
        <v>37</v>
      </c>
      <c r="G2506">
        <v>6</v>
      </c>
      <c r="H2506">
        <v>12</v>
      </c>
      <c r="I2506" s="13">
        <v>45647</v>
      </c>
      <c r="J2506" s="13" t="str">
        <f>TEXT(Table1[[#This Row],[Date]],"[$-en-US]mmm yyyy")</f>
        <v>Dec 2024</v>
      </c>
      <c r="K2506" s="13" t="str">
        <f>TEXT(Table1[[#This Row],[Date]],"[$-en-US]ddd")</f>
        <v>Sat</v>
      </c>
    </row>
    <row r="2507" spans="1:11" x14ac:dyDescent="0.25">
      <c r="A2507">
        <v>15</v>
      </c>
      <c r="B2507" t="s">
        <v>9</v>
      </c>
      <c r="C2507">
        <v>35.76</v>
      </c>
      <c r="D2507" t="s">
        <v>14</v>
      </c>
      <c r="E2507" t="s">
        <v>15</v>
      </c>
      <c r="F2507" t="s">
        <v>37</v>
      </c>
      <c r="G2507">
        <v>6</v>
      </c>
      <c r="H2507">
        <v>12</v>
      </c>
      <c r="I2507" s="13">
        <v>45647</v>
      </c>
      <c r="J2507" s="13" t="str">
        <f>TEXT(Table1[[#This Row],[Date]],"[$-en-US]mmm yyyy")</f>
        <v>Dec 2024</v>
      </c>
      <c r="K2507" s="13" t="str">
        <f>TEXT(Table1[[#This Row],[Date]],"[$-en-US]ddd")</f>
        <v>Sat</v>
      </c>
    </row>
    <row r="2508" spans="1:11" x14ac:dyDescent="0.25">
      <c r="A2508">
        <v>15</v>
      </c>
      <c r="B2508" t="s">
        <v>9</v>
      </c>
      <c r="C2508">
        <v>35.76</v>
      </c>
      <c r="D2508" t="s">
        <v>10</v>
      </c>
      <c r="E2508" t="s">
        <v>15</v>
      </c>
      <c r="F2508" t="s">
        <v>37</v>
      </c>
      <c r="G2508">
        <v>6</v>
      </c>
      <c r="H2508">
        <v>12</v>
      </c>
      <c r="I2508" s="13">
        <v>45647</v>
      </c>
      <c r="J2508" s="13" t="str">
        <f>TEXT(Table1[[#This Row],[Date]],"[$-en-US]mmm yyyy")</f>
        <v>Dec 2024</v>
      </c>
      <c r="K2508" s="13" t="str">
        <f>TEXT(Table1[[#This Row],[Date]],"[$-en-US]ddd")</f>
        <v>Sat</v>
      </c>
    </row>
    <row r="2509" spans="1:11" x14ac:dyDescent="0.25">
      <c r="A2509">
        <v>15</v>
      </c>
      <c r="B2509" t="s">
        <v>9</v>
      </c>
      <c r="C2509">
        <v>30.86</v>
      </c>
      <c r="D2509" t="s">
        <v>17</v>
      </c>
      <c r="E2509" t="s">
        <v>15</v>
      </c>
      <c r="F2509" t="s">
        <v>37</v>
      </c>
      <c r="G2509">
        <v>6</v>
      </c>
      <c r="H2509">
        <v>12</v>
      </c>
      <c r="I2509" s="13">
        <v>45647</v>
      </c>
      <c r="J2509" s="13" t="str">
        <f>TEXT(Table1[[#This Row],[Date]],"[$-en-US]mmm yyyy")</f>
        <v>Dec 2024</v>
      </c>
      <c r="K2509" s="13" t="str">
        <f>TEXT(Table1[[#This Row],[Date]],"[$-en-US]ddd")</f>
        <v>Sat</v>
      </c>
    </row>
    <row r="2510" spans="1:11" x14ac:dyDescent="0.25">
      <c r="A2510">
        <v>15</v>
      </c>
      <c r="B2510" t="s">
        <v>9</v>
      </c>
      <c r="C2510">
        <v>35.76</v>
      </c>
      <c r="D2510" t="s">
        <v>10</v>
      </c>
      <c r="E2510" t="s">
        <v>15</v>
      </c>
      <c r="F2510" t="s">
        <v>37</v>
      </c>
      <c r="G2510">
        <v>6</v>
      </c>
      <c r="H2510">
        <v>12</v>
      </c>
      <c r="I2510" s="13">
        <v>45647</v>
      </c>
      <c r="J2510" s="13" t="str">
        <f>TEXT(Table1[[#This Row],[Date]],"[$-en-US]mmm yyyy")</f>
        <v>Dec 2024</v>
      </c>
      <c r="K2510" s="13" t="str">
        <f>TEXT(Table1[[#This Row],[Date]],"[$-en-US]ddd")</f>
        <v>Sat</v>
      </c>
    </row>
    <row r="2511" spans="1:11" x14ac:dyDescent="0.25">
      <c r="A2511">
        <v>17</v>
      </c>
      <c r="B2511" t="s">
        <v>9</v>
      </c>
      <c r="C2511">
        <v>35.76</v>
      </c>
      <c r="D2511" t="s">
        <v>19</v>
      </c>
      <c r="E2511" t="s">
        <v>18</v>
      </c>
      <c r="F2511" t="s">
        <v>37</v>
      </c>
      <c r="G2511">
        <v>6</v>
      </c>
      <c r="H2511">
        <v>12</v>
      </c>
      <c r="I2511" s="13">
        <v>45647</v>
      </c>
      <c r="J2511" s="13" t="str">
        <f>TEXT(Table1[[#This Row],[Date]],"[$-en-US]mmm yyyy")</f>
        <v>Dec 2024</v>
      </c>
      <c r="K2511" s="13" t="str">
        <f>TEXT(Table1[[#This Row],[Date]],"[$-en-US]ddd")</f>
        <v>Sat</v>
      </c>
    </row>
    <row r="2512" spans="1:11" x14ac:dyDescent="0.25">
      <c r="A2512">
        <v>18</v>
      </c>
      <c r="B2512" t="s">
        <v>9</v>
      </c>
      <c r="C2512">
        <v>35.76</v>
      </c>
      <c r="D2512" t="s">
        <v>14</v>
      </c>
      <c r="E2512" t="s">
        <v>18</v>
      </c>
      <c r="F2512" t="s">
        <v>37</v>
      </c>
      <c r="G2512">
        <v>6</v>
      </c>
      <c r="H2512">
        <v>12</v>
      </c>
      <c r="I2512" s="13">
        <v>45647</v>
      </c>
      <c r="J2512" s="13" t="str">
        <f>TEXT(Table1[[#This Row],[Date]],"[$-en-US]mmm yyyy")</f>
        <v>Dec 2024</v>
      </c>
      <c r="K2512" s="13" t="str">
        <f>TEXT(Table1[[#This Row],[Date]],"[$-en-US]ddd")</f>
        <v>Sat</v>
      </c>
    </row>
    <row r="2513" spans="1:11" x14ac:dyDescent="0.25">
      <c r="A2513">
        <v>18</v>
      </c>
      <c r="B2513" t="s">
        <v>9</v>
      </c>
      <c r="C2513">
        <v>25.96</v>
      </c>
      <c r="D2513" t="s">
        <v>22</v>
      </c>
      <c r="E2513" t="s">
        <v>18</v>
      </c>
      <c r="F2513" t="s">
        <v>37</v>
      </c>
      <c r="G2513">
        <v>6</v>
      </c>
      <c r="H2513">
        <v>12</v>
      </c>
      <c r="I2513" s="13">
        <v>45647</v>
      </c>
      <c r="J2513" s="13" t="str">
        <f>TEXT(Table1[[#This Row],[Date]],"[$-en-US]mmm yyyy")</f>
        <v>Dec 2024</v>
      </c>
      <c r="K2513" s="13" t="str">
        <f>TEXT(Table1[[#This Row],[Date]],"[$-en-US]ddd")</f>
        <v>Sat</v>
      </c>
    </row>
    <row r="2514" spans="1:11" x14ac:dyDescent="0.25">
      <c r="A2514">
        <v>19</v>
      </c>
      <c r="B2514" t="s">
        <v>9</v>
      </c>
      <c r="C2514">
        <v>30.86</v>
      </c>
      <c r="D2514" t="s">
        <v>17</v>
      </c>
      <c r="E2514" t="s">
        <v>18</v>
      </c>
      <c r="F2514" t="s">
        <v>37</v>
      </c>
      <c r="G2514">
        <v>6</v>
      </c>
      <c r="H2514">
        <v>12</v>
      </c>
      <c r="I2514" s="13">
        <v>45647</v>
      </c>
      <c r="J2514" s="13" t="str">
        <f>TEXT(Table1[[#This Row],[Date]],"[$-en-US]mmm yyyy")</f>
        <v>Dec 2024</v>
      </c>
      <c r="K2514" s="13" t="str">
        <f>TEXT(Table1[[#This Row],[Date]],"[$-en-US]ddd")</f>
        <v>Sat</v>
      </c>
    </row>
    <row r="2515" spans="1:11" x14ac:dyDescent="0.25">
      <c r="A2515">
        <v>19</v>
      </c>
      <c r="B2515" t="s">
        <v>9</v>
      </c>
      <c r="C2515">
        <v>25.96</v>
      </c>
      <c r="D2515" t="s">
        <v>22</v>
      </c>
      <c r="E2515" t="s">
        <v>18</v>
      </c>
      <c r="F2515" t="s">
        <v>37</v>
      </c>
      <c r="G2515">
        <v>6</v>
      </c>
      <c r="H2515">
        <v>12</v>
      </c>
      <c r="I2515" s="13">
        <v>45647</v>
      </c>
      <c r="J2515" s="13" t="str">
        <f>TEXT(Table1[[#This Row],[Date]],"[$-en-US]mmm yyyy")</f>
        <v>Dec 2024</v>
      </c>
      <c r="K2515" s="13" t="str">
        <f>TEXT(Table1[[#This Row],[Date]],"[$-en-US]ddd")</f>
        <v>Sat</v>
      </c>
    </row>
    <row r="2516" spans="1:11" x14ac:dyDescent="0.25">
      <c r="A2516">
        <v>21</v>
      </c>
      <c r="B2516" t="s">
        <v>9</v>
      </c>
      <c r="C2516">
        <v>25.96</v>
      </c>
      <c r="D2516" t="s">
        <v>22</v>
      </c>
      <c r="E2516" t="s">
        <v>18</v>
      </c>
      <c r="F2516" t="s">
        <v>37</v>
      </c>
      <c r="G2516">
        <v>6</v>
      </c>
      <c r="H2516">
        <v>12</v>
      </c>
      <c r="I2516" s="13">
        <v>45647</v>
      </c>
      <c r="J2516" s="13" t="str">
        <f>TEXT(Table1[[#This Row],[Date]],"[$-en-US]mmm yyyy")</f>
        <v>Dec 2024</v>
      </c>
      <c r="K2516" s="13" t="str">
        <f>TEXT(Table1[[#This Row],[Date]],"[$-en-US]ddd")</f>
        <v>Sat</v>
      </c>
    </row>
    <row r="2517" spans="1:11" x14ac:dyDescent="0.25">
      <c r="A2517">
        <v>21</v>
      </c>
      <c r="B2517" t="s">
        <v>9</v>
      </c>
      <c r="C2517">
        <v>35.76</v>
      </c>
      <c r="D2517" t="s">
        <v>10</v>
      </c>
      <c r="E2517" t="s">
        <v>18</v>
      </c>
      <c r="F2517" t="s">
        <v>37</v>
      </c>
      <c r="G2517">
        <v>6</v>
      </c>
      <c r="H2517">
        <v>12</v>
      </c>
      <c r="I2517" s="13">
        <v>45647</v>
      </c>
      <c r="J2517" s="13" t="str">
        <f>TEXT(Table1[[#This Row],[Date]],"[$-en-US]mmm yyyy")</f>
        <v>Dec 2024</v>
      </c>
      <c r="K2517" s="13" t="str">
        <f>TEXT(Table1[[#This Row],[Date]],"[$-en-US]ddd")</f>
        <v>Sat</v>
      </c>
    </row>
    <row r="2518" spans="1:11" x14ac:dyDescent="0.25">
      <c r="A2518">
        <v>22</v>
      </c>
      <c r="B2518" t="s">
        <v>9</v>
      </c>
      <c r="C2518">
        <v>25.96</v>
      </c>
      <c r="D2518" t="s">
        <v>22</v>
      </c>
      <c r="E2518" t="s">
        <v>18</v>
      </c>
      <c r="F2518" t="s">
        <v>37</v>
      </c>
      <c r="G2518">
        <v>6</v>
      </c>
      <c r="H2518">
        <v>12</v>
      </c>
      <c r="I2518" s="13">
        <v>45647</v>
      </c>
      <c r="J2518" s="13" t="str">
        <f>TEXT(Table1[[#This Row],[Date]],"[$-en-US]mmm yyyy")</f>
        <v>Dec 2024</v>
      </c>
      <c r="K2518" s="13" t="str">
        <f>TEXT(Table1[[#This Row],[Date]],"[$-en-US]ddd")</f>
        <v>Sat</v>
      </c>
    </row>
    <row r="2519" spans="1:11" x14ac:dyDescent="0.25">
      <c r="A2519">
        <v>10</v>
      </c>
      <c r="B2519" t="s">
        <v>9</v>
      </c>
      <c r="C2519">
        <v>35.76</v>
      </c>
      <c r="D2519" t="s">
        <v>27</v>
      </c>
      <c r="E2519" t="s">
        <v>11</v>
      </c>
      <c r="F2519" t="s">
        <v>37</v>
      </c>
      <c r="G2519">
        <v>7</v>
      </c>
      <c r="H2519">
        <v>12</v>
      </c>
      <c r="I2519" s="13">
        <v>45648</v>
      </c>
      <c r="J2519" s="13" t="str">
        <f>TEXT(Table1[[#This Row],[Date]],"[$-en-US]mmm yyyy")</f>
        <v>Dec 2024</v>
      </c>
      <c r="K2519" s="13" t="str">
        <f>TEXT(Table1[[#This Row],[Date]],"[$-en-US]ddd")</f>
        <v>Sun</v>
      </c>
    </row>
    <row r="2520" spans="1:11" x14ac:dyDescent="0.25">
      <c r="A2520">
        <v>18</v>
      </c>
      <c r="B2520" t="s">
        <v>9</v>
      </c>
      <c r="C2520">
        <v>35.76</v>
      </c>
      <c r="D2520" t="s">
        <v>27</v>
      </c>
      <c r="E2520" t="s">
        <v>18</v>
      </c>
      <c r="F2520" t="s">
        <v>37</v>
      </c>
      <c r="G2520">
        <v>7</v>
      </c>
      <c r="H2520">
        <v>12</v>
      </c>
      <c r="I2520" s="13">
        <v>45648</v>
      </c>
      <c r="J2520" s="13" t="str">
        <f>TEXT(Table1[[#This Row],[Date]],"[$-en-US]mmm yyyy")</f>
        <v>Dec 2024</v>
      </c>
      <c r="K2520" s="13" t="str">
        <f>TEXT(Table1[[#This Row],[Date]],"[$-en-US]ddd")</f>
        <v>Sun</v>
      </c>
    </row>
    <row r="2521" spans="1:11" x14ac:dyDescent="0.25">
      <c r="A2521">
        <v>19</v>
      </c>
      <c r="B2521" t="s">
        <v>9</v>
      </c>
      <c r="C2521">
        <v>35.76</v>
      </c>
      <c r="D2521" t="s">
        <v>14</v>
      </c>
      <c r="E2521" t="s">
        <v>18</v>
      </c>
      <c r="F2521" t="s">
        <v>37</v>
      </c>
      <c r="G2521">
        <v>7</v>
      </c>
      <c r="H2521">
        <v>12</v>
      </c>
      <c r="I2521" s="13">
        <v>45648</v>
      </c>
      <c r="J2521" s="13" t="str">
        <f>TEXT(Table1[[#This Row],[Date]],"[$-en-US]mmm yyyy")</f>
        <v>Dec 2024</v>
      </c>
      <c r="K2521" s="13" t="str">
        <f>TEXT(Table1[[#This Row],[Date]],"[$-en-US]ddd")</f>
        <v>Sun</v>
      </c>
    </row>
    <row r="2522" spans="1:11" x14ac:dyDescent="0.25">
      <c r="A2522">
        <v>19</v>
      </c>
      <c r="B2522" t="s">
        <v>9</v>
      </c>
      <c r="C2522">
        <v>35.76</v>
      </c>
      <c r="D2522" t="s">
        <v>14</v>
      </c>
      <c r="E2522" t="s">
        <v>18</v>
      </c>
      <c r="F2522" t="s">
        <v>37</v>
      </c>
      <c r="G2522">
        <v>7</v>
      </c>
      <c r="H2522">
        <v>12</v>
      </c>
      <c r="I2522" s="13">
        <v>45648</v>
      </c>
      <c r="J2522" s="13" t="str">
        <f>TEXT(Table1[[#This Row],[Date]],"[$-en-US]mmm yyyy")</f>
        <v>Dec 2024</v>
      </c>
      <c r="K2522" s="13" t="str">
        <f>TEXT(Table1[[#This Row],[Date]],"[$-en-US]ddd")</f>
        <v>Sun</v>
      </c>
    </row>
    <row r="2523" spans="1:11" x14ac:dyDescent="0.25">
      <c r="A2523">
        <v>20</v>
      </c>
      <c r="B2523" t="s">
        <v>9</v>
      </c>
      <c r="C2523">
        <v>35.76</v>
      </c>
      <c r="D2523" t="s">
        <v>14</v>
      </c>
      <c r="E2523" t="s">
        <v>18</v>
      </c>
      <c r="F2523" t="s">
        <v>37</v>
      </c>
      <c r="G2523">
        <v>7</v>
      </c>
      <c r="H2523">
        <v>12</v>
      </c>
      <c r="I2523" s="13">
        <v>45648</v>
      </c>
      <c r="J2523" s="13" t="str">
        <f>TEXT(Table1[[#This Row],[Date]],"[$-en-US]mmm yyyy")</f>
        <v>Dec 2024</v>
      </c>
      <c r="K2523" s="13" t="str">
        <f>TEXT(Table1[[#This Row],[Date]],"[$-en-US]ddd")</f>
        <v>Sun</v>
      </c>
    </row>
    <row r="2524" spans="1:11" x14ac:dyDescent="0.25">
      <c r="A2524">
        <v>21</v>
      </c>
      <c r="B2524" t="s">
        <v>9</v>
      </c>
      <c r="C2524">
        <v>35.76</v>
      </c>
      <c r="D2524" t="s">
        <v>19</v>
      </c>
      <c r="E2524" t="s">
        <v>18</v>
      </c>
      <c r="F2524" t="s">
        <v>37</v>
      </c>
      <c r="G2524">
        <v>7</v>
      </c>
      <c r="H2524">
        <v>12</v>
      </c>
      <c r="I2524" s="13">
        <v>45648</v>
      </c>
      <c r="J2524" s="13" t="str">
        <f>TEXT(Table1[[#This Row],[Date]],"[$-en-US]mmm yyyy")</f>
        <v>Dec 2024</v>
      </c>
      <c r="K2524" s="13" t="str">
        <f>TEXT(Table1[[#This Row],[Date]],"[$-en-US]ddd")</f>
        <v>Sun</v>
      </c>
    </row>
    <row r="2525" spans="1:11" x14ac:dyDescent="0.25">
      <c r="A2525">
        <v>21</v>
      </c>
      <c r="B2525" t="s">
        <v>9</v>
      </c>
      <c r="C2525">
        <v>25.96</v>
      </c>
      <c r="D2525" t="s">
        <v>22</v>
      </c>
      <c r="E2525" t="s">
        <v>18</v>
      </c>
      <c r="F2525" t="s">
        <v>37</v>
      </c>
      <c r="G2525">
        <v>7</v>
      </c>
      <c r="H2525">
        <v>12</v>
      </c>
      <c r="I2525" s="13">
        <v>45648</v>
      </c>
      <c r="J2525" s="13" t="str">
        <f>TEXT(Table1[[#This Row],[Date]],"[$-en-US]mmm yyyy")</f>
        <v>Dec 2024</v>
      </c>
      <c r="K2525" s="13" t="str">
        <f>TEXT(Table1[[#This Row],[Date]],"[$-en-US]ddd")</f>
        <v>Sun</v>
      </c>
    </row>
    <row r="2526" spans="1:11" x14ac:dyDescent="0.25">
      <c r="A2526">
        <v>9</v>
      </c>
      <c r="B2526" t="s">
        <v>9</v>
      </c>
      <c r="C2526">
        <v>25.96</v>
      </c>
      <c r="D2526" t="s">
        <v>22</v>
      </c>
      <c r="E2526" t="s">
        <v>11</v>
      </c>
      <c r="F2526" t="s">
        <v>37</v>
      </c>
      <c r="G2526">
        <v>1</v>
      </c>
      <c r="H2526">
        <v>12</v>
      </c>
      <c r="I2526" s="13">
        <v>45649</v>
      </c>
      <c r="J2526" s="13" t="str">
        <f>TEXT(Table1[[#This Row],[Date]],"[$-en-US]mmm yyyy")</f>
        <v>Dec 2024</v>
      </c>
      <c r="K2526" s="13" t="str">
        <f>TEXT(Table1[[#This Row],[Date]],"[$-en-US]ddd")</f>
        <v>Mon</v>
      </c>
    </row>
    <row r="2527" spans="1:11" x14ac:dyDescent="0.25">
      <c r="A2527">
        <v>9</v>
      </c>
      <c r="B2527" t="s">
        <v>9</v>
      </c>
      <c r="C2527">
        <v>30.86</v>
      </c>
      <c r="D2527" t="s">
        <v>17</v>
      </c>
      <c r="E2527" t="s">
        <v>11</v>
      </c>
      <c r="F2527" t="s">
        <v>37</v>
      </c>
      <c r="G2527">
        <v>1</v>
      </c>
      <c r="H2527">
        <v>12</v>
      </c>
      <c r="I2527" s="13">
        <v>45649</v>
      </c>
      <c r="J2527" s="13" t="str">
        <f>TEXT(Table1[[#This Row],[Date]],"[$-en-US]mmm yyyy")</f>
        <v>Dec 2024</v>
      </c>
      <c r="K2527" s="13" t="str">
        <f>TEXT(Table1[[#This Row],[Date]],"[$-en-US]ddd")</f>
        <v>Mon</v>
      </c>
    </row>
    <row r="2528" spans="1:11" x14ac:dyDescent="0.25">
      <c r="A2528">
        <v>10</v>
      </c>
      <c r="B2528" t="s">
        <v>9</v>
      </c>
      <c r="C2528">
        <v>30.86</v>
      </c>
      <c r="D2528" t="s">
        <v>17</v>
      </c>
      <c r="E2528" t="s">
        <v>11</v>
      </c>
      <c r="F2528" t="s">
        <v>37</v>
      </c>
      <c r="G2528">
        <v>1</v>
      </c>
      <c r="H2528">
        <v>12</v>
      </c>
      <c r="I2528" s="13">
        <v>45649</v>
      </c>
      <c r="J2528" s="13" t="str">
        <f>TEXT(Table1[[#This Row],[Date]],"[$-en-US]mmm yyyy")</f>
        <v>Dec 2024</v>
      </c>
      <c r="K2528" s="13" t="str">
        <f>TEXT(Table1[[#This Row],[Date]],"[$-en-US]ddd")</f>
        <v>Mon</v>
      </c>
    </row>
    <row r="2529" spans="1:11" x14ac:dyDescent="0.25">
      <c r="A2529">
        <v>11</v>
      </c>
      <c r="B2529" t="s">
        <v>9</v>
      </c>
      <c r="C2529">
        <v>35.76</v>
      </c>
      <c r="D2529" t="s">
        <v>27</v>
      </c>
      <c r="E2529" t="s">
        <v>11</v>
      </c>
      <c r="F2529" t="s">
        <v>37</v>
      </c>
      <c r="G2529">
        <v>1</v>
      </c>
      <c r="H2529">
        <v>12</v>
      </c>
      <c r="I2529" s="13">
        <v>45649</v>
      </c>
      <c r="J2529" s="13" t="str">
        <f>TEXT(Table1[[#This Row],[Date]],"[$-en-US]mmm yyyy")</f>
        <v>Dec 2024</v>
      </c>
      <c r="K2529" s="13" t="str">
        <f>TEXT(Table1[[#This Row],[Date]],"[$-en-US]ddd")</f>
        <v>Mon</v>
      </c>
    </row>
    <row r="2530" spans="1:11" x14ac:dyDescent="0.25">
      <c r="A2530">
        <v>14</v>
      </c>
      <c r="B2530" t="s">
        <v>9</v>
      </c>
      <c r="C2530">
        <v>35.76</v>
      </c>
      <c r="D2530" t="s">
        <v>10</v>
      </c>
      <c r="E2530" t="s">
        <v>15</v>
      </c>
      <c r="F2530" t="s">
        <v>37</v>
      </c>
      <c r="G2530">
        <v>1</v>
      </c>
      <c r="H2530">
        <v>12</v>
      </c>
      <c r="I2530" s="13">
        <v>45649</v>
      </c>
      <c r="J2530" s="13" t="str">
        <f>TEXT(Table1[[#This Row],[Date]],"[$-en-US]mmm yyyy")</f>
        <v>Dec 2024</v>
      </c>
      <c r="K2530" s="13" t="str">
        <f>TEXT(Table1[[#This Row],[Date]],"[$-en-US]ddd")</f>
        <v>Mon</v>
      </c>
    </row>
    <row r="2531" spans="1:11" x14ac:dyDescent="0.25">
      <c r="A2531">
        <v>15</v>
      </c>
      <c r="B2531" t="s">
        <v>9</v>
      </c>
      <c r="C2531">
        <v>30.86</v>
      </c>
      <c r="D2531" t="s">
        <v>17</v>
      </c>
      <c r="E2531" t="s">
        <v>15</v>
      </c>
      <c r="F2531" t="s">
        <v>37</v>
      </c>
      <c r="G2531">
        <v>1</v>
      </c>
      <c r="H2531">
        <v>12</v>
      </c>
      <c r="I2531" s="13">
        <v>45649</v>
      </c>
      <c r="J2531" s="13" t="str">
        <f>TEXT(Table1[[#This Row],[Date]],"[$-en-US]mmm yyyy")</f>
        <v>Dec 2024</v>
      </c>
      <c r="K2531" s="13" t="str">
        <f>TEXT(Table1[[#This Row],[Date]],"[$-en-US]ddd")</f>
        <v>Mon</v>
      </c>
    </row>
    <row r="2532" spans="1:11" x14ac:dyDescent="0.25">
      <c r="A2532">
        <v>16</v>
      </c>
      <c r="B2532" t="s">
        <v>9</v>
      </c>
      <c r="C2532">
        <v>35.76</v>
      </c>
      <c r="D2532" t="s">
        <v>10</v>
      </c>
      <c r="E2532" t="s">
        <v>15</v>
      </c>
      <c r="F2532" t="s">
        <v>37</v>
      </c>
      <c r="G2532">
        <v>1</v>
      </c>
      <c r="H2532">
        <v>12</v>
      </c>
      <c r="I2532" s="13">
        <v>45649</v>
      </c>
      <c r="J2532" s="13" t="str">
        <f>TEXT(Table1[[#This Row],[Date]],"[$-en-US]mmm yyyy")</f>
        <v>Dec 2024</v>
      </c>
      <c r="K2532" s="13" t="str">
        <f>TEXT(Table1[[#This Row],[Date]],"[$-en-US]ddd")</f>
        <v>Mon</v>
      </c>
    </row>
    <row r="2533" spans="1:11" x14ac:dyDescent="0.25">
      <c r="A2533">
        <v>17</v>
      </c>
      <c r="B2533" t="s">
        <v>9</v>
      </c>
      <c r="C2533">
        <v>25.96</v>
      </c>
      <c r="D2533" t="s">
        <v>22</v>
      </c>
      <c r="E2533" t="s">
        <v>18</v>
      </c>
      <c r="F2533" t="s">
        <v>37</v>
      </c>
      <c r="G2533">
        <v>1</v>
      </c>
      <c r="H2533">
        <v>12</v>
      </c>
      <c r="I2533" s="13">
        <v>45649</v>
      </c>
      <c r="J2533" s="13" t="str">
        <f>TEXT(Table1[[#This Row],[Date]],"[$-en-US]mmm yyyy")</f>
        <v>Dec 2024</v>
      </c>
      <c r="K2533" s="13" t="str">
        <f>TEXT(Table1[[#This Row],[Date]],"[$-en-US]ddd")</f>
        <v>Mon</v>
      </c>
    </row>
    <row r="2534" spans="1:11" x14ac:dyDescent="0.25">
      <c r="A2534">
        <v>17</v>
      </c>
      <c r="B2534" t="s">
        <v>9</v>
      </c>
      <c r="C2534">
        <v>35.76</v>
      </c>
      <c r="D2534" t="s">
        <v>10</v>
      </c>
      <c r="E2534" t="s">
        <v>18</v>
      </c>
      <c r="F2534" t="s">
        <v>37</v>
      </c>
      <c r="G2534">
        <v>1</v>
      </c>
      <c r="H2534">
        <v>12</v>
      </c>
      <c r="I2534" s="13">
        <v>45649</v>
      </c>
      <c r="J2534" s="13" t="str">
        <f>TEXT(Table1[[#This Row],[Date]],"[$-en-US]mmm yyyy")</f>
        <v>Dec 2024</v>
      </c>
      <c r="K2534" s="13" t="str">
        <f>TEXT(Table1[[#This Row],[Date]],"[$-en-US]ddd")</f>
        <v>Mon</v>
      </c>
    </row>
    <row r="2535" spans="1:11" x14ac:dyDescent="0.25">
      <c r="A2535">
        <v>20</v>
      </c>
      <c r="B2535" t="s">
        <v>9</v>
      </c>
      <c r="C2535">
        <v>25.96</v>
      </c>
      <c r="D2535" t="s">
        <v>22</v>
      </c>
      <c r="E2535" t="s">
        <v>18</v>
      </c>
      <c r="F2535" t="s">
        <v>37</v>
      </c>
      <c r="G2535">
        <v>1</v>
      </c>
      <c r="H2535">
        <v>12</v>
      </c>
      <c r="I2535" s="13">
        <v>45649</v>
      </c>
      <c r="J2535" s="13" t="str">
        <f>TEXT(Table1[[#This Row],[Date]],"[$-en-US]mmm yyyy")</f>
        <v>Dec 2024</v>
      </c>
      <c r="K2535" s="13" t="str">
        <f>TEXT(Table1[[#This Row],[Date]],"[$-en-US]ddd")</f>
        <v>Mon</v>
      </c>
    </row>
    <row r="2536" spans="1:11" x14ac:dyDescent="0.25">
      <c r="A2536">
        <v>15</v>
      </c>
      <c r="B2536" t="s">
        <v>9</v>
      </c>
      <c r="C2536">
        <v>30.86</v>
      </c>
      <c r="D2536" t="s">
        <v>17</v>
      </c>
      <c r="E2536" t="s">
        <v>15</v>
      </c>
      <c r="F2536" t="s">
        <v>37</v>
      </c>
      <c r="G2536">
        <v>2</v>
      </c>
      <c r="H2536">
        <v>12</v>
      </c>
      <c r="I2536" s="13">
        <v>45650</v>
      </c>
      <c r="J2536" s="13" t="str">
        <f>TEXT(Table1[[#This Row],[Date]],"[$-en-US]mmm yyyy")</f>
        <v>Dec 2024</v>
      </c>
      <c r="K2536" s="13" t="str">
        <f>TEXT(Table1[[#This Row],[Date]],"[$-en-US]ddd")</f>
        <v>Tue</v>
      </c>
    </row>
    <row r="2537" spans="1:11" x14ac:dyDescent="0.25">
      <c r="A2537">
        <v>16</v>
      </c>
      <c r="B2537" t="s">
        <v>9</v>
      </c>
      <c r="C2537">
        <v>35.76</v>
      </c>
      <c r="D2537" t="s">
        <v>14</v>
      </c>
      <c r="E2537" t="s">
        <v>15</v>
      </c>
      <c r="F2537" t="s">
        <v>37</v>
      </c>
      <c r="G2537">
        <v>2</v>
      </c>
      <c r="H2537">
        <v>12</v>
      </c>
      <c r="I2537" s="13">
        <v>45650</v>
      </c>
      <c r="J2537" s="13" t="str">
        <f>TEXT(Table1[[#This Row],[Date]],"[$-en-US]mmm yyyy")</f>
        <v>Dec 2024</v>
      </c>
      <c r="K2537" s="13" t="str">
        <f>TEXT(Table1[[#This Row],[Date]],"[$-en-US]ddd")</f>
        <v>Tue</v>
      </c>
    </row>
    <row r="2538" spans="1:11" x14ac:dyDescent="0.25">
      <c r="A2538">
        <v>17</v>
      </c>
      <c r="B2538" t="s">
        <v>9</v>
      </c>
      <c r="C2538">
        <v>25.96</v>
      </c>
      <c r="D2538" t="s">
        <v>22</v>
      </c>
      <c r="E2538" t="s">
        <v>18</v>
      </c>
      <c r="F2538" t="s">
        <v>37</v>
      </c>
      <c r="G2538">
        <v>2</v>
      </c>
      <c r="H2538">
        <v>12</v>
      </c>
      <c r="I2538" s="13">
        <v>45650</v>
      </c>
      <c r="J2538" s="13" t="str">
        <f>TEXT(Table1[[#This Row],[Date]],"[$-en-US]mmm yyyy")</f>
        <v>Dec 2024</v>
      </c>
      <c r="K2538" s="13" t="str">
        <f>TEXT(Table1[[#This Row],[Date]],"[$-en-US]ddd")</f>
        <v>Tue</v>
      </c>
    </row>
    <row r="2539" spans="1:11" x14ac:dyDescent="0.25">
      <c r="A2539">
        <v>19</v>
      </c>
      <c r="B2539" t="s">
        <v>9</v>
      </c>
      <c r="C2539">
        <v>35.76</v>
      </c>
      <c r="D2539" t="s">
        <v>14</v>
      </c>
      <c r="E2539" t="s">
        <v>18</v>
      </c>
      <c r="F2539" t="s">
        <v>37</v>
      </c>
      <c r="G2539">
        <v>2</v>
      </c>
      <c r="H2539">
        <v>12</v>
      </c>
      <c r="I2539" s="13">
        <v>45650</v>
      </c>
      <c r="J2539" s="13" t="str">
        <f>TEXT(Table1[[#This Row],[Date]],"[$-en-US]mmm yyyy")</f>
        <v>Dec 2024</v>
      </c>
      <c r="K2539" s="13" t="str">
        <f>TEXT(Table1[[#This Row],[Date]],"[$-en-US]ddd")</f>
        <v>Tue</v>
      </c>
    </row>
    <row r="2540" spans="1:11" x14ac:dyDescent="0.25">
      <c r="A2540">
        <v>19</v>
      </c>
      <c r="B2540" t="s">
        <v>9</v>
      </c>
      <c r="C2540">
        <v>35.76</v>
      </c>
      <c r="D2540" t="s">
        <v>10</v>
      </c>
      <c r="E2540" t="s">
        <v>18</v>
      </c>
      <c r="F2540" t="s">
        <v>37</v>
      </c>
      <c r="G2540">
        <v>2</v>
      </c>
      <c r="H2540">
        <v>12</v>
      </c>
      <c r="I2540" s="13">
        <v>45650</v>
      </c>
      <c r="J2540" s="13" t="str">
        <f>TEXT(Table1[[#This Row],[Date]],"[$-en-US]mmm yyyy")</f>
        <v>Dec 2024</v>
      </c>
      <c r="K2540" s="13" t="str">
        <f>TEXT(Table1[[#This Row],[Date]],"[$-en-US]ddd")</f>
        <v>Tue</v>
      </c>
    </row>
    <row r="2541" spans="1:11" x14ac:dyDescent="0.25">
      <c r="A2541">
        <v>19</v>
      </c>
      <c r="B2541" t="s">
        <v>9</v>
      </c>
      <c r="C2541">
        <v>21.06</v>
      </c>
      <c r="D2541" t="s">
        <v>24</v>
      </c>
      <c r="E2541" t="s">
        <v>18</v>
      </c>
      <c r="F2541" t="s">
        <v>37</v>
      </c>
      <c r="G2541">
        <v>2</v>
      </c>
      <c r="H2541">
        <v>12</v>
      </c>
      <c r="I2541" s="13">
        <v>45650</v>
      </c>
      <c r="J2541" s="13" t="str">
        <f>TEXT(Table1[[#This Row],[Date]],"[$-en-US]mmm yyyy")</f>
        <v>Dec 2024</v>
      </c>
      <c r="K2541" s="13" t="str">
        <f>TEXT(Table1[[#This Row],[Date]],"[$-en-US]ddd")</f>
        <v>Tue</v>
      </c>
    </row>
    <row r="2542" spans="1:11" x14ac:dyDescent="0.25">
      <c r="A2542">
        <v>19</v>
      </c>
      <c r="B2542" t="s">
        <v>9</v>
      </c>
      <c r="C2542">
        <v>35.76</v>
      </c>
      <c r="D2542" t="s">
        <v>27</v>
      </c>
      <c r="E2542" t="s">
        <v>18</v>
      </c>
      <c r="F2542" t="s">
        <v>37</v>
      </c>
      <c r="G2542">
        <v>2</v>
      </c>
      <c r="H2542">
        <v>12</v>
      </c>
      <c r="I2542" s="13">
        <v>45650</v>
      </c>
      <c r="J2542" s="13" t="str">
        <f>TEXT(Table1[[#This Row],[Date]],"[$-en-US]mmm yyyy")</f>
        <v>Dec 2024</v>
      </c>
      <c r="K2542" s="13" t="str">
        <f>TEXT(Table1[[#This Row],[Date]],"[$-en-US]ddd")</f>
        <v>Tue</v>
      </c>
    </row>
    <row r="2543" spans="1:11" x14ac:dyDescent="0.25">
      <c r="A2543">
        <v>10</v>
      </c>
      <c r="B2543" t="s">
        <v>9</v>
      </c>
      <c r="C2543">
        <v>35.76</v>
      </c>
      <c r="D2543" t="s">
        <v>10</v>
      </c>
      <c r="E2543" t="s">
        <v>11</v>
      </c>
      <c r="F2543" t="s">
        <v>37</v>
      </c>
      <c r="G2543">
        <v>3</v>
      </c>
      <c r="H2543">
        <v>12</v>
      </c>
      <c r="I2543" s="13">
        <v>45651</v>
      </c>
      <c r="J2543" s="13" t="str">
        <f>TEXT(Table1[[#This Row],[Date]],"[$-en-US]mmm yyyy")</f>
        <v>Dec 2024</v>
      </c>
      <c r="K2543" s="13" t="str">
        <f>TEXT(Table1[[#This Row],[Date]],"[$-en-US]ddd")</f>
        <v>Wed</v>
      </c>
    </row>
    <row r="2544" spans="1:11" x14ac:dyDescent="0.25">
      <c r="A2544">
        <v>10</v>
      </c>
      <c r="B2544" t="s">
        <v>9</v>
      </c>
      <c r="C2544">
        <v>35.76</v>
      </c>
      <c r="D2544" t="s">
        <v>10</v>
      </c>
      <c r="E2544" t="s">
        <v>11</v>
      </c>
      <c r="F2544" t="s">
        <v>37</v>
      </c>
      <c r="G2544">
        <v>3</v>
      </c>
      <c r="H2544">
        <v>12</v>
      </c>
      <c r="I2544" s="13">
        <v>45651</v>
      </c>
      <c r="J2544" s="13" t="str">
        <f>TEXT(Table1[[#This Row],[Date]],"[$-en-US]mmm yyyy")</f>
        <v>Dec 2024</v>
      </c>
      <c r="K2544" s="13" t="str">
        <f>TEXT(Table1[[#This Row],[Date]],"[$-en-US]ddd")</f>
        <v>Wed</v>
      </c>
    </row>
    <row r="2545" spans="1:11" x14ac:dyDescent="0.25">
      <c r="A2545">
        <v>12</v>
      </c>
      <c r="B2545" t="s">
        <v>9</v>
      </c>
      <c r="C2545">
        <v>30.86</v>
      </c>
      <c r="D2545" t="s">
        <v>17</v>
      </c>
      <c r="E2545" t="s">
        <v>15</v>
      </c>
      <c r="F2545" t="s">
        <v>37</v>
      </c>
      <c r="G2545">
        <v>3</v>
      </c>
      <c r="H2545">
        <v>12</v>
      </c>
      <c r="I2545" s="13">
        <v>45651</v>
      </c>
      <c r="J2545" s="13" t="str">
        <f>TEXT(Table1[[#This Row],[Date]],"[$-en-US]mmm yyyy")</f>
        <v>Dec 2024</v>
      </c>
      <c r="K2545" s="13" t="str">
        <f>TEXT(Table1[[#This Row],[Date]],"[$-en-US]ddd")</f>
        <v>Wed</v>
      </c>
    </row>
    <row r="2546" spans="1:11" x14ac:dyDescent="0.25">
      <c r="A2546">
        <v>12</v>
      </c>
      <c r="B2546" t="s">
        <v>9</v>
      </c>
      <c r="C2546">
        <v>25.96</v>
      </c>
      <c r="D2546" t="s">
        <v>16</v>
      </c>
      <c r="E2546" t="s">
        <v>15</v>
      </c>
      <c r="F2546" t="s">
        <v>37</v>
      </c>
      <c r="G2546">
        <v>3</v>
      </c>
      <c r="H2546">
        <v>12</v>
      </c>
      <c r="I2546" s="13">
        <v>45651</v>
      </c>
      <c r="J2546" s="13" t="str">
        <f>TEXT(Table1[[#This Row],[Date]],"[$-en-US]mmm yyyy")</f>
        <v>Dec 2024</v>
      </c>
      <c r="K2546" s="13" t="str">
        <f>TEXT(Table1[[#This Row],[Date]],"[$-en-US]ddd")</f>
        <v>Wed</v>
      </c>
    </row>
    <row r="2547" spans="1:11" x14ac:dyDescent="0.25">
      <c r="A2547">
        <v>13</v>
      </c>
      <c r="B2547" t="s">
        <v>9</v>
      </c>
      <c r="C2547">
        <v>30.86</v>
      </c>
      <c r="D2547" t="s">
        <v>17</v>
      </c>
      <c r="E2547" t="s">
        <v>15</v>
      </c>
      <c r="F2547" t="s">
        <v>37</v>
      </c>
      <c r="G2547">
        <v>3</v>
      </c>
      <c r="H2547">
        <v>12</v>
      </c>
      <c r="I2547" s="13">
        <v>45651</v>
      </c>
      <c r="J2547" s="13" t="str">
        <f>TEXT(Table1[[#This Row],[Date]],"[$-en-US]mmm yyyy")</f>
        <v>Dec 2024</v>
      </c>
      <c r="K2547" s="13" t="str">
        <f>TEXT(Table1[[#This Row],[Date]],"[$-en-US]ddd")</f>
        <v>Wed</v>
      </c>
    </row>
    <row r="2548" spans="1:11" x14ac:dyDescent="0.25">
      <c r="A2548">
        <v>13</v>
      </c>
      <c r="B2548" t="s">
        <v>9</v>
      </c>
      <c r="C2548">
        <v>25.96</v>
      </c>
      <c r="D2548" t="s">
        <v>16</v>
      </c>
      <c r="E2548" t="s">
        <v>15</v>
      </c>
      <c r="F2548" t="s">
        <v>37</v>
      </c>
      <c r="G2548">
        <v>3</v>
      </c>
      <c r="H2548">
        <v>12</v>
      </c>
      <c r="I2548" s="13">
        <v>45651</v>
      </c>
      <c r="J2548" s="13" t="str">
        <f>TEXT(Table1[[#This Row],[Date]],"[$-en-US]mmm yyyy")</f>
        <v>Dec 2024</v>
      </c>
      <c r="K2548" s="13" t="str">
        <f>TEXT(Table1[[#This Row],[Date]],"[$-en-US]ddd")</f>
        <v>Wed</v>
      </c>
    </row>
    <row r="2549" spans="1:11" x14ac:dyDescent="0.25">
      <c r="A2549">
        <v>20</v>
      </c>
      <c r="B2549" t="s">
        <v>9</v>
      </c>
      <c r="C2549">
        <v>35.76</v>
      </c>
      <c r="D2549" t="s">
        <v>27</v>
      </c>
      <c r="E2549" t="s">
        <v>18</v>
      </c>
      <c r="F2549" t="s">
        <v>37</v>
      </c>
      <c r="G2549">
        <v>3</v>
      </c>
      <c r="H2549">
        <v>12</v>
      </c>
      <c r="I2549" s="13">
        <v>45651</v>
      </c>
      <c r="J2549" s="13" t="str">
        <f>TEXT(Table1[[#This Row],[Date]],"[$-en-US]mmm yyyy")</f>
        <v>Dec 2024</v>
      </c>
      <c r="K2549" s="13" t="str">
        <f>TEXT(Table1[[#This Row],[Date]],"[$-en-US]ddd")</f>
        <v>Wed</v>
      </c>
    </row>
    <row r="2550" spans="1:11" x14ac:dyDescent="0.25">
      <c r="A2550">
        <v>21</v>
      </c>
      <c r="B2550" t="s">
        <v>9</v>
      </c>
      <c r="C2550">
        <v>35.76</v>
      </c>
      <c r="D2550" t="s">
        <v>19</v>
      </c>
      <c r="E2550" t="s">
        <v>18</v>
      </c>
      <c r="F2550" t="s">
        <v>37</v>
      </c>
      <c r="G2550">
        <v>3</v>
      </c>
      <c r="H2550">
        <v>12</v>
      </c>
      <c r="I2550" s="13">
        <v>45651</v>
      </c>
      <c r="J2550" s="13" t="str">
        <f>TEXT(Table1[[#This Row],[Date]],"[$-en-US]mmm yyyy")</f>
        <v>Dec 2024</v>
      </c>
      <c r="K2550" s="13" t="str">
        <f>TEXT(Table1[[#This Row],[Date]],"[$-en-US]ddd")</f>
        <v>Wed</v>
      </c>
    </row>
    <row r="2551" spans="1:11" x14ac:dyDescent="0.25">
      <c r="A2551">
        <v>21</v>
      </c>
      <c r="B2551" t="s">
        <v>9</v>
      </c>
      <c r="C2551">
        <v>35.76</v>
      </c>
      <c r="D2551" t="s">
        <v>19</v>
      </c>
      <c r="E2551" t="s">
        <v>18</v>
      </c>
      <c r="F2551" t="s">
        <v>37</v>
      </c>
      <c r="G2551">
        <v>3</v>
      </c>
      <c r="H2551">
        <v>12</v>
      </c>
      <c r="I2551" s="13">
        <v>45651</v>
      </c>
      <c r="J2551" s="13" t="str">
        <f>TEXT(Table1[[#This Row],[Date]],"[$-en-US]mmm yyyy")</f>
        <v>Dec 2024</v>
      </c>
      <c r="K2551" s="13" t="str">
        <f>TEXT(Table1[[#This Row],[Date]],"[$-en-US]ddd")</f>
        <v>Wed</v>
      </c>
    </row>
    <row r="2552" spans="1:11" x14ac:dyDescent="0.25">
      <c r="A2552">
        <v>21</v>
      </c>
      <c r="B2552" t="s">
        <v>9</v>
      </c>
      <c r="C2552">
        <v>35.76</v>
      </c>
      <c r="D2552" t="s">
        <v>10</v>
      </c>
      <c r="E2552" t="s">
        <v>18</v>
      </c>
      <c r="F2552" t="s">
        <v>37</v>
      </c>
      <c r="G2552">
        <v>3</v>
      </c>
      <c r="H2552">
        <v>12</v>
      </c>
      <c r="I2552" s="13">
        <v>45651</v>
      </c>
      <c r="J2552" s="13" t="str">
        <f>TEXT(Table1[[#This Row],[Date]],"[$-en-US]mmm yyyy")</f>
        <v>Dec 2024</v>
      </c>
      <c r="K2552" s="13" t="str">
        <f>TEXT(Table1[[#This Row],[Date]],"[$-en-US]ddd")</f>
        <v>Wed</v>
      </c>
    </row>
    <row r="2553" spans="1:11" x14ac:dyDescent="0.25">
      <c r="A2553">
        <v>22</v>
      </c>
      <c r="B2553" t="s">
        <v>9</v>
      </c>
      <c r="C2553">
        <v>35.76</v>
      </c>
      <c r="D2553" t="s">
        <v>27</v>
      </c>
      <c r="E2553" t="s">
        <v>18</v>
      </c>
      <c r="F2553" t="s">
        <v>37</v>
      </c>
      <c r="G2553">
        <v>3</v>
      </c>
      <c r="H2553">
        <v>12</v>
      </c>
      <c r="I2553" s="13">
        <v>45651</v>
      </c>
      <c r="J2553" s="13" t="str">
        <f>TEXT(Table1[[#This Row],[Date]],"[$-en-US]mmm yyyy")</f>
        <v>Dec 2024</v>
      </c>
      <c r="K2553" s="13" t="str">
        <f>TEXT(Table1[[#This Row],[Date]],"[$-en-US]ddd")</f>
        <v>Wed</v>
      </c>
    </row>
    <row r="2554" spans="1:11" x14ac:dyDescent="0.25">
      <c r="A2554">
        <v>22</v>
      </c>
      <c r="B2554" t="s">
        <v>9</v>
      </c>
      <c r="C2554">
        <v>30.86</v>
      </c>
      <c r="D2554" t="s">
        <v>17</v>
      </c>
      <c r="E2554" t="s">
        <v>18</v>
      </c>
      <c r="F2554" t="s">
        <v>37</v>
      </c>
      <c r="G2554">
        <v>3</v>
      </c>
      <c r="H2554">
        <v>12</v>
      </c>
      <c r="I2554" s="13">
        <v>45651</v>
      </c>
      <c r="J2554" s="13" t="str">
        <f>TEXT(Table1[[#This Row],[Date]],"[$-en-US]mmm yyyy")</f>
        <v>Dec 2024</v>
      </c>
      <c r="K2554" s="13" t="str">
        <f>TEXT(Table1[[#This Row],[Date]],"[$-en-US]ddd")</f>
        <v>Wed</v>
      </c>
    </row>
    <row r="2555" spans="1:11" x14ac:dyDescent="0.25">
      <c r="A2555">
        <v>13</v>
      </c>
      <c r="B2555" t="s">
        <v>9</v>
      </c>
      <c r="C2555">
        <v>35.76</v>
      </c>
      <c r="D2555" t="s">
        <v>27</v>
      </c>
      <c r="E2555" t="s">
        <v>15</v>
      </c>
      <c r="F2555" t="s">
        <v>37</v>
      </c>
      <c r="G2555">
        <v>4</v>
      </c>
      <c r="H2555">
        <v>12</v>
      </c>
      <c r="I2555" s="13">
        <v>45652</v>
      </c>
      <c r="J2555" s="13" t="str">
        <f>TEXT(Table1[[#This Row],[Date]],"[$-en-US]mmm yyyy")</f>
        <v>Dec 2024</v>
      </c>
      <c r="K2555" s="13" t="str">
        <f>TEXT(Table1[[#This Row],[Date]],"[$-en-US]ddd")</f>
        <v>Thu</v>
      </c>
    </row>
    <row r="2556" spans="1:11" x14ac:dyDescent="0.25">
      <c r="A2556">
        <v>15</v>
      </c>
      <c r="B2556" t="s">
        <v>9</v>
      </c>
      <c r="C2556">
        <v>21.06</v>
      </c>
      <c r="D2556" t="s">
        <v>24</v>
      </c>
      <c r="E2556" t="s">
        <v>15</v>
      </c>
      <c r="F2556" t="s">
        <v>37</v>
      </c>
      <c r="G2556">
        <v>4</v>
      </c>
      <c r="H2556">
        <v>12</v>
      </c>
      <c r="I2556" s="13">
        <v>45652</v>
      </c>
      <c r="J2556" s="13" t="str">
        <f>TEXT(Table1[[#This Row],[Date]],"[$-en-US]mmm yyyy")</f>
        <v>Dec 2024</v>
      </c>
      <c r="K2556" s="13" t="str">
        <f>TEXT(Table1[[#This Row],[Date]],"[$-en-US]ddd")</f>
        <v>Thu</v>
      </c>
    </row>
    <row r="2557" spans="1:11" x14ac:dyDescent="0.25">
      <c r="A2557">
        <v>7</v>
      </c>
      <c r="B2557" t="s">
        <v>9</v>
      </c>
      <c r="C2557">
        <v>25.96</v>
      </c>
      <c r="D2557" t="s">
        <v>16</v>
      </c>
      <c r="E2557" t="s">
        <v>11</v>
      </c>
      <c r="F2557" t="s">
        <v>37</v>
      </c>
      <c r="G2557">
        <v>5</v>
      </c>
      <c r="H2557">
        <v>12</v>
      </c>
      <c r="I2557" s="13">
        <v>45653</v>
      </c>
      <c r="J2557" s="13" t="str">
        <f>TEXT(Table1[[#This Row],[Date]],"[$-en-US]mmm yyyy")</f>
        <v>Dec 2024</v>
      </c>
      <c r="K2557" s="13" t="str">
        <f>TEXT(Table1[[#This Row],[Date]],"[$-en-US]ddd")</f>
        <v>Fri</v>
      </c>
    </row>
    <row r="2558" spans="1:11" x14ac:dyDescent="0.25">
      <c r="A2558">
        <v>8</v>
      </c>
      <c r="B2558" t="s">
        <v>9</v>
      </c>
      <c r="C2558">
        <v>25.96</v>
      </c>
      <c r="D2558" t="s">
        <v>22</v>
      </c>
      <c r="E2558" t="s">
        <v>11</v>
      </c>
      <c r="F2558" t="s">
        <v>37</v>
      </c>
      <c r="G2558">
        <v>5</v>
      </c>
      <c r="H2558">
        <v>12</v>
      </c>
      <c r="I2558" s="13">
        <v>45653</v>
      </c>
      <c r="J2558" s="13" t="str">
        <f>TEXT(Table1[[#This Row],[Date]],"[$-en-US]mmm yyyy")</f>
        <v>Dec 2024</v>
      </c>
      <c r="K2558" s="13" t="str">
        <f>TEXT(Table1[[#This Row],[Date]],"[$-en-US]ddd")</f>
        <v>Fri</v>
      </c>
    </row>
    <row r="2559" spans="1:11" x14ac:dyDescent="0.25">
      <c r="A2559">
        <v>9</v>
      </c>
      <c r="B2559" t="s">
        <v>9</v>
      </c>
      <c r="C2559">
        <v>25.96</v>
      </c>
      <c r="D2559" t="s">
        <v>22</v>
      </c>
      <c r="E2559" t="s">
        <v>11</v>
      </c>
      <c r="F2559" t="s">
        <v>37</v>
      </c>
      <c r="G2559">
        <v>5</v>
      </c>
      <c r="H2559">
        <v>12</v>
      </c>
      <c r="I2559" s="13">
        <v>45653</v>
      </c>
      <c r="J2559" s="13" t="str">
        <f>TEXT(Table1[[#This Row],[Date]],"[$-en-US]mmm yyyy")</f>
        <v>Dec 2024</v>
      </c>
      <c r="K2559" s="13" t="str">
        <f>TEXT(Table1[[#This Row],[Date]],"[$-en-US]ddd")</f>
        <v>Fri</v>
      </c>
    </row>
    <row r="2560" spans="1:11" x14ac:dyDescent="0.25">
      <c r="A2560">
        <v>10</v>
      </c>
      <c r="B2560" t="s">
        <v>9</v>
      </c>
      <c r="C2560">
        <v>30.86</v>
      </c>
      <c r="D2560" t="s">
        <v>17</v>
      </c>
      <c r="E2560" t="s">
        <v>11</v>
      </c>
      <c r="F2560" t="s">
        <v>37</v>
      </c>
      <c r="G2560">
        <v>5</v>
      </c>
      <c r="H2560">
        <v>12</v>
      </c>
      <c r="I2560" s="13">
        <v>45653</v>
      </c>
      <c r="J2560" s="13" t="str">
        <f>TEXT(Table1[[#This Row],[Date]],"[$-en-US]mmm yyyy")</f>
        <v>Dec 2024</v>
      </c>
      <c r="K2560" s="13" t="str">
        <f>TEXT(Table1[[#This Row],[Date]],"[$-en-US]ddd")</f>
        <v>Fri</v>
      </c>
    </row>
    <row r="2561" spans="1:11" x14ac:dyDescent="0.25">
      <c r="A2561">
        <v>17</v>
      </c>
      <c r="B2561" t="s">
        <v>9</v>
      </c>
      <c r="C2561">
        <v>35.76</v>
      </c>
      <c r="D2561" t="s">
        <v>10</v>
      </c>
      <c r="E2561" t="s">
        <v>18</v>
      </c>
      <c r="F2561" t="s">
        <v>37</v>
      </c>
      <c r="G2561">
        <v>5</v>
      </c>
      <c r="H2561">
        <v>12</v>
      </c>
      <c r="I2561" s="13">
        <v>45653</v>
      </c>
      <c r="J2561" s="13" t="str">
        <f>TEXT(Table1[[#This Row],[Date]],"[$-en-US]mmm yyyy")</f>
        <v>Dec 2024</v>
      </c>
      <c r="K2561" s="13" t="str">
        <f>TEXT(Table1[[#This Row],[Date]],"[$-en-US]ddd")</f>
        <v>Fri</v>
      </c>
    </row>
    <row r="2562" spans="1:11" x14ac:dyDescent="0.25">
      <c r="A2562">
        <v>19</v>
      </c>
      <c r="B2562" t="s">
        <v>9</v>
      </c>
      <c r="C2562">
        <v>25.96</v>
      </c>
      <c r="D2562" t="s">
        <v>16</v>
      </c>
      <c r="E2562" t="s">
        <v>18</v>
      </c>
      <c r="F2562" t="s">
        <v>37</v>
      </c>
      <c r="G2562">
        <v>5</v>
      </c>
      <c r="H2562">
        <v>12</v>
      </c>
      <c r="I2562" s="13">
        <v>45653</v>
      </c>
      <c r="J2562" s="13" t="str">
        <f>TEXT(Table1[[#This Row],[Date]],"[$-en-US]mmm yyyy")</f>
        <v>Dec 2024</v>
      </c>
      <c r="K2562" s="13" t="str">
        <f>TEXT(Table1[[#This Row],[Date]],"[$-en-US]ddd")</f>
        <v>Fri</v>
      </c>
    </row>
    <row r="2563" spans="1:11" x14ac:dyDescent="0.25">
      <c r="A2563">
        <v>19</v>
      </c>
      <c r="B2563" t="s">
        <v>9</v>
      </c>
      <c r="C2563">
        <v>30.86</v>
      </c>
      <c r="D2563" t="s">
        <v>17</v>
      </c>
      <c r="E2563" t="s">
        <v>18</v>
      </c>
      <c r="F2563" t="s">
        <v>37</v>
      </c>
      <c r="G2563">
        <v>5</v>
      </c>
      <c r="H2563">
        <v>12</v>
      </c>
      <c r="I2563" s="13">
        <v>45653</v>
      </c>
      <c r="J2563" s="13" t="str">
        <f>TEXT(Table1[[#This Row],[Date]],"[$-en-US]mmm yyyy")</f>
        <v>Dec 2024</v>
      </c>
      <c r="K2563" s="13" t="str">
        <f>TEXT(Table1[[#This Row],[Date]],"[$-en-US]ddd")</f>
        <v>Fri</v>
      </c>
    </row>
    <row r="2564" spans="1:11" x14ac:dyDescent="0.25">
      <c r="A2564">
        <v>22</v>
      </c>
      <c r="B2564" t="s">
        <v>9</v>
      </c>
      <c r="C2564">
        <v>35.76</v>
      </c>
      <c r="D2564" t="s">
        <v>19</v>
      </c>
      <c r="E2564" t="s">
        <v>18</v>
      </c>
      <c r="F2564" t="s">
        <v>37</v>
      </c>
      <c r="G2564">
        <v>5</v>
      </c>
      <c r="H2564">
        <v>12</v>
      </c>
      <c r="I2564" s="13">
        <v>45653</v>
      </c>
      <c r="J2564" s="13" t="str">
        <f>TEXT(Table1[[#This Row],[Date]],"[$-en-US]mmm yyyy")</f>
        <v>Dec 2024</v>
      </c>
      <c r="K2564" s="13" t="str">
        <f>TEXT(Table1[[#This Row],[Date]],"[$-en-US]ddd")</f>
        <v>Fri</v>
      </c>
    </row>
    <row r="2565" spans="1:11" x14ac:dyDescent="0.25">
      <c r="A2565">
        <v>9</v>
      </c>
      <c r="B2565" t="s">
        <v>9</v>
      </c>
      <c r="C2565">
        <v>25.96</v>
      </c>
      <c r="D2565" t="s">
        <v>22</v>
      </c>
      <c r="E2565" t="s">
        <v>11</v>
      </c>
      <c r="F2565" t="s">
        <v>37</v>
      </c>
      <c r="G2565">
        <v>6</v>
      </c>
      <c r="H2565">
        <v>12</v>
      </c>
      <c r="I2565" s="13">
        <v>45654</v>
      </c>
      <c r="J2565" s="13" t="str">
        <f>TEXT(Table1[[#This Row],[Date]],"[$-en-US]mmm yyyy")</f>
        <v>Dec 2024</v>
      </c>
      <c r="K2565" s="13" t="str">
        <f>TEXT(Table1[[#This Row],[Date]],"[$-en-US]ddd")</f>
        <v>Sat</v>
      </c>
    </row>
    <row r="2566" spans="1:11" x14ac:dyDescent="0.25">
      <c r="A2566">
        <v>9</v>
      </c>
      <c r="B2566" t="s">
        <v>9</v>
      </c>
      <c r="C2566">
        <v>25.96</v>
      </c>
      <c r="D2566" t="s">
        <v>22</v>
      </c>
      <c r="E2566" t="s">
        <v>11</v>
      </c>
      <c r="F2566" t="s">
        <v>37</v>
      </c>
      <c r="G2566">
        <v>6</v>
      </c>
      <c r="H2566">
        <v>12</v>
      </c>
      <c r="I2566" s="13">
        <v>45654</v>
      </c>
      <c r="J2566" s="13" t="str">
        <f>TEXT(Table1[[#This Row],[Date]],"[$-en-US]mmm yyyy")</f>
        <v>Dec 2024</v>
      </c>
      <c r="K2566" s="13" t="str">
        <f>TEXT(Table1[[#This Row],[Date]],"[$-en-US]ddd")</f>
        <v>Sat</v>
      </c>
    </row>
    <row r="2567" spans="1:11" x14ac:dyDescent="0.25">
      <c r="A2567">
        <v>10</v>
      </c>
      <c r="B2567" t="s">
        <v>9</v>
      </c>
      <c r="C2567">
        <v>30.86</v>
      </c>
      <c r="D2567" t="s">
        <v>17</v>
      </c>
      <c r="E2567" t="s">
        <v>11</v>
      </c>
      <c r="F2567" t="s">
        <v>37</v>
      </c>
      <c r="G2567">
        <v>6</v>
      </c>
      <c r="H2567">
        <v>12</v>
      </c>
      <c r="I2567" s="13">
        <v>45654</v>
      </c>
      <c r="J2567" s="13" t="str">
        <f>TEXT(Table1[[#This Row],[Date]],"[$-en-US]mmm yyyy")</f>
        <v>Dec 2024</v>
      </c>
      <c r="K2567" s="13" t="str">
        <f>TEXT(Table1[[#This Row],[Date]],"[$-en-US]ddd")</f>
        <v>Sat</v>
      </c>
    </row>
    <row r="2568" spans="1:11" x14ac:dyDescent="0.25">
      <c r="A2568">
        <v>10</v>
      </c>
      <c r="B2568" t="s">
        <v>9</v>
      </c>
      <c r="C2568">
        <v>35.76</v>
      </c>
      <c r="D2568" t="s">
        <v>10</v>
      </c>
      <c r="E2568" t="s">
        <v>11</v>
      </c>
      <c r="F2568" t="s">
        <v>37</v>
      </c>
      <c r="G2568">
        <v>6</v>
      </c>
      <c r="H2568">
        <v>12</v>
      </c>
      <c r="I2568" s="13">
        <v>45654</v>
      </c>
      <c r="J2568" s="13" t="str">
        <f>TEXT(Table1[[#This Row],[Date]],"[$-en-US]mmm yyyy")</f>
        <v>Dec 2024</v>
      </c>
      <c r="K2568" s="13" t="str">
        <f>TEXT(Table1[[#This Row],[Date]],"[$-en-US]ddd")</f>
        <v>Sat</v>
      </c>
    </row>
    <row r="2569" spans="1:11" x14ac:dyDescent="0.25">
      <c r="A2569">
        <v>14</v>
      </c>
      <c r="B2569" t="s">
        <v>9</v>
      </c>
      <c r="C2569">
        <v>35.76</v>
      </c>
      <c r="D2569" t="s">
        <v>27</v>
      </c>
      <c r="E2569" t="s">
        <v>15</v>
      </c>
      <c r="F2569" t="s">
        <v>37</v>
      </c>
      <c r="G2569">
        <v>6</v>
      </c>
      <c r="H2569">
        <v>12</v>
      </c>
      <c r="I2569" s="13">
        <v>45654</v>
      </c>
      <c r="J2569" s="13" t="str">
        <f>TEXT(Table1[[#This Row],[Date]],"[$-en-US]mmm yyyy")</f>
        <v>Dec 2024</v>
      </c>
      <c r="K2569" s="13" t="str">
        <f>TEXT(Table1[[#This Row],[Date]],"[$-en-US]ddd")</f>
        <v>Sat</v>
      </c>
    </row>
    <row r="2570" spans="1:11" x14ac:dyDescent="0.25">
      <c r="A2570">
        <v>14</v>
      </c>
      <c r="B2570" t="s">
        <v>9</v>
      </c>
      <c r="C2570">
        <v>35.76</v>
      </c>
      <c r="D2570" t="s">
        <v>14</v>
      </c>
      <c r="E2570" t="s">
        <v>15</v>
      </c>
      <c r="F2570" t="s">
        <v>37</v>
      </c>
      <c r="G2570">
        <v>6</v>
      </c>
      <c r="H2570">
        <v>12</v>
      </c>
      <c r="I2570" s="13">
        <v>45654</v>
      </c>
      <c r="J2570" s="13" t="str">
        <f>TEXT(Table1[[#This Row],[Date]],"[$-en-US]mmm yyyy")</f>
        <v>Dec 2024</v>
      </c>
      <c r="K2570" s="13" t="str">
        <f>TEXT(Table1[[#This Row],[Date]],"[$-en-US]ddd")</f>
        <v>Sat</v>
      </c>
    </row>
    <row r="2571" spans="1:11" x14ac:dyDescent="0.25">
      <c r="A2571">
        <v>17</v>
      </c>
      <c r="B2571" t="s">
        <v>9</v>
      </c>
      <c r="C2571">
        <v>35.76</v>
      </c>
      <c r="D2571" t="s">
        <v>10</v>
      </c>
      <c r="E2571" t="s">
        <v>18</v>
      </c>
      <c r="F2571" t="s">
        <v>37</v>
      </c>
      <c r="G2571">
        <v>6</v>
      </c>
      <c r="H2571">
        <v>12</v>
      </c>
      <c r="I2571" s="13">
        <v>45654</v>
      </c>
      <c r="J2571" s="13" t="str">
        <f>TEXT(Table1[[#This Row],[Date]],"[$-en-US]mmm yyyy")</f>
        <v>Dec 2024</v>
      </c>
      <c r="K2571" s="13" t="str">
        <f>TEXT(Table1[[#This Row],[Date]],"[$-en-US]ddd")</f>
        <v>Sat</v>
      </c>
    </row>
    <row r="2572" spans="1:11" x14ac:dyDescent="0.25">
      <c r="A2572">
        <v>22</v>
      </c>
      <c r="B2572" t="s">
        <v>9</v>
      </c>
      <c r="C2572">
        <v>35.76</v>
      </c>
      <c r="D2572" t="s">
        <v>27</v>
      </c>
      <c r="E2572" t="s">
        <v>18</v>
      </c>
      <c r="F2572" t="s">
        <v>37</v>
      </c>
      <c r="G2572">
        <v>6</v>
      </c>
      <c r="H2572">
        <v>12</v>
      </c>
      <c r="I2572" s="13">
        <v>45654</v>
      </c>
      <c r="J2572" s="13" t="str">
        <f>TEXT(Table1[[#This Row],[Date]],"[$-en-US]mmm yyyy")</f>
        <v>Dec 2024</v>
      </c>
      <c r="K2572" s="13" t="str">
        <f>TEXT(Table1[[#This Row],[Date]],"[$-en-US]ddd")</f>
        <v>Sat</v>
      </c>
    </row>
    <row r="2573" spans="1:11" x14ac:dyDescent="0.25">
      <c r="A2573">
        <v>13</v>
      </c>
      <c r="B2573" t="s">
        <v>9</v>
      </c>
      <c r="C2573">
        <v>25.96</v>
      </c>
      <c r="D2573" t="s">
        <v>22</v>
      </c>
      <c r="E2573" t="s">
        <v>15</v>
      </c>
      <c r="F2573" t="s">
        <v>37</v>
      </c>
      <c r="G2573">
        <v>7</v>
      </c>
      <c r="H2573">
        <v>12</v>
      </c>
      <c r="I2573" s="13">
        <v>45655</v>
      </c>
      <c r="J2573" s="13" t="str">
        <f>TEXT(Table1[[#This Row],[Date]],"[$-en-US]mmm yyyy")</f>
        <v>Dec 2024</v>
      </c>
      <c r="K2573" s="13" t="str">
        <f>TEXT(Table1[[#This Row],[Date]],"[$-en-US]ddd")</f>
        <v>Sun</v>
      </c>
    </row>
    <row r="2574" spans="1:11" x14ac:dyDescent="0.25">
      <c r="A2574">
        <v>15</v>
      </c>
      <c r="B2574" t="s">
        <v>9</v>
      </c>
      <c r="C2574">
        <v>21.06</v>
      </c>
      <c r="D2574" t="s">
        <v>24</v>
      </c>
      <c r="E2574" t="s">
        <v>15</v>
      </c>
      <c r="F2574" t="s">
        <v>37</v>
      </c>
      <c r="G2574">
        <v>7</v>
      </c>
      <c r="H2574">
        <v>12</v>
      </c>
      <c r="I2574" s="13">
        <v>45655</v>
      </c>
      <c r="J2574" s="13" t="str">
        <f>TEXT(Table1[[#This Row],[Date]],"[$-en-US]mmm yyyy")</f>
        <v>Dec 2024</v>
      </c>
      <c r="K2574" s="13" t="str">
        <f>TEXT(Table1[[#This Row],[Date]],"[$-en-US]ddd")</f>
        <v>Sun</v>
      </c>
    </row>
    <row r="2575" spans="1:11" x14ac:dyDescent="0.25">
      <c r="A2575">
        <v>15</v>
      </c>
      <c r="B2575" t="s">
        <v>9</v>
      </c>
      <c r="C2575">
        <v>25.96</v>
      </c>
      <c r="D2575" t="s">
        <v>16</v>
      </c>
      <c r="E2575" t="s">
        <v>15</v>
      </c>
      <c r="F2575" t="s">
        <v>37</v>
      </c>
      <c r="G2575">
        <v>7</v>
      </c>
      <c r="H2575">
        <v>12</v>
      </c>
      <c r="I2575" s="13">
        <v>45655</v>
      </c>
      <c r="J2575" s="13" t="str">
        <f>TEXT(Table1[[#This Row],[Date]],"[$-en-US]mmm yyyy")</f>
        <v>Dec 2024</v>
      </c>
      <c r="K2575" s="13" t="str">
        <f>TEXT(Table1[[#This Row],[Date]],"[$-en-US]ddd")</f>
        <v>Sun</v>
      </c>
    </row>
    <row r="2576" spans="1:11" x14ac:dyDescent="0.25">
      <c r="A2576">
        <v>17</v>
      </c>
      <c r="B2576" t="s">
        <v>9</v>
      </c>
      <c r="C2576">
        <v>25.96</v>
      </c>
      <c r="D2576" t="s">
        <v>22</v>
      </c>
      <c r="E2576" t="s">
        <v>18</v>
      </c>
      <c r="F2576" t="s">
        <v>37</v>
      </c>
      <c r="G2576">
        <v>7</v>
      </c>
      <c r="H2576">
        <v>12</v>
      </c>
      <c r="I2576" s="13">
        <v>45655</v>
      </c>
      <c r="J2576" s="13" t="str">
        <f>TEXT(Table1[[#This Row],[Date]],"[$-en-US]mmm yyyy")</f>
        <v>Dec 2024</v>
      </c>
      <c r="K2576" s="13" t="str">
        <f>TEXT(Table1[[#This Row],[Date]],"[$-en-US]ddd")</f>
        <v>Sun</v>
      </c>
    </row>
    <row r="2577" spans="1:11" x14ac:dyDescent="0.25">
      <c r="A2577">
        <v>17</v>
      </c>
      <c r="B2577" t="s">
        <v>9</v>
      </c>
      <c r="C2577">
        <v>21.06</v>
      </c>
      <c r="D2577" t="s">
        <v>24</v>
      </c>
      <c r="E2577" t="s">
        <v>18</v>
      </c>
      <c r="F2577" t="s">
        <v>37</v>
      </c>
      <c r="G2577">
        <v>7</v>
      </c>
      <c r="H2577">
        <v>12</v>
      </c>
      <c r="I2577" s="13">
        <v>45655</v>
      </c>
      <c r="J2577" s="13" t="str">
        <f>TEXT(Table1[[#This Row],[Date]],"[$-en-US]mmm yyyy")</f>
        <v>Dec 2024</v>
      </c>
      <c r="K2577" s="13" t="str">
        <f>TEXT(Table1[[#This Row],[Date]],"[$-en-US]ddd")</f>
        <v>Sun</v>
      </c>
    </row>
    <row r="2578" spans="1:11" x14ac:dyDescent="0.25">
      <c r="A2578">
        <v>19</v>
      </c>
      <c r="B2578" t="s">
        <v>9</v>
      </c>
      <c r="C2578">
        <v>25.96</v>
      </c>
      <c r="D2578" t="s">
        <v>22</v>
      </c>
      <c r="E2578" t="s">
        <v>18</v>
      </c>
      <c r="F2578" t="s">
        <v>37</v>
      </c>
      <c r="G2578">
        <v>7</v>
      </c>
      <c r="H2578">
        <v>12</v>
      </c>
      <c r="I2578" s="13">
        <v>45655</v>
      </c>
      <c r="J2578" s="13" t="str">
        <f>TEXT(Table1[[#This Row],[Date]],"[$-en-US]mmm yyyy")</f>
        <v>Dec 2024</v>
      </c>
      <c r="K2578" s="13" t="str">
        <f>TEXT(Table1[[#This Row],[Date]],"[$-en-US]ddd")</f>
        <v>Sun</v>
      </c>
    </row>
    <row r="2579" spans="1:11" x14ac:dyDescent="0.25">
      <c r="A2579">
        <v>20</v>
      </c>
      <c r="B2579" t="s">
        <v>9</v>
      </c>
      <c r="C2579">
        <v>35.76</v>
      </c>
      <c r="D2579" t="s">
        <v>14</v>
      </c>
      <c r="E2579" t="s">
        <v>18</v>
      </c>
      <c r="F2579" t="s">
        <v>37</v>
      </c>
      <c r="G2579">
        <v>7</v>
      </c>
      <c r="H2579">
        <v>12</v>
      </c>
      <c r="I2579" s="13">
        <v>45655</v>
      </c>
      <c r="J2579" s="13" t="str">
        <f>TEXT(Table1[[#This Row],[Date]],"[$-en-US]mmm yyyy")</f>
        <v>Dec 2024</v>
      </c>
      <c r="K2579" s="13" t="str">
        <f>TEXT(Table1[[#This Row],[Date]],"[$-en-US]ddd")</f>
        <v>Sun</v>
      </c>
    </row>
    <row r="2580" spans="1:11" x14ac:dyDescent="0.25">
      <c r="A2580">
        <v>21</v>
      </c>
      <c r="B2580" t="s">
        <v>9</v>
      </c>
      <c r="C2580">
        <v>35.76</v>
      </c>
      <c r="D2580" t="s">
        <v>10</v>
      </c>
      <c r="E2580" t="s">
        <v>18</v>
      </c>
      <c r="F2580" t="s">
        <v>37</v>
      </c>
      <c r="G2580">
        <v>7</v>
      </c>
      <c r="H2580">
        <v>12</v>
      </c>
      <c r="I2580" s="13">
        <v>45655</v>
      </c>
      <c r="J2580" s="13" t="str">
        <f>TEXT(Table1[[#This Row],[Date]],"[$-en-US]mmm yyyy")</f>
        <v>Dec 2024</v>
      </c>
      <c r="K2580" s="13" t="str">
        <f>TEXT(Table1[[#This Row],[Date]],"[$-en-US]ddd")</f>
        <v>Sun</v>
      </c>
    </row>
    <row r="2581" spans="1:11" x14ac:dyDescent="0.25">
      <c r="A2581">
        <v>9</v>
      </c>
      <c r="B2581" t="s">
        <v>9</v>
      </c>
      <c r="C2581">
        <v>25.96</v>
      </c>
      <c r="D2581" t="s">
        <v>22</v>
      </c>
      <c r="E2581" t="s">
        <v>11</v>
      </c>
      <c r="F2581" t="s">
        <v>37</v>
      </c>
      <c r="G2581">
        <v>1</v>
      </c>
      <c r="H2581">
        <v>12</v>
      </c>
      <c r="I2581" s="13">
        <v>45656</v>
      </c>
      <c r="J2581" s="13" t="str">
        <f>TEXT(Table1[[#This Row],[Date]],"[$-en-US]mmm yyyy")</f>
        <v>Dec 2024</v>
      </c>
      <c r="K2581" s="13" t="str">
        <f>TEXT(Table1[[#This Row],[Date]],"[$-en-US]ddd")</f>
        <v>Mon</v>
      </c>
    </row>
    <row r="2582" spans="1:11" x14ac:dyDescent="0.25">
      <c r="A2582">
        <v>9</v>
      </c>
      <c r="B2582" t="s">
        <v>9</v>
      </c>
      <c r="C2582">
        <v>30.86</v>
      </c>
      <c r="D2582" t="s">
        <v>17</v>
      </c>
      <c r="E2582" t="s">
        <v>11</v>
      </c>
      <c r="F2582" t="s">
        <v>37</v>
      </c>
      <c r="G2582">
        <v>1</v>
      </c>
      <c r="H2582">
        <v>12</v>
      </c>
      <c r="I2582" s="13">
        <v>45656</v>
      </c>
      <c r="J2582" s="13" t="str">
        <f>TEXT(Table1[[#This Row],[Date]],"[$-en-US]mmm yyyy")</f>
        <v>Dec 2024</v>
      </c>
      <c r="K2582" s="13" t="str">
        <f>TEXT(Table1[[#This Row],[Date]],"[$-en-US]ddd")</f>
        <v>Mon</v>
      </c>
    </row>
    <row r="2583" spans="1:11" x14ac:dyDescent="0.25">
      <c r="A2583">
        <v>13</v>
      </c>
      <c r="B2583" t="s">
        <v>9</v>
      </c>
      <c r="C2583">
        <v>35.76</v>
      </c>
      <c r="D2583" t="s">
        <v>10</v>
      </c>
      <c r="E2583" t="s">
        <v>15</v>
      </c>
      <c r="F2583" t="s">
        <v>37</v>
      </c>
      <c r="G2583">
        <v>1</v>
      </c>
      <c r="H2583">
        <v>12</v>
      </c>
      <c r="I2583" s="13">
        <v>45656</v>
      </c>
      <c r="J2583" s="13" t="str">
        <f>TEXT(Table1[[#This Row],[Date]],"[$-en-US]mmm yyyy")</f>
        <v>Dec 2024</v>
      </c>
      <c r="K2583" s="13" t="str">
        <f>TEXT(Table1[[#This Row],[Date]],"[$-en-US]ddd")</f>
        <v>Mon</v>
      </c>
    </row>
    <row r="2584" spans="1:11" x14ac:dyDescent="0.25">
      <c r="A2584">
        <v>13</v>
      </c>
      <c r="B2584" t="s">
        <v>9</v>
      </c>
      <c r="C2584">
        <v>35.76</v>
      </c>
      <c r="D2584" t="s">
        <v>14</v>
      </c>
      <c r="E2584" t="s">
        <v>15</v>
      </c>
      <c r="F2584" t="s">
        <v>37</v>
      </c>
      <c r="G2584">
        <v>1</v>
      </c>
      <c r="H2584">
        <v>12</v>
      </c>
      <c r="I2584" s="13">
        <v>45656</v>
      </c>
      <c r="J2584" s="13" t="str">
        <f>TEXT(Table1[[#This Row],[Date]],"[$-en-US]mmm yyyy")</f>
        <v>Dec 2024</v>
      </c>
      <c r="K2584" s="13" t="str">
        <f>TEXT(Table1[[#This Row],[Date]],"[$-en-US]ddd")</f>
        <v>Mon</v>
      </c>
    </row>
    <row r="2585" spans="1:11" x14ac:dyDescent="0.25">
      <c r="A2585">
        <v>15</v>
      </c>
      <c r="B2585" t="s">
        <v>9</v>
      </c>
      <c r="C2585">
        <v>35.76</v>
      </c>
      <c r="D2585" t="s">
        <v>10</v>
      </c>
      <c r="E2585" t="s">
        <v>15</v>
      </c>
      <c r="F2585" t="s">
        <v>37</v>
      </c>
      <c r="G2585">
        <v>1</v>
      </c>
      <c r="H2585">
        <v>12</v>
      </c>
      <c r="I2585" s="13">
        <v>45656</v>
      </c>
      <c r="J2585" s="13" t="str">
        <f>TEXT(Table1[[#This Row],[Date]],"[$-en-US]mmm yyyy")</f>
        <v>Dec 2024</v>
      </c>
      <c r="K2585" s="13" t="str">
        <f>TEXT(Table1[[#This Row],[Date]],"[$-en-US]ddd")</f>
        <v>Mon</v>
      </c>
    </row>
    <row r="2586" spans="1:11" x14ac:dyDescent="0.25">
      <c r="A2586">
        <v>15</v>
      </c>
      <c r="B2586" t="s">
        <v>9</v>
      </c>
      <c r="C2586">
        <v>30.86</v>
      </c>
      <c r="D2586" t="s">
        <v>17</v>
      </c>
      <c r="E2586" t="s">
        <v>15</v>
      </c>
      <c r="F2586" t="s">
        <v>37</v>
      </c>
      <c r="G2586">
        <v>1</v>
      </c>
      <c r="H2586">
        <v>12</v>
      </c>
      <c r="I2586" s="13">
        <v>45656</v>
      </c>
      <c r="J2586" s="13" t="str">
        <f>TEXT(Table1[[#This Row],[Date]],"[$-en-US]mmm yyyy")</f>
        <v>Dec 2024</v>
      </c>
      <c r="K2586" s="13" t="str">
        <f>TEXT(Table1[[#This Row],[Date]],"[$-en-US]ddd")</f>
        <v>Mon</v>
      </c>
    </row>
    <row r="2587" spans="1:11" x14ac:dyDescent="0.25">
      <c r="A2587">
        <v>16</v>
      </c>
      <c r="B2587" t="s">
        <v>9</v>
      </c>
      <c r="C2587">
        <v>30.86</v>
      </c>
      <c r="D2587" t="s">
        <v>17</v>
      </c>
      <c r="E2587" t="s">
        <v>15</v>
      </c>
      <c r="F2587" t="s">
        <v>37</v>
      </c>
      <c r="G2587">
        <v>1</v>
      </c>
      <c r="H2587">
        <v>12</v>
      </c>
      <c r="I2587" s="13">
        <v>45656</v>
      </c>
      <c r="J2587" s="13" t="str">
        <f>TEXT(Table1[[#This Row],[Date]],"[$-en-US]mmm yyyy")</f>
        <v>Dec 2024</v>
      </c>
      <c r="K2587" s="13" t="str">
        <f>TEXT(Table1[[#This Row],[Date]],"[$-en-US]ddd")</f>
        <v>Mon</v>
      </c>
    </row>
    <row r="2588" spans="1:11" x14ac:dyDescent="0.25">
      <c r="A2588">
        <v>16</v>
      </c>
      <c r="B2588" t="s">
        <v>9</v>
      </c>
      <c r="C2588">
        <v>25.96</v>
      </c>
      <c r="D2588" t="s">
        <v>16</v>
      </c>
      <c r="E2588" t="s">
        <v>15</v>
      </c>
      <c r="F2588" t="s">
        <v>37</v>
      </c>
      <c r="G2588">
        <v>1</v>
      </c>
      <c r="H2588">
        <v>12</v>
      </c>
      <c r="I2588" s="13">
        <v>45656</v>
      </c>
      <c r="J2588" s="13" t="str">
        <f>TEXT(Table1[[#This Row],[Date]],"[$-en-US]mmm yyyy")</f>
        <v>Dec 2024</v>
      </c>
      <c r="K2588" s="13" t="str">
        <f>TEXT(Table1[[#This Row],[Date]],"[$-en-US]ddd")</f>
        <v>Mon</v>
      </c>
    </row>
    <row r="2589" spans="1:11" x14ac:dyDescent="0.25">
      <c r="A2589">
        <v>16</v>
      </c>
      <c r="B2589" t="s">
        <v>9</v>
      </c>
      <c r="C2589">
        <v>35.76</v>
      </c>
      <c r="D2589" t="s">
        <v>27</v>
      </c>
      <c r="E2589" t="s">
        <v>15</v>
      </c>
      <c r="F2589" t="s">
        <v>37</v>
      </c>
      <c r="G2589">
        <v>1</v>
      </c>
      <c r="H2589">
        <v>12</v>
      </c>
      <c r="I2589" s="13">
        <v>45656</v>
      </c>
      <c r="J2589" s="13" t="str">
        <f>TEXT(Table1[[#This Row],[Date]],"[$-en-US]mmm yyyy")</f>
        <v>Dec 2024</v>
      </c>
      <c r="K2589" s="13" t="str">
        <f>TEXT(Table1[[#This Row],[Date]],"[$-en-US]ddd")</f>
        <v>Mon</v>
      </c>
    </row>
    <row r="2590" spans="1:11" x14ac:dyDescent="0.25">
      <c r="A2590">
        <v>8</v>
      </c>
      <c r="B2590" t="s">
        <v>9</v>
      </c>
      <c r="C2590">
        <v>25.96</v>
      </c>
      <c r="D2590" t="s">
        <v>22</v>
      </c>
      <c r="E2590" t="s">
        <v>11</v>
      </c>
      <c r="F2590" t="s">
        <v>37</v>
      </c>
      <c r="G2590">
        <v>2</v>
      </c>
      <c r="H2590">
        <v>12</v>
      </c>
      <c r="I2590" s="13">
        <v>45657</v>
      </c>
      <c r="J2590" s="13" t="str">
        <f>TEXT(Table1[[#This Row],[Date]],"[$-en-US]mmm yyyy")</f>
        <v>Dec 2024</v>
      </c>
      <c r="K2590" s="13" t="str">
        <f>TEXT(Table1[[#This Row],[Date]],"[$-en-US]ddd")</f>
        <v>Tue</v>
      </c>
    </row>
    <row r="2591" spans="1:11" x14ac:dyDescent="0.25">
      <c r="A2591">
        <v>9</v>
      </c>
      <c r="B2591" t="s">
        <v>9</v>
      </c>
      <c r="C2591">
        <v>35.76</v>
      </c>
      <c r="D2591" t="s">
        <v>27</v>
      </c>
      <c r="E2591" t="s">
        <v>11</v>
      </c>
      <c r="F2591" t="s">
        <v>37</v>
      </c>
      <c r="G2591">
        <v>2</v>
      </c>
      <c r="H2591">
        <v>12</v>
      </c>
      <c r="I2591" s="13">
        <v>45657</v>
      </c>
      <c r="J2591" s="13" t="str">
        <f>TEXT(Table1[[#This Row],[Date]],"[$-en-US]mmm yyyy")</f>
        <v>Dec 2024</v>
      </c>
      <c r="K2591" s="13" t="str">
        <f>TEXT(Table1[[#This Row],[Date]],"[$-en-US]ddd")</f>
        <v>Tue</v>
      </c>
    </row>
    <row r="2592" spans="1:11" x14ac:dyDescent="0.25">
      <c r="A2592">
        <v>9</v>
      </c>
      <c r="B2592" t="s">
        <v>9</v>
      </c>
      <c r="C2592">
        <v>25.96</v>
      </c>
      <c r="D2592" t="s">
        <v>22</v>
      </c>
      <c r="E2592" t="s">
        <v>11</v>
      </c>
      <c r="F2592" t="s">
        <v>37</v>
      </c>
      <c r="G2592">
        <v>2</v>
      </c>
      <c r="H2592">
        <v>12</v>
      </c>
      <c r="I2592" s="13">
        <v>45657</v>
      </c>
      <c r="J2592" s="13" t="str">
        <f>TEXT(Table1[[#This Row],[Date]],"[$-en-US]mmm yyyy")</f>
        <v>Dec 2024</v>
      </c>
      <c r="K2592" s="13" t="str">
        <f>TEXT(Table1[[#This Row],[Date]],"[$-en-US]ddd")</f>
        <v>Tue</v>
      </c>
    </row>
    <row r="2593" spans="1:11" x14ac:dyDescent="0.25">
      <c r="A2593">
        <v>9</v>
      </c>
      <c r="B2593" t="s">
        <v>9</v>
      </c>
      <c r="C2593">
        <v>35.76</v>
      </c>
      <c r="D2593" t="s">
        <v>19</v>
      </c>
      <c r="E2593" t="s">
        <v>11</v>
      </c>
      <c r="F2593" t="s">
        <v>37</v>
      </c>
      <c r="G2593">
        <v>2</v>
      </c>
      <c r="H2593">
        <v>12</v>
      </c>
      <c r="I2593" s="13">
        <v>45657</v>
      </c>
      <c r="J2593" s="13" t="str">
        <f>TEXT(Table1[[#This Row],[Date]],"[$-en-US]mmm yyyy")</f>
        <v>Dec 2024</v>
      </c>
      <c r="K2593" s="13" t="str">
        <f>TEXT(Table1[[#This Row],[Date]],"[$-en-US]ddd")</f>
        <v>Tue</v>
      </c>
    </row>
    <row r="2594" spans="1:11" x14ac:dyDescent="0.25">
      <c r="A2594">
        <v>10</v>
      </c>
      <c r="B2594" t="s">
        <v>9</v>
      </c>
      <c r="C2594">
        <v>30.86</v>
      </c>
      <c r="D2594" t="s">
        <v>17</v>
      </c>
      <c r="E2594" t="s">
        <v>11</v>
      </c>
      <c r="F2594" t="s">
        <v>37</v>
      </c>
      <c r="G2594">
        <v>2</v>
      </c>
      <c r="H2594">
        <v>12</v>
      </c>
      <c r="I2594" s="13">
        <v>45657</v>
      </c>
      <c r="J2594" s="13" t="str">
        <f>TEXT(Table1[[#This Row],[Date]],"[$-en-US]mmm yyyy")</f>
        <v>Dec 2024</v>
      </c>
      <c r="K2594" s="13" t="str">
        <f>TEXT(Table1[[#This Row],[Date]],"[$-en-US]ddd")</f>
        <v>Tue</v>
      </c>
    </row>
    <row r="2595" spans="1:11" x14ac:dyDescent="0.25">
      <c r="A2595">
        <v>10</v>
      </c>
      <c r="B2595" t="s">
        <v>9</v>
      </c>
      <c r="C2595">
        <v>30.86</v>
      </c>
      <c r="D2595" t="s">
        <v>17</v>
      </c>
      <c r="E2595" t="s">
        <v>11</v>
      </c>
      <c r="F2595" t="s">
        <v>37</v>
      </c>
      <c r="G2595">
        <v>2</v>
      </c>
      <c r="H2595">
        <v>12</v>
      </c>
      <c r="I2595" s="13">
        <v>45657</v>
      </c>
      <c r="J2595" s="13" t="str">
        <f>TEXT(Table1[[#This Row],[Date]],"[$-en-US]mmm yyyy")</f>
        <v>Dec 2024</v>
      </c>
      <c r="K2595" s="13" t="str">
        <f>TEXT(Table1[[#This Row],[Date]],"[$-en-US]ddd")</f>
        <v>Tue</v>
      </c>
    </row>
    <row r="2596" spans="1:11" x14ac:dyDescent="0.25">
      <c r="A2596">
        <v>11</v>
      </c>
      <c r="B2596" t="s">
        <v>9</v>
      </c>
      <c r="C2596">
        <v>35.76</v>
      </c>
      <c r="D2596" t="s">
        <v>27</v>
      </c>
      <c r="E2596" t="s">
        <v>11</v>
      </c>
      <c r="F2596" t="s">
        <v>37</v>
      </c>
      <c r="G2596">
        <v>2</v>
      </c>
      <c r="H2596">
        <v>12</v>
      </c>
      <c r="I2596" s="13">
        <v>45657</v>
      </c>
      <c r="J2596" s="13" t="str">
        <f>TEXT(Table1[[#This Row],[Date]],"[$-en-US]mmm yyyy")</f>
        <v>Dec 2024</v>
      </c>
      <c r="K2596" s="13" t="str">
        <f>TEXT(Table1[[#This Row],[Date]],"[$-en-US]ddd")</f>
        <v>Tue</v>
      </c>
    </row>
    <row r="2597" spans="1:11" x14ac:dyDescent="0.25">
      <c r="A2597">
        <v>11</v>
      </c>
      <c r="B2597" t="s">
        <v>9</v>
      </c>
      <c r="C2597">
        <v>30.86</v>
      </c>
      <c r="D2597" t="s">
        <v>17</v>
      </c>
      <c r="E2597" t="s">
        <v>11</v>
      </c>
      <c r="F2597" t="s">
        <v>37</v>
      </c>
      <c r="G2597">
        <v>2</v>
      </c>
      <c r="H2597">
        <v>12</v>
      </c>
      <c r="I2597" s="13">
        <v>45657</v>
      </c>
      <c r="J2597" s="13" t="str">
        <f>TEXT(Table1[[#This Row],[Date]],"[$-en-US]mmm yyyy")</f>
        <v>Dec 2024</v>
      </c>
      <c r="K2597" s="13" t="str">
        <f>TEXT(Table1[[#This Row],[Date]],"[$-en-US]ddd")</f>
        <v>Tue</v>
      </c>
    </row>
    <row r="2598" spans="1:11" x14ac:dyDescent="0.25">
      <c r="A2598">
        <v>15</v>
      </c>
      <c r="B2598" t="s">
        <v>9</v>
      </c>
      <c r="C2598">
        <v>21.06</v>
      </c>
      <c r="D2598" t="s">
        <v>24</v>
      </c>
      <c r="E2598" t="s">
        <v>15</v>
      </c>
      <c r="F2598" t="s">
        <v>37</v>
      </c>
      <c r="G2598">
        <v>2</v>
      </c>
      <c r="H2598">
        <v>12</v>
      </c>
      <c r="I2598" s="13">
        <v>45657</v>
      </c>
      <c r="J2598" s="13" t="str">
        <f>TEXT(Table1[[#This Row],[Date]],"[$-en-US]mmm yyyy")</f>
        <v>Dec 2024</v>
      </c>
      <c r="K2598" s="13" t="str">
        <f>TEXT(Table1[[#This Row],[Date]],"[$-en-US]ddd")</f>
        <v>Tue</v>
      </c>
    </row>
    <row r="2599" spans="1:11" x14ac:dyDescent="0.25">
      <c r="A2599">
        <v>15</v>
      </c>
      <c r="B2599" t="s">
        <v>9</v>
      </c>
      <c r="C2599">
        <v>25.96</v>
      </c>
      <c r="D2599" t="s">
        <v>16</v>
      </c>
      <c r="E2599" t="s">
        <v>15</v>
      </c>
      <c r="F2599" t="s">
        <v>37</v>
      </c>
      <c r="G2599">
        <v>2</v>
      </c>
      <c r="H2599">
        <v>12</v>
      </c>
      <c r="I2599" s="13">
        <v>45657</v>
      </c>
      <c r="J2599" s="13" t="str">
        <f>TEXT(Table1[[#This Row],[Date]],"[$-en-US]mmm yyyy")</f>
        <v>Dec 2024</v>
      </c>
      <c r="K2599" s="13" t="str">
        <f>TEXT(Table1[[#This Row],[Date]],"[$-en-US]ddd")</f>
        <v>Tue</v>
      </c>
    </row>
    <row r="2600" spans="1:11" x14ac:dyDescent="0.25">
      <c r="A2600">
        <v>16</v>
      </c>
      <c r="B2600" t="s">
        <v>9</v>
      </c>
      <c r="C2600">
        <v>35.76</v>
      </c>
      <c r="D2600" t="s">
        <v>27</v>
      </c>
      <c r="E2600" t="s">
        <v>15</v>
      </c>
      <c r="F2600" t="s">
        <v>37</v>
      </c>
      <c r="G2600">
        <v>2</v>
      </c>
      <c r="H2600">
        <v>12</v>
      </c>
      <c r="I2600" s="13">
        <v>45657</v>
      </c>
      <c r="J2600" s="13" t="str">
        <f>TEXT(Table1[[#This Row],[Date]],"[$-en-US]mmm yyyy")</f>
        <v>Dec 2024</v>
      </c>
      <c r="K2600" s="13" t="str">
        <f>TEXT(Table1[[#This Row],[Date]],"[$-en-US]ddd")</f>
        <v>Tue</v>
      </c>
    </row>
    <row r="2601" spans="1:11" x14ac:dyDescent="0.25">
      <c r="A2601">
        <v>17</v>
      </c>
      <c r="B2601" t="s">
        <v>9</v>
      </c>
      <c r="C2601">
        <v>35.76</v>
      </c>
      <c r="D2601" t="s">
        <v>10</v>
      </c>
      <c r="E2601" t="s">
        <v>18</v>
      </c>
      <c r="F2601" t="s">
        <v>37</v>
      </c>
      <c r="G2601">
        <v>2</v>
      </c>
      <c r="H2601">
        <v>12</v>
      </c>
      <c r="I2601" s="13">
        <v>45657</v>
      </c>
      <c r="J2601" s="13" t="str">
        <f>TEXT(Table1[[#This Row],[Date]],"[$-en-US]mmm yyyy")</f>
        <v>Dec 2024</v>
      </c>
      <c r="K2601" s="13" t="str">
        <f>TEXT(Table1[[#This Row],[Date]],"[$-en-US]ddd")</f>
        <v>Tue</v>
      </c>
    </row>
    <row r="2602" spans="1:11" x14ac:dyDescent="0.25">
      <c r="A2602">
        <v>17</v>
      </c>
      <c r="B2602" t="s">
        <v>9</v>
      </c>
      <c r="C2602">
        <v>30.86</v>
      </c>
      <c r="D2602" t="s">
        <v>17</v>
      </c>
      <c r="E2602" t="s">
        <v>18</v>
      </c>
      <c r="F2602" t="s">
        <v>37</v>
      </c>
      <c r="G2602">
        <v>2</v>
      </c>
      <c r="H2602">
        <v>12</v>
      </c>
      <c r="I2602" s="13">
        <v>45657</v>
      </c>
      <c r="J2602" s="13" t="str">
        <f>TEXT(Table1[[#This Row],[Date]],"[$-en-US]mmm yyyy")</f>
        <v>Dec 2024</v>
      </c>
      <c r="K2602" s="13" t="str">
        <f>TEXT(Table1[[#This Row],[Date]],"[$-en-US]ddd")</f>
        <v>Tue</v>
      </c>
    </row>
    <row r="2603" spans="1:11" x14ac:dyDescent="0.25">
      <c r="A2603">
        <v>17</v>
      </c>
      <c r="B2603" t="s">
        <v>9</v>
      </c>
      <c r="C2603">
        <v>35.76</v>
      </c>
      <c r="D2603" t="s">
        <v>27</v>
      </c>
      <c r="E2603" t="s">
        <v>18</v>
      </c>
      <c r="F2603" t="s">
        <v>37</v>
      </c>
      <c r="G2603">
        <v>2</v>
      </c>
      <c r="H2603">
        <v>12</v>
      </c>
      <c r="I2603" s="13">
        <v>45657</v>
      </c>
      <c r="J2603" s="13" t="str">
        <f>TEXT(Table1[[#This Row],[Date]],"[$-en-US]mmm yyyy")</f>
        <v>Dec 2024</v>
      </c>
      <c r="K2603" s="13" t="str">
        <f>TEXT(Table1[[#This Row],[Date]],"[$-en-US]ddd")</f>
        <v>Tue</v>
      </c>
    </row>
    <row r="2604" spans="1:11" x14ac:dyDescent="0.25">
      <c r="A2604">
        <v>19</v>
      </c>
      <c r="B2604" t="s">
        <v>9</v>
      </c>
      <c r="C2604">
        <v>35.76</v>
      </c>
      <c r="D2604" t="s">
        <v>10</v>
      </c>
      <c r="E2604" t="s">
        <v>18</v>
      </c>
      <c r="F2604" t="s">
        <v>37</v>
      </c>
      <c r="G2604">
        <v>2</v>
      </c>
      <c r="H2604">
        <v>12</v>
      </c>
      <c r="I2604" s="13">
        <v>45657</v>
      </c>
      <c r="J2604" s="13" t="str">
        <f>TEXT(Table1[[#This Row],[Date]],"[$-en-US]mmm yyyy")</f>
        <v>Dec 2024</v>
      </c>
      <c r="K2604" s="13" t="str">
        <f>TEXT(Table1[[#This Row],[Date]],"[$-en-US]ddd")</f>
        <v>Tue</v>
      </c>
    </row>
    <row r="2605" spans="1:11" x14ac:dyDescent="0.25">
      <c r="A2605">
        <v>19</v>
      </c>
      <c r="B2605" t="s">
        <v>9</v>
      </c>
      <c r="C2605">
        <v>35.76</v>
      </c>
      <c r="D2605" t="s">
        <v>14</v>
      </c>
      <c r="E2605" t="s">
        <v>18</v>
      </c>
      <c r="F2605" t="s">
        <v>37</v>
      </c>
      <c r="G2605">
        <v>2</v>
      </c>
      <c r="H2605">
        <v>12</v>
      </c>
      <c r="I2605" s="13">
        <v>45657</v>
      </c>
      <c r="J2605" s="13" t="str">
        <f>TEXT(Table1[[#This Row],[Date]],"[$-en-US]mmm yyyy")</f>
        <v>Dec 2024</v>
      </c>
      <c r="K2605" s="13" t="str">
        <f>TEXT(Table1[[#This Row],[Date]],"[$-en-US]ddd")</f>
        <v>Tue</v>
      </c>
    </row>
    <row r="2606" spans="1:11" x14ac:dyDescent="0.25">
      <c r="A2606">
        <v>9</v>
      </c>
      <c r="B2606" t="s">
        <v>9</v>
      </c>
      <c r="C2606">
        <v>30.86</v>
      </c>
      <c r="D2606" t="s">
        <v>17</v>
      </c>
      <c r="E2606" t="s">
        <v>11</v>
      </c>
      <c r="F2606" t="s">
        <v>38</v>
      </c>
      <c r="G2606">
        <v>4</v>
      </c>
      <c r="H2606">
        <v>1</v>
      </c>
      <c r="I2606" s="13">
        <v>45659</v>
      </c>
      <c r="J2606" s="13" t="str">
        <f>TEXT(Table1[[#This Row],[Date]],"[$-en-US]mmm yyyy")</f>
        <v>Jan 2025</v>
      </c>
      <c r="K2606" s="13" t="str">
        <f>TEXT(Table1[[#This Row],[Date]],"[$-en-US]ddd")</f>
        <v>Thu</v>
      </c>
    </row>
    <row r="2607" spans="1:11" x14ac:dyDescent="0.25">
      <c r="A2607">
        <v>13</v>
      </c>
      <c r="B2607" t="s">
        <v>9</v>
      </c>
      <c r="C2607">
        <v>35.76</v>
      </c>
      <c r="D2607" t="s">
        <v>19</v>
      </c>
      <c r="E2607" t="s">
        <v>15</v>
      </c>
      <c r="F2607" t="s">
        <v>38</v>
      </c>
      <c r="G2607">
        <v>4</v>
      </c>
      <c r="H2607">
        <v>1</v>
      </c>
      <c r="I2607" s="13">
        <v>45659</v>
      </c>
      <c r="J2607" s="13" t="str">
        <f>TEXT(Table1[[#This Row],[Date]],"[$-en-US]mmm yyyy")</f>
        <v>Jan 2025</v>
      </c>
      <c r="K2607" s="13" t="str">
        <f>TEXT(Table1[[#This Row],[Date]],"[$-en-US]ddd")</f>
        <v>Thu</v>
      </c>
    </row>
    <row r="2608" spans="1:11" x14ac:dyDescent="0.25">
      <c r="A2608">
        <v>13</v>
      </c>
      <c r="B2608" t="s">
        <v>9</v>
      </c>
      <c r="C2608">
        <v>35.76</v>
      </c>
      <c r="D2608" t="s">
        <v>19</v>
      </c>
      <c r="E2608" t="s">
        <v>15</v>
      </c>
      <c r="F2608" t="s">
        <v>38</v>
      </c>
      <c r="G2608">
        <v>4</v>
      </c>
      <c r="H2608">
        <v>1</v>
      </c>
      <c r="I2608" s="13">
        <v>45659</v>
      </c>
      <c r="J2608" s="13" t="str">
        <f>TEXT(Table1[[#This Row],[Date]],"[$-en-US]mmm yyyy")</f>
        <v>Jan 2025</v>
      </c>
      <c r="K2608" s="13" t="str">
        <f>TEXT(Table1[[#This Row],[Date]],"[$-en-US]ddd")</f>
        <v>Thu</v>
      </c>
    </row>
    <row r="2609" spans="1:11" x14ac:dyDescent="0.25">
      <c r="A2609">
        <v>14</v>
      </c>
      <c r="B2609" t="s">
        <v>9</v>
      </c>
      <c r="C2609">
        <v>25.96</v>
      </c>
      <c r="D2609" t="s">
        <v>22</v>
      </c>
      <c r="E2609" t="s">
        <v>15</v>
      </c>
      <c r="F2609" t="s">
        <v>38</v>
      </c>
      <c r="G2609">
        <v>4</v>
      </c>
      <c r="H2609">
        <v>1</v>
      </c>
      <c r="I2609" s="13">
        <v>45659</v>
      </c>
      <c r="J2609" s="13" t="str">
        <f>TEXT(Table1[[#This Row],[Date]],"[$-en-US]mmm yyyy")</f>
        <v>Jan 2025</v>
      </c>
      <c r="K2609" s="13" t="str">
        <f>TEXT(Table1[[#This Row],[Date]],"[$-en-US]ddd")</f>
        <v>Thu</v>
      </c>
    </row>
    <row r="2610" spans="1:11" x14ac:dyDescent="0.25">
      <c r="A2610">
        <v>14</v>
      </c>
      <c r="B2610" t="s">
        <v>9</v>
      </c>
      <c r="C2610">
        <v>25.96</v>
      </c>
      <c r="D2610" t="s">
        <v>22</v>
      </c>
      <c r="E2610" t="s">
        <v>15</v>
      </c>
      <c r="F2610" t="s">
        <v>38</v>
      </c>
      <c r="G2610">
        <v>4</v>
      </c>
      <c r="H2610">
        <v>1</v>
      </c>
      <c r="I2610" s="13">
        <v>45659</v>
      </c>
      <c r="J2610" s="13" t="str">
        <f>TEXT(Table1[[#This Row],[Date]],"[$-en-US]mmm yyyy")</f>
        <v>Jan 2025</v>
      </c>
      <c r="K2610" s="13" t="str">
        <f>TEXT(Table1[[#This Row],[Date]],"[$-en-US]ddd")</f>
        <v>Thu</v>
      </c>
    </row>
    <row r="2611" spans="1:11" x14ac:dyDescent="0.25">
      <c r="A2611">
        <v>16</v>
      </c>
      <c r="B2611" t="s">
        <v>9</v>
      </c>
      <c r="C2611">
        <v>25.96</v>
      </c>
      <c r="D2611" t="s">
        <v>16</v>
      </c>
      <c r="E2611" t="s">
        <v>15</v>
      </c>
      <c r="F2611" t="s">
        <v>38</v>
      </c>
      <c r="G2611">
        <v>4</v>
      </c>
      <c r="H2611">
        <v>1</v>
      </c>
      <c r="I2611" s="13">
        <v>45659</v>
      </c>
      <c r="J2611" s="13" t="str">
        <f>TEXT(Table1[[#This Row],[Date]],"[$-en-US]mmm yyyy")</f>
        <v>Jan 2025</v>
      </c>
      <c r="K2611" s="13" t="str">
        <f>TEXT(Table1[[#This Row],[Date]],"[$-en-US]ddd")</f>
        <v>Thu</v>
      </c>
    </row>
    <row r="2612" spans="1:11" x14ac:dyDescent="0.25">
      <c r="A2612">
        <v>16</v>
      </c>
      <c r="B2612" t="s">
        <v>9</v>
      </c>
      <c r="C2612">
        <v>35.76</v>
      </c>
      <c r="D2612" t="s">
        <v>14</v>
      </c>
      <c r="E2612" t="s">
        <v>15</v>
      </c>
      <c r="F2612" t="s">
        <v>38</v>
      </c>
      <c r="G2612">
        <v>4</v>
      </c>
      <c r="H2612">
        <v>1</v>
      </c>
      <c r="I2612" s="13">
        <v>45659</v>
      </c>
      <c r="J2612" s="13" t="str">
        <f>TEXT(Table1[[#This Row],[Date]],"[$-en-US]mmm yyyy")</f>
        <v>Jan 2025</v>
      </c>
      <c r="K2612" s="13" t="str">
        <f>TEXT(Table1[[#This Row],[Date]],"[$-en-US]ddd")</f>
        <v>Thu</v>
      </c>
    </row>
    <row r="2613" spans="1:11" x14ac:dyDescent="0.25">
      <c r="A2613">
        <v>16</v>
      </c>
      <c r="B2613" t="s">
        <v>9</v>
      </c>
      <c r="C2613">
        <v>30.86</v>
      </c>
      <c r="D2613" t="s">
        <v>17</v>
      </c>
      <c r="E2613" t="s">
        <v>15</v>
      </c>
      <c r="F2613" t="s">
        <v>38</v>
      </c>
      <c r="G2613">
        <v>4</v>
      </c>
      <c r="H2613">
        <v>1</v>
      </c>
      <c r="I2613" s="13">
        <v>45659</v>
      </c>
      <c r="J2613" s="13" t="str">
        <f>TEXT(Table1[[#This Row],[Date]],"[$-en-US]mmm yyyy")</f>
        <v>Jan 2025</v>
      </c>
      <c r="K2613" s="13" t="str">
        <f>TEXT(Table1[[#This Row],[Date]],"[$-en-US]ddd")</f>
        <v>Thu</v>
      </c>
    </row>
    <row r="2614" spans="1:11" x14ac:dyDescent="0.25">
      <c r="A2614">
        <v>17</v>
      </c>
      <c r="B2614" t="s">
        <v>9</v>
      </c>
      <c r="C2614">
        <v>35.76</v>
      </c>
      <c r="D2614" t="s">
        <v>27</v>
      </c>
      <c r="E2614" t="s">
        <v>18</v>
      </c>
      <c r="F2614" t="s">
        <v>38</v>
      </c>
      <c r="G2614">
        <v>4</v>
      </c>
      <c r="H2614">
        <v>1</v>
      </c>
      <c r="I2614" s="13">
        <v>45659</v>
      </c>
      <c r="J2614" s="13" t="str">
        <f>TEXT(Table1[[#This Row],[Date]],"[$-en-US]mmm yyyy")</f>
        <v>Jan 2025</v>
      </c>
      <c r="K2614" s="13" t="str">
        <f>TEXT(Table1[[#This Row],[Date]],"[$-en-US]ddd")</f>
        <v>Thu</v>
      </c>
    </row>
    <row r="2615" spans="1:11" x14ac:dyDescent="0.25">
      <c r="A2615">
        <v>9</v>
      </c>
      <c r="B2615" t="s">
        <v>9</v>
      </c>
      <c r="C2615">
        <v>25.96</v>
      </c>
      <c r="D2615" t="s">
        <v>22</v>
      </c>
      <c r="E2615" t="s">
        <v>11</v>
      </c>
      <c r="F2615" t="s">
        <v>38</v>
      </c>
      <c r="G2615">
        <v>5</v>
      </c>
      <c r="H2615">
        <v>1</v>
      </c>
      <c r="I2615" s="13">
        <v>45660</v>
      </c>
      <c r="J2615" s="13" t="str">
        <f>TEXT(Table1[[#This Row],[Date]],"[$-en-US]mmm yyyy")</f>
        <v>Jan 2025</v>
      </c>
      <c r="K2615" s="13" t="str">
        <f>TEXT(Table1[[#This Row],[Date]],"[$-en-US]ddd")</f>
        <v>Fri</v>
      </c>
    </row>
    <row r="2616" spans="1:11" x14ac:dyDescent="0.25">
      <c r="A2616">
        <v>10</v>
      </c>
      <c r="B2616" t="s">
        <v>9</v>
      </c>
      <c r="C2616">
        <v>30.86</v>
      </c>
      <c r="D2616" t="s">
        <v>17</v>
      </c>
      <c r="E2616" t="s">
        <v>11</v>
      </c>
      <c r="F2616" t="s">
        <v>38</v>
      </c>
      <c r="G2616">
        <v>5</v>
      </c>
      <c r="H2616">
        <v>1</v>
      </c>
      <c r="I2616" s="13">
        <v>45660</v>
      </c>
      <c r="J2616" s="13" t="str">
        <f>TEXT(Table1[[#This Row],[Date]],"[$-en-US]mmm yyyy")</f>
        <v>Jan 2025</v>
      </c>
      <c r="K2616" s="13" t="str">
        <f>TEXT(Table1[[#This Row],[Date]],"[$-en-US]ddd")</f>
        <v>Fri</v>
      </c>
    </row>
    <row r="2617" spans="1:11" x14ac:dyDescent="0.25">
      <c r="A2617">
        <v>16</v>
      </c>
      <c r="B2617" t="s">
        <v>9</v>
      </c>
      <c r="C2617">
        <v>30.86</v>
      </c>
      <c r="D2617" t="s">
        <v>17</v>
      </c>
      <c r="E2617" t="s">
        <v>15</v>
      </c>
      <c r="F2617" t="s">
        <v>38</v>
      </c>
      <c r="G2617">
        <v>5</v>
      </c>
      <c r="H2617">
        <v>1</v>
      </c>
      <c r="I2617" s="13">
        <v>45660</v>
      </c>
      <c r="J2617" s="13" t="str">
        <f>TEXT(Table1[[#This Row],[Date]],"[$-en-US]mmm yyyy")</f>
        <v>Jan 2025</v>
      </c>
      <c r="K2617" s="13" t="str">
        <f>TEXT(Table1[[#This Row],[Date]],"[$-en-US]ddd")</f>
        <v>Fri</v>
      </c>
    </row>
    <row r="2618" spans="1:11" x14ac:dyDescent="0.25">
      <c r="A2618">
        <v>22</v>
      </c>
      <c r="B2618" t="s">
        <v>9</v>
      </c>
      <c r="C2618">
        <v>35.76</v>
      </c>
      <c r="D2618" t="s">
        <v>27</v>
      </c>
      <c r="E2618" t="s">
        <v>18</v>
      </c>
      <c r="F2618" t="s">
        <v>38</v>
      </c>
      <c r="G2618">
        <v>5</v>
      </c>
      <c r="H2618">
        <v>1</v>
      </c>
      <c r="I2618" s="13">
        <v>45660</v>
      </c>
      <c r="J2618" s="13" t="str">
        <f>TEXT(Table1[[#This Row],[Date]],"[$-en-US]mmm yyyy")</f>
        <v>Jan 2025</v>
      </c>
      <c r="K2618" s="13" t="str">
        <f>TEXT(Table1[[#This Row],[Date]],"[$-en-US]ddd")</f>
        <v>Fri</v>
      </c>
    </row>
    <row r="2619" spans="1:11" x14ac:dyDescent="0.25">
      <c r="A2619">
        <v>22</v>
      </c>
      <c r="B2619" t="s">
        <v>9</v>
      </c>
      <c r="C2619">
        <v>25.96</v>
      </c>
      <c r="D2619" t="s">
        <v>16</v>
      </c>
      <c r="E2619" t="s">
        <v>18</v>
      </c>
      <c r="F2619" t="s">
        <v>38</v>
      </c>
      <c r="G2619">
        <v>5</v>
      </c>
      <c r="H2619">
        <v>1</v>
      </c>
      <c r="I2619" s="13">
        <v>45660</v>
      </c>
      <c r="J2619" s="13" t="str">
        <f>TEXT(Table1[[#This Row],[Date]],"[$-en-US]mmm yyyy")</f>
        <v>Jan 2025</v>
      </c>
      <c r="K2619" s="13" t="str">
        <f>TEXT(Table1[[#This Row],[Date]],"[$-en-US]ddd")</f>
        <v>Fri</v>
      </c>
    </row>
    <row r="2620" spans="1:11" x14ac:dyDescent="0.25">
      <c r="A2620">
        <v>22</v>
      </c>
      <c r="B2620" t="s">
        <v>9</v>
      </c>
      <c r="C2620">
        <v>25.96</v>
      </c>
      <c r="D2620" t="s">
        <v>16</v>
      </c>
      <c r="E2620" t="s">
        <v>18</v>
      </c>
      <c r="F2620" t="s">
        <v>38</v>
      </c>
      <c r="G2620">
        <v>5</v>
      </c>
      <c r="H2620">
        <v>1</v>
      </c>
      <c r="I2620" s="13">
        <v>45660</v>
      </c>
      <c r="J2620" s="13" t="str">
        <f>TEXT(Table1[[#This Row],[Date]],"[$-en-US]mmm yyyy")</f>
        <v>Jan 2025</v>
      </c>
      <c r="K2620" s="13" t="str">
        <f>TEXT(Table1[[#This Row],[Date]],"[$-en-US]ddd")</f>
        <v>Fri</v>
      </c>
    </row>
    <row r="2621" spans="1:11" x14ac:dyDescent="0.25">
      <c r="A2621">
        <v>22</v>
      </c>
      <c r="B2621" t="s">
        <v>9</v>
      </c>
      <c r="C2621">
        <v>35.76</v>
      </c>
      <c r="D2621" t="s">
        <v>10</v>
      </c>
      <c r="E2621" t="s">
        <v>18</v>
      </c>
      <c r="F2621" t="s">
        <v>38</v>
      </c>
      <c r="G2621">
        <v>5</v>
      </c>
      <c r="H2621">
        <v>1</v>
      </c>
      <c r="I2621" s="13">
        <v>45660</v>
      </c>
      <c r="J2621" s="13" t="str">
        <f>TEXT(Table1[[#This Row],[Date]],"[$-en-US]mmm yyyy")</f>
        <v>Jan 2025</v>
      </c>
      <c r="K2621" s="13" t="str">
        <f>TEXT(Table1[[#This Row],[Date]],"[$-en-US]ddd")</f>
        <v>Fri</v>
      </c>
    </row>
    <row r="2622" spans="1:11" x14ac:dyDescent="0.25">
      <c r="A2622">
        <v>8</v>
      </c>
      <c r="B2622" t="s">
        <v>9</v>
      </c>
      <c r="C2622">
        <v>25.96</v>
      </c>
      <c r="D2622" t="s">
        <v>22</v>
      </c>
      <c r="E2622" t="s">
        <v>11</v>
      </c>
      <c r="F2622" t="s">
        <v>38</v>
      </c>
      <c r="G2622">
        <v>6</v>
      </c>
      <c r="H2622">
        <v>1</v>
      </c>
      <c r="I2622" s="13">
        <v>45661</v>
      </c>
      <c r="J2622" s="13" t="str">
        <f>TEXT(Table1[[#This Row],[Date]],"[$-en-US]mmm yyyy")</f>
        <v>Jan 2025</v>
      </c>
      <c r="K2622" s="13" t="str">
        <f>TEXT(Table1[[#This Row],[Date]],"[$-en-US]ddd")</f>
        <v>Sat</v>
      </c>
    </row>
    <row r="2623" spans="1:11" x14ac:dyDescent="0.25">
      <c r="A2623">
        <v>9</v>
      </c>
      <c r="B2623" t="s">
        <v>9</v>
      </c>
      <c r="C2623">
        <v>25.96</v>
      </c>
      <c r="D2623" t="s">
        <v>16</v>
      </c>
      <c r="E2623" t="s">
        <v>11</v>
      </c>
      <c r="F2623" t="s">
        <v>38</v>
      </c>
      <c r="G2623">
        <v>6</v>
      </c>
      <c r="H2623">
        <v>1</v>
      </c>
      <c r="I2623" s="13">
        <v>45661</v>
      </c>
      <c r="J2623" s="13" t="str">
        <f>TEXT(Table1[[#This Row],[Date]],"[$-en-US]mmm yyyy")</f>
        <v>Jan 2025</v>
      </c>
      <c r="K2623" s="13" t="str">
        <f>TEXT(Table1[[#This Row],[Date]],"[$-en-US]ddd")</f>
        <v>Sat</v>
      </c>
    </row>
    <row r="2624" spans="1:11" x14ac:dyDescent="0.25">
      <c r="A2624">
        <v>13</v>
      </c>
      <c r="B2624" t="s">
        <v>9</v>
      </c>
      <c r="C2624">
        <v>35.76</v>
      </c>
      <c r="D2624" t="s">
        <v>27</v>
      </c>
      <c r="E2624" t="s">
        <v>15</v>
      </c>
      <c r="F2624" t="s">
        <v>38</v>
      </c>
      <c r="G2624">
        <v>6</v>
      </c>
      <c r="H2624">
        <v>1</v>
      </c>
      <c r="I2624" s="13">
        <v>45661</v>
      </c>
      <c r="J2624" s="13" t="str">
        <f>TEXT(Table1[[#This Row],[Date]],"[$-en-US]mmm yyyy")</f>
        <v>Jan 2025</v>
      </c>
      <c r="K2624" s="13" t="str">
        <f>TEXT(Table1[[#This Row],[Date]],"[$-en-US]ddd")</f>
        <v>Sat</v>
      </c>
    </row>
    <row r="2625" spans="1:11" x14ac:dyDescent="0.25">
      <c r="A2625">
        <v>15</v>
      </c>
      <c r="B2625" t="s">
        <v>9</v>
      </c>
      <c r="C2625">
        <v>35.76</v>
      </c>
      <c r="D2625" t="s">
        <v>19</v>
      </c>
      <c r="E2625" t="s">
        <v>15</v>
      </c>
      <c r="F2625" t="s">
        <v>38</v>
      </c>
      <c r="G2625">
        <v>6</v>
      </c>
      <c r="H2625">
        <v>1</v>
      </c>
      <c r="I2625" s="13">
        <v>45661</v>
      </c>
      <c r="J2625" s="13" t="str">
        <f>TEXT(Table1[[#This Row],[Date]],"[$-en-US]mmm yyyy")</f>
        <v>Jan 2025</v>
      </c>
      <c r="K2625" s="13" t="str">
        <f>TEXT(Table1[[#This Row],[Date]],"[$-en-US]ddd")</f>
        <v>Sat</v>
      </c>
    </row>
    <row r="2626" spans="1:11" x14ac:dyDescent="0.25">
      <c r="A2626">
        <v>16</v>
      </c>
      <c r="B2626" t="s">
        <v>9</v>
      </c>
      <c r="C2626">
        <v>30.86</v>
      </c>
      <c r="D2626" t="s">
        <v>17</v>
      </c>
      <c r="E2626" t="s">
        <v>15</v>
      </c>
      <c r="F2626" t="s">
        <v>38</v>
      </c>
      <c r="G2626">
        <v>6</v>
      </c>
      <c r="H2626">
        <v>1</v>
      </c>
      <c r="I2626" s="13">
        <v>45661</v>
      </c>
      <c r="J2626" s="13" t="str">
        <f>TEXT(Table1[[#This Row],[Date]],"[$-en-US]mmm yyyy")</f>
        <v>Jan 2025</v>
      </c>
      <c r="K2626" s="13" t="str">
        <f>TEXT(Table1[[#This Row],[Date]],"[$-en-US]ddd")</f>
        <v>Sat</v>
      </c>
    </row>
    <row r="2627" spans="1:11" x14ac:dyDescent="0.25">
      <c r="A2627">
        <v>16</v>
      </c>
      <c r="B2627" t="s">
        <v>9</v>
      </c>
      <c r="C2627">
        <v>35.76</v>
      </c>
      <c r="D2627" t="s">
        <v>27</v>
      </c>
      <c r="E2627" t="s">
        <v>15</v>
      </c>
      <c r="F2627" t="s">
        <v>38</v>
      </c>
      <c r="G2627">
        <v>6</v>
      </c>
      <c r="H2627">
        <v>1</v>
      </c>
      <c r="I2627" s="13">
        <v>45661</v>
      </c>
      <c r="J2627" s="13" t="str">
        <f>TEXT(Table1[[#This Row],[Date]],"[$-en-US]mmm yyyy")</f>
        <v>Jan 2025</v>
      </c>
      <c r="K2627" s="13" t="str">
        <f>TEXT(Table1[[#This Row],[Date]],"[$-en-US]ddd")</f>
        <v>Sat</v>
      </c>
    </row>
    <row r="2628" spans="1:11" x14ac:dyDescent="0.25">
      <c r="A2628">
        <v>16</v>
      </c>
      <c r="B2628" t="s">
        <v>9</v>
      </c>
      <c r="C2628">
        <v>35.76</v>
      </c>
      <c r="D2628" t="s">
        <v>27</v>
      </c>
      <c r="E2628" t="s">
        <v>15</v>
      </c>
      <c r="F2628" t="s">
        <v>38</v>
      </c>
      <c r="G2628">
        <v>6</v>
      </c>
      <c r="H2628">
        <v>1</v>
      </c>
      <c r="I2628" s="13">
        <v>45661</v>
      </c>
      <c r="J2628" s="13" t="str">
        <f>TEXT(Table1[[#This Row],[Date]],"[$-en-US]mmm yyyy")</f>
        <v>Jan 2025</v>
      </c>
      <c r="K2628" s="13" t="str">
        <f>TEXT(Table1[[#This Row],[Date]],"[$-en-US]ddd")</f>
        <v>Sat</v>
      </c>
    </row>
    <row r="2629" spans="1:11" x14ac:dyDescent="0.25">
      <c r="A2629">
        <v>16</v>
      </c>
      <c r="B2629" t="s">
        <v>9</v>
      </c>
      <c r="C2629">
        <v>25.96</v>
      </c>
      <c r="D2629" t="s">
        <v>22</v>
      </c>
      <c r="E2629" t="s">
        <v>15</v>
      </c>
      <c r="F2629" t="s">
        <v>38</v>
      </c>
      <c r="G2629">
        <v>6</v>
      </c>
      <c r="H2629">
        <v>1</v>
      </c>
      <c r="I2629" s="13">
        <v>45661</v>
      </c>
      <c r="J2629" s="13" t="str">
        <f>TEXT(Table1[[#This Row],[Date]],"[$-en-US]mmm yyyy")</f>
        <v>Jan 2025</v>
      </c>
      <c r="K2629" s="13" t="str">
        <f>TEXT(Table1[[#This Row],[Date]],"[$-en-US]ddd")</f>
        <v>Sat</v>
      </c>
    </row>
    <row r="2630" spans="1:11" x14ac:dyDescent="0.25">
      <c r="A2630">
        <v>18</v>
      </c>
      <c r="B2630" t="s">
        <v>9</v>
      </c>
      <c r="C2630">
        <v>25.96</v>
      </c>
      <c r="D2630" t="s">
        <v>16</v>
      </c>
      <c r="E2630" t="s">
        <v>18</v>
      </c>
      <c r="F2630" t="s">
        <v>38</v>
      </c>
      <c r="G2630">
        <v>6</v>
      </c>
      <c r="H2630">
        <v>1</v>
      </c>
      <c r="I2630" s="13">
        <v>45661</v>
      </c>
      <c r="J2630" s="13" t="str">
        <f>TEXT(Table1[[#This Row],[Date]],"[$-en-US]mmm yyyy")</f>
        <v>Jan 2025</v>
      </c>
      <c r="K2630" s="13" t="str">
        <f>TEXT(Table1[[#This Row],[Date]],"[$-en-US]ddd")</f>
        <v>Sat</v>
      </c>
    </row>
    <row r="2631" spans="1:11" x14ac:dyDescent="0.25">
      <c r="A2631">
        <v>22</v>
      </c>
      <c r="B2631" t="s">
        <v>9</v>
      </c>
      <c r="C2631">
        <v>35.76</v>
      </c>
      <c r="D2631" t="s">
        <v>10</v>
      </c>
      <c r="E2631" t="s">
        <v>18</v>
      </c>
      <c r="F2631" t="s">
        <v>38</v>
      </c>
      <c r="G2631">
        <v>6</v>
      </c>
      <c r="H2631">
        <v>1</v>
      </c>
      <c r="I2631" s="13">
        <v>45661</v>
      </c>
      <c r="J2631" s="13" t="str">
        <f>TEXT(Table1[[#This Row],[Date]],"[$-en-US]mmm yyyy")</f>
        <v>Jan 2025</v>
      </c>
      <c r="K2631" s="13" t="str">
        <f>TEXT(Table1[[#This Row],[Date]],"[$-en-US]ddd")</f>
        <v>Sat</v>
      </c>
    </row>
    <row r="2632" spans="1:11" x14ac:dyDescent="0.25">
      <c r="A2632">
        <v>9</v>
      </c>
      <c r="B2632" t="s">
        <v>9</v>
      </c>
      <c r="C2632">
        <v>30.86</v>
      </c>
      <c r="D2632" t="s">
        <v>17</v>
      </c>
      <c r="E2632" t="s">
        <v>11</v>
      </c>
      <c r="F2632" t="s">
        <v>38</v>
      </c>
      <c r="G2632">
        <v>7</v>
      </c>
      <c r="H2632">
        <v>1</v>
      </c>
      <c r="I2632" s="13">
        <v>45662</v>
      </c>
      <c r="J2632" s="13" t="str">
        <f>TEXT(Table1[[#This Row],[Date]],"[$-en-US]mmm yyyy")</f>
        <v>Jan 2025</v>
      </c>
      <c r="K2632" s="13" t="str">
        <f>TEXT(Table1[[#This Row],[Date]],"[$-en-US]ddd")</f>
        <v>Sun</v>
      </c>
    </row>
    <row r="2633" spans="1:11" x14ac:dyDescent="0.25">
      <c r="A2633">
        <v>10</v>
      </c>
      <c r="B2633" t="s">
        <v>9</v>
      </c>
      <c r="C2633">
        <v>35.76</v>
      </c>
      <c r="D2633" t="s">
        <v>10</v>
      </c>
      <c r="E2633" t="s">
        <v>11</v>
      </c>
      <c r="F2633" t="s">
        <v>38</v>
      </c>
      <c r="G2633">
        <v>7</v>
      </c>
      <c r="H2633">
        <v>1</v>
      </c>
      <c r="I2633" s="13">
        <v>45662</v>
      </c>
      <c r="J2633" s="13" t="str">
        <f>TEXT(Table1[[#This Row],[Date]],"[$-en-US]mmm yyyy")</f>
        <v>Jan 2025</v>
      </c>
      <c r="K2633" s="13" t="str">
        <f>TEXT(Table1[[#This Row],[Date]],"[$-en-US]ddd")</f>
        <v>Sun</v>
      </c>
    </row>
    <row r="2634" spans="1:11" x14ac:dyDescent="0.25">
      <c r="A2634">
        <v>22</v>
      </c>
      <c r="B2634" t="s">
        <v>9</v>
      </c>
      <c r="C2634">
        <v>30.86</v>
      </c>
      <c r="D2634" t="s">
        <v>17</v>
      </c>
      <c r="E2634" t="s">
        <v>18</v>
      </c>
      <c r="F2634" t="s">
        <v>38</v>
      </c>
      <c r="G2634">
        <v>7</v>
      </c>
      <c r="H2634">
        <v>1</v>
      </c>
      <c r="I2634" s="13">
        <v>45662</v>
      </c>
      <c r="J2634" s="13" t="str">
        <f>TEXT(Table1[[#This Row],[Date]],"[$-en-US]mmm yyyy")</f>
        <v>Jan 2025</v>
      </c>
      <c r="K2634" s="13" t="str">
        <f>TEXT(Table1[[#This Row],[Date]],"[$-en-US]ddd")</f>
        <v>Sun</v>
      </c>
    </row>
    <row r="2635" spans="1:11" x14ac:dyDescent="0.25">
      <c r="A2635">
        <v>19</v>
      </c>
      <c r="B2635" t="s">
        <v>9</v>
      </c>
      <c r="C2635">
        <v>25.96</v>
      </c>
      <c r="D2635" t="s">
        <v>16</v>
      </c>
      <c r="E2635" t="s">
        <v>18</v>
      </c>
      <c r="F2635" t="s">
        <v>38</v>
      </c>
      <c r="G2635">
        <v>1</v>
      </c>
      <c r="H2635">
        <v>1</v>
      </c>
      <c r="I2635" s="13">
        <v>45663</v>
      </c>
      <c r="J2635" s="13" t="str">
        <f>TEXT(Table1[[#This Row],[Date]],"[$-en-US]mmm yyyy")</f>
        <v>Jan 2025</v>
      </c>
      <c r="K2635" s="13" t="str">
        <f>TEXT(Table1[[#This Row],[Date]],"[$-en-US]ddd")</f>
        <v>Mon</v>
      </c>
    </row>
    <row r="2636" spans="1:11" x14ac:dyDescent="0.25">
      <c r="A2636">
        <v>13</v>
      </c>
      <c r="B2636" t="s">
        <v>9</v>
      </c>
      <c r="C2636">
        <v>35.76</v>
      </c>
      <c r="D2636" t="s">
        <v>27</v>
      </c>
      <c r="E2636" t="s">
        <v>15</v>
      </c>
      <c r="F2636" t="s">
        <v>38</v>
      </c>
      <c r="G2636">
        <v>2</v>
      </c>
      <c r="H2636">
        <v>1</v>
      </c>
      <c r="I2636" s="13">
        <v>45664</v>
      </c>
      <c r="J2636" s="13" t="str">
        <f>TEXT(Table1[[#This Row],[Date]],"[$-en-US]mmm yyyy")</f>
        <v>Jan 2025</v>
      </c>
      <c r="K2636" s="13" t="str">
        <f>TEXT(Table1[[#This Row],[Date]],"[$-en-US]ddd")</f>
        <v>Tue</v>
      </c>
    </row>
    <row r="2637" spans="1:11" x14ac:dyDescent="0.25">
      <c r="A2637">
        <v>22</v>
      </c>
      <c r="B2637" t="s">
        <v>9</v>
      </c>
      <c r="C2637">
        <v>35.76</v>
      </c>
      <c r="D2637" t="s">
        <v>19</v>
      </c>
      <c r="E2637" t="s">
        <v>18</v>
      </c>
      <c r="F2637" t="s">
        <v>38</v>
      </c>
      <c r="G2637">
        <v>2</v>
      </c>
      <c r="H2637">
        <v>1</v>
      </c>
      <c r="I2637" s="13">
        <v>45664</v>
      </c>
      <c r="J2637" s="13" t="str">
        <f>TEXT(Table1[[#This Row],[Date]],"[$-en-US]mmm yyyy")</f>
        <v>Jan 2025</v>
      </c>
      <c r="K2637" s="13" t="str">
        <f>TEXT(Table1[[#This Row],[Date]],"[$-en-US]ddd")</f>
        <v>Tue</v>
      </c>
    </row>
    <row r="2638" spans="1:11" x14ac:dyDescent="0.25">
      <c r="A2638">
        <v>22</v>
      </c>
      <c r="B2638" t="s">
        <v>9</v>
      </c>
      <c r="C2638">
        <v>35.76</v>
      </c>
      <c r="D2638" t="s">
        <v>19</v>
      </c>
      <c r="E2638" t="s">
        <v>18</v>
      </c>
      <c r="F2638" t="s">
        <v>38</v>
      </c>
      <c r="G2638">
        <v>2</v>
      </c>
      <c r="H2638">
        <v>1</v>
      </c>
      <c r="I2638" s="13">
        <v>45664</v>
      </c>
      <c r="J2638" s="13" t="str">
        <f>TEXT(Table1[[#This Row],[Date]],"[$-en-US]mmm yyyy")</f>
        <v>Jan 2025</v>
      </c>
      <c r="K2638" s="13" t="str">
        <f>TEXT(Table1[[#This Row],[Date]],"[$-en-US]ddd")</f>
        <v>Tue</v>
      </c>
    </row>
    <row r="2639" spans="1:11" x14ac:dyDescent="0.25">
      <c r="A2639">
        <v>7</v>
      </c>
      <c r="B2639" t="s">
        <v>9</v>
      </c>
      <c r="C2639">
        <v>30.86</v>
      </c>
      <c r="D2639" t="s">
        <v>17</v>
      </c>
      <c r="E2639" t="s">
        <v>11</v>
      </c>
      <c r="F2639" t="s">
        <v>38</v>
      </c>
      <c r="G2639">
        <v>3</v>
      </c>
      <c r="H2639">
        <v>1</v>
      </c>
      <c r="I2639" s="13">
        <v>45665</v>
      </c>
      <c r="J2639" s="13" t="str">
        <f>TEXT(Table1[[#This Row],[Date]],"[$-en-US]mmm yyyy")</f>
        <v>Jan 2025</v>
      </c>
      <c r="K2639" s="13" t="str">
        <f>TEXT(Table1[[#This Row],[Date]],"[$-en-US]ddd")</f>
        <v>Wed</v>
      </c>
    </row>
    <row r="2640" spans="1:11" x14ac:dyDescent="0.25">
      <c r="A2640">
        <v>9</v>
      </c>
      <c r="B2640" t="s">
        <v>9</v>
      </c>
      <c r="C2640">
        <v>35.76</v>
      </c>
      <c r="D2640" t="s">
        <v>10</v>
      </c>
      <c r="E2640" t="s">
        <v>11</v>
      </c>
      <c r="F2640" t="s">
        <v>38</v>
      </c>
      <c r="G2640">
        <v>3</v>
      </c>
      <c r="H2640">
        <v>1</v>
      </c>
      <c r="I2640" s="13">
        <v>45665</v>
      </c>
      <c r="J2640" s="13" t="str">
        <f>TEXT(Table1[[#This Row],[Date]],"[$-en-US]mmm yyyy")</f>
        <v>Jan 2025</v>
      </c>
      <c r="K2640" s="13" t="str">
        <f>TEXT(Table1[[#This Row],[Date]],"[$-en-US]ddd")</f>
        <v>Wed</v>
      </c>
    </row>
    <row r="2641" spans="1:11" x14ac:dyDescent="0.25">
      <c r="A2641">
        <v>10</v>
      </c>
      <c r="B2641" t="s">
        <v>9</v>
      </c>
      <c r="C2641">
        <v>25.96</v>
      </c>
      <c r="D2641" t="s">
        <v>22</v>
      </c>
      <c r="E2641" t="s">
        <v>11</v>
      </c>
      <c r="F2641" t="s">
        <v>38</v>
      </c>
      <c r="G2641">
        <v>3</v>
      </c>
      <c r="H2641">
        <v>1</v>
      </c>
      <c r="I2641" s="13">
        <v>45665</v>
      </c>
      <c r="J2641" s="13" t="str">
        <f>TEXT(Table1[[#This Row],[Date]],"[$-en-US]mmm yyyy")</f>
        <v>Jan 2025</v>
      </c>
      <c r="K2641" s="13" t="str">
        <f>TEXT(Table1[[#This Row],[Date]],"[$-en-US]ddd")</f>
        <v>Wed</v>
      </c>
    </row>
    <row r="2642" spans="1:11" x14ac:dyDescent="0.25">
      <c r="A2642">
        <v>17</v>
      </c>
      <c r="B2642" t="s">
        <v>9</v>
      </c>
      <c r="C2642">
        <v>35.76</v>
      </c>
      <c r="D2642" t="s">
        <v>27</v>
      </c>
      <c r="E2642" t="s">
        <v>18</v>
      </c>
      <c r="F2642" t="s">
        <v>38</v>
      </c>
      <c r="G2642">
        <v>3</v>
      </c>
      <c r="H2642">
        <v>1</v>
      </c>
      <c r="I2642" s="13">
        <v>45665</v>
      </c>
      <c r="J2642" s="13" t="str">
        <f>TEXT(Table1[[#This Row],[Date]],"[$-en-US]mmm yyyy")</f>
        <v>Jan 2025</v>
      </c>
      <c r="K2642" s="13" t="str">
        <f>TEXT(Table1[[#This Row],[Date]],"[$-en-US]ddd")</f>
        <v>Wed</v>
      </c>
    </row>
    <row r="2643" spans="1:11" x14ac:dyDescent="0.25">
      <c r="A2643">
        <v>8</v>
      </c>
      <c r="B2643" t="s">
        <v>9</v>
      </c>
      <c r="C2643">
        <v>25.96</v>
      </c>
      <c r="D2643" t="s">
        <v>16</v>
      </c>
      <c r="E2643" t="s">
        <v>11</v>
      </c>
      <c r="F2643" t="s">
        <v>38</v>
      </c>
      <c r="G2643">
        <v>4</v>
      </c>
      <c r="H2643">
        <v>1</v>
      </c>
      <c r="I2643" s="13">
        <v>45666</v>
      </c>
      <c r="J2643" s="13" t="str">
        <f>TEXT(Table1[[#This Row],[Date]],"[$-en-US]mmm yyyy")</f>
        <v>Jan 2025</v>
      </c>
      <c r="K2643" s="13" t="str">
        <f>TEXT(Table1[[#This Row],[Date]],"[$-en-US]ddd")</f>
        <v>Thu</v>
      </c>
    </row>
    <row r="2644" spans="1:11" x14ac:dyDescent="0.25">
      <c r="A2644">
        <v>8</v>
      </c>
      <c r="B2644" t="s">
        <v>9</v>
      </c>
      <c r="C2644">
        <v>35.76</v>
      </c>
      <c r="D2644" t="s">
        <v>10</v>
      </c>
      <c r="E2644" t="s">
        <v>11</v>
      </c>
      <c r="F2644" t="s">
        <v>38</v>
      </c>
      <c r="G2644">
        <v>4</v>
      </c>
      <c r="H2644">
        <v>1</v>
      </c>
      <c r="I2644" s="13">
        <v>45666</v>
      </c>
      <c r="J2644" s="13" t="str">
        <f>TEXT(Table1[[#This Row],[Date]],"[$-en-US]mmm yyyy")</f>
        <v>Jan 2025</v>
      </c>
      <c r="K2644" s="13" t="str">
        <f>TEXT(Table1[[#This Row],[Date]],"[$-en-US]ddd")</f>
        <v>Thu</v>
      </c>
    </row>
    <row r="2645" spans="1:11" x14ac:dyDescent="0.25">
      <c r="A2645">
        <v>9</v>
      </c>
      <c r="B2645" t="s">
        <v>9</v>
      </c>
      <c r="C2645">
        <v>30.86</v>
      </c>
      <c r="D2645" t="s">
        <v>17</v>
      </c>
      <c r="E2645" t="s">
        <v>11</v>
      </c>
      <c r="F2645" t="s">
        <v>38</v>
      </c>
      <c r="G2645">
        <v>4</v>
      </c>
      <c r="H2645">
        <v>1</v>
      </c>
      <c r="I2645" s="13">
        <v>45666</v>
      </c>
      <c r="J2645" s="13" t="str">
        <f>TEXT(Table1[[#This Row],[Date]],"[$-en-US]mmm yyyy")</f>
        <v>Jan 2025</v>
      </c>
      <c r="K2645" s="13" t="str">
        <f>TEXT(Table1[[#This Row],[Date]],"[$-en-US]ddd")</f>
        <v>Thu</v>
      </c>
    </row>
    <row r="2646" spans="1:11" x14ac:dyDescent="0.25">
      <c r="A2646">
        <v>14</v>
      </c>
      <c r="B2646" t="s">
        <v>9</v>
      </c>
      <c r="C2646">
        <v>21.06</v>
      </c>
      <c r="D2646" t="s">
        <v>24</v>
      </c>
      <c r="E2646" t="s">
        <v>15</v>
      </c>
      <c r="F2646" t="s">
        <v>38</v>
      </c>
      <c r="G2646">
        <v>4</v>
      </c>
      <c r="H2646">
        <v>1</v>
      </c>
      <c r="I2646" s="13">
        <v>45666</v>
      </c>
      <c r="J2646" s="13" t="str">
        <f>TEXT(Table1[[#This Row],[Date]],"[$-en-US]mmm yyyy")</f>
        <v>Jan 2025</v>
      </c>
      <c r="K2646" s="13" t="str">
        <f>TEXT(Table1[[#This Row],[Date]],"[$-en-US]ddd")</f>
        <v>Thu</v>
      </c>
    </row>
    <row r="2647" spans="1:11" x14ac:dyDescent="0.25">
      <c r="A2647">
        <v>15</v>
      </c>
      <c r="B2647" t="s">
        <v>9</v>
      </c>
      <c r="C2647">
        <v>35.76</v>
      </c>
      <c r="D2647" t="s">
        <v>10</v>
      </c>
      <c r="E2647" t="s">
        <v>15</v>
      </c>
      <c r="F2647" t="s">
        <v>38</v>
      </c>
      <c r="G2647">
        <v>4</v>
      </c>
      <c r="H2647">
        <v>1</v>
      </c>
      <c r="I2647" s="13">
        <v>45666</v>
      </c>
      <c r="J2647" s="13" t="str">
        <f>TEXT(Table1[[#This Row],[Date]],"[$-en-US]mmm yyyy")</f>
        <v>Jan 2025</v>
      </c>
      <c r="K2647" s="13" t="str">
        <f>TEXT(Table1[[#This Row],[Date]],"[$-en-US]ddd")</f>
        <v>Thu</v>
      </c>
    </row>
    <row r="2648" spans="1:11" x14ac:dyDescent="0.25">
      <c r="A2648">
        <v>15</v>
      </c>
      <c r="B2648" t="s">
        <v>9</v>
      </c>
      <c r="C2648">
        <v>30.86</v>
      </c>
      <c r="D2648" t="s">
        <v>17</v>
      </c>
      <c r="E2648" t="s">
        <v>15</v>
      </c>
      <c r="F2648" t="s">
        <v>38</v>
      </c>
      <c r="G2648">
        <v>4</v>
      </c>
      <c r="H2648">
        <v>1</v>
      </c>
      <c r="I2648" s="13">
        <v>45666</v>
      </c>
      <c r="J2648" s="13" t="str">
        <f>TEXT(Table1[[#This Row],[Date]],"[$-en-US]mmm yyyy")</f>
        <v>Jan 2025</v>
      </c>
      <c r="K2648" s="13" t="str">
        <f>TEXT(Table1[[#This Row],[Date]],"[$-en-US]ddd")</f>
        <v>Thu</v>
      </c>
    </row>
    <row r="2649" spans="1:11" x14ac:dyDescent="0.25">
      <c r="A2649">
        <v>15</v>
      </c>
      <c r="B2649" t="s">
        <v>9</v>
      </c>
      <c r="C2649">
        <v>25.96</v>
      </c>
      <c r="D2649" t="s">
        <v>22</v>
      </c>
      <c r="E2649" t="s">
        <v>15</v>
      </c>
      <c r="F2649" t="s">
        <v>38</v>
      </c>
      <c r="G2649">
        <v>4</v>
      </c>
      <c r="H2649">
        <v>1</v>
      </c>
      <c r="I2649" s="13">
        <v>45666</v>
      </c>
      <c r="J2649" s="13" t="str">
        <f>TEXT(Table1[[#This Row],[Date]],"[$-en-US]mmm yyyy")</f>
        <v>Jan 2025</v>
      </c>
      <c r="K2649" s="13" t="str">
        <f>TEXT(Table1[[#This Row],[Date]],"[$-en-US]ddd")</f>
        <v>Thu</v>
      </c>
    </row>
    <row r="2650" spans="1:11" x14ac:dyDescent="0.25">
      <c r="A2650">
        <v>20</v>
      </c>
      <c r="B2650" t="s">
        <v>9</v>
      </c>
      <c r="C2650">
        <v>30.86</v>
      </c>
      <c r="D2650" t="s">
        <v>17</v>
      </c>
      <c r="E2650" t="s">
        <v>18</v>
      </c>
      <c r="F2650" t="s">
        <v>38</v>
      </c>
      <c r="G2650">
        <v>4</v>
      </c>
      <c r="H2650">
        <v>1</v>
      </c>
      <c r="I2650" s="13">
        <v>45666</v>
      </c>
      <c r="J2650" s="13" t="str">
        <f>TEXT(Table1[[#This Row],[Date]],"[$-en-US]mmm yyyy")</f>
        <v>Jan 2025</v>
      </c>
      <c r="K2650" s="13" t="str">
        <f>TEXT(Table1[[#This Row],[Date]],"[$-en-US]ddd")</f>
        <v>Thu</v>
      </c>
    </row>
    <row r="2651" spans="1:11" x14ac:dyDescent="0.25">
      <c r="A2651">
        <v>22</v>
      </c>
      <c r="B2651" t="s">
        <v>9</v>
      </c>
      <c r="C2651">
        <v>35.76</v>
      </c>
      <c r="D2651" t="s">
        <v>10</v>
      </c>
      <c r="E2651" t="s">
        <v>18</v>
      </c>
      <c r="F2651" t="s">
        <v>38</v>
      </c>
      <c r="G2651">
        <v>4</v>
      </c>
      <c r="H2651">
        <v>1</v>
      </c>
      <c r="I2651" s="13">
        <v>45666</v>
      </c>
      <c r="J2651" s="13" t="str">
        <f>TEXT(Table1[[#This Row],[Date]],"[$-en-US]mmm yyyy")</f>
        <v>Jan 2025</v>
      </c>
      <c r="K2651" s="13" t="str">
        <f>TEXT(Table1[[#This Row],[Date]],"[$-en-US]ddd")</f>
        <v>Thu</v>
      </c>
    </row>
    <row r="2652" spans="1:11" x14ac:dyDescent="0.25">
      <c r="A2652">
        <v>8</v>
      </c>
      <c r="B2652" t="s">
        <v>9</v>
      </c>
      <c r="C2652">
        <v>30.86</v>
      </c>
      <c r="D2652" t="s">
        <v>17</v>
      </c>
      <c r="E2652" t="s">
        <v>11</v>
      </c>
      <c r="F2652" t="s">
        <v>38</v>
      </c>
      <c r="G2652">
        <v>5</v>
      </c>
      <c r="H2652">
        <v>1</v>
      </c>
      <c r="I2652" s="13">
        <v>45667</v>
      </c>
      <c r="J2652" s="13" t="str">
        <f>TEXT(Table1[[#This Row],[Date]],"[$-en-US]mmm yyyy")</f>
        <v>Jan 2025</v>
      </c>
      <c r="K2652" s="13" t="str">
        <f>TEXT(Table1[[#This Row],[Date]],"[$-en-US]ddd")</f>
        <v>Fri</v>
      </c>
    </row>
    <row r="2653" spans="1:11" x14ac:dyDescent="0.25">
      <c r="A2653">
        <v>9</v>
      </c>
      <c r="B2653" t="s">
        <v>9</v>
      </c>
      <c r="C2653">
        <v>30.86</v>
      </c>
      <c r="D2653" t="s">
        <v>17</v>
      </c>
      <c r="E2653" t="s">
        <v>11</v>
      </c>
      <c r="F2653" t="s">
        <v>38</v>
      </c>
      <c r="G2653">
        <v>5</v>
      </c>
      <c r="H2653">
        <v>1</v>
      </c>
      <c r="I2653" s="13">
        <v>45667</v>
      </c>
      <c r="J2653" s="13" t="str">
        <f>TEXT(Table1[[#This Row],[Date]],"[$-en-US]mmm yyyy")</f>
        <v>Jan 2025</v>
      </c>
      <c r="K2653" s="13" t="str">
        <f>TEXT(Table1[[#This Row],[Date]],"[$-en-US]ddd")</f>
        <v>Fri</v>
      </c>
    </row>
    <row r="2654" spans="1:11" x14ac:dyDescent="0.25">
      <c r="A2654">
        <v>17</v>
      </c>
      <c r="B2654" t="s">
        <v>9</v>
      </c>
      <c r="C2654">
        <v>35.76</v>
      </c>
      <c r="D2654" t="s">
        <v>27</v>
      </c>
      <c r="E2654" t="s">
        <v>18</v>
      </c>
      <c r="F2654" t="s">
        <v>38</v>
      </c>
      <c r="G2654">
        <v>5</v>
      </c>
      <c r="H2654">
        <v>1</v>
      </c>
      <c r="I2654" s="13">
        <v>45667</v>
      </c>
      <c r="J2654" s="13" t="str">
        <f>TEXT(Table1[[#This Row],[Date]],"[$-en-US]mmm yyyy")</f>
        <v>Jan 2025</v>
      </c>
      <c r="K2654" s="13" t="str">
        <f>TEXT(Table1[[#This Row],[Date]],"[$-en-US]ddd")</f>
        <v>Fri</v>
      </c>
    </row>
    <row r="2655" spans="1:11" x14ac:dyDescent="0.25">
      <c r="A2655">
        <v>17</v>
      </c>
      <c r="B2655" t="s">
        <v>9</v>
      </c>
      <c r="C2655">
        <v>35.76</v>
      </c>
      <c r="D2655" t="s">
        <v>14</v>
      </c>
      <c r="E2655" t="s">
        <v>18</v>
      </c>
      <c r="F2655" t="s">
        <v>38</v>
      </c>
      <c r="G2655">
        <v>5</v>
      </c>
      <c r="H2655">
        <v>1</v>
      </c>
      <c r="I2655" s="13">
        <v>45667</v>
      </c>
      <c r="J2655" s="13" t="str">
        <f>TEXT(Table1[[#This Row],[Date]],"[$-en-US]mmm yyyy")</f>
        <v>Jan 2025</v>
      </c>
      <c r="K2655" s="13" t="str">
        <f>TEXT(Table1[[#This Row],[Date]],"[$-en-US]ddd")</f>
        <v>Fri</v>
      </c>
    </row>
    <row r="2656" spans="1:11" x14ac:dyDescent="0.25">
      <c r="A2656">
        <v>17</v>
      </c>
      <c r="B2656" t="s">
        <v>9</v>
      </c>
      <c r="C2656">
        <v>30.86</v>
      </c>
      <c r="D2656" t="s">
        <v>17</v>
      </c>
      <c r="E2656" t="s">
        <v>18</v>
      </c>
      <c r="F2656" t="s">
        <v>38</v>
      </c>
      <c r="G2656">
        <v>5</v>
      </c>
      <c r="H2656">
        <v>1</v>
      </c>
      <c r="I2656" s="13">
        <v>45667</v>
      </c>
      <c r="J2656" s="13" t="str">
        <f>TEXT(Table1[[#This Row],[Date]],"[$-en-US]mmm yyyy")</f>
        <v>Jan 2025</v>
      </c>
      <c r="K2656" s="13" t="str">
        <f>TEXT(Table1[[#This Row],[Date]],"[$-en-US]ddd")</f>
        <v>Fri</v>
      </c>
    </row>
    <row r="2657" spans="1:11" x14ac:dyDescent="0.25">
      <c r="A2657">
        <v>7</v>
      </c>
      <c r="B2657" t="s">
        <v>9</v>
      </c>
      <c r="C2657">
        <v>30.86</v>
      </c>
      <c r="D2657" t="s">
        <v>17</v>
      </c>
      <c r="E2657" t="s">
        <v>11</v>
      </c>
      <c r="F2657" t="s">
        <v>38</v>
      </c>
      <c r="G2657">
        <v>6</v>
      </c>
      <c r="H2657">
        <v>1</v>
      </c>
      <c r="I2657" s="13">
        <v>45668</v>
      </c>
      <c r="J2657" s="13" t="str">
        <f>TEXT(Table1[[#This Row],[Date]],"[$-en-US]mmm yyyy")</f>
        <v>Jan 2025</v>
      </c>
      <c r="K2657" s="13" t="str">
        <f>TEXT(Table1[[#This Row],[Date]],"[$-en-US]ddd")</f>
        <v>Sat</v>
      </c>
    </row>
    <row r="2658" spans="1:11" x14ac:dyDescent="0.25">
      <c r="A2658">
        <v>10</v>
      </c>
      <c r="B2658" t="s">
        <v>9</v>
      </c>
      <c r="C2658">
        <v>35.76</v>
      </c>
      <c r="D2658" t="s">
        <v>14</v>
      </c>
      <c r="E2658" t="s">
        <v>11</v>
      </c>
      <c r="F2658" t="s">
        <v>38</v>
      </c>
      <c r="G2658">
        <v>6</v>
      </c>
      <c r="H2658">
        <v>1</v>
      </c>
      <c r="I2658" s="13">
        <v>45668</v>
      </c>
      <c r="J2658" s="13" t="str">
        <f>TEXT(Table1[[#This Row],[Date]],"[$-en-US]mmm yyyy")</f>
        <v>Jan 2025</v>
      </c>
      <c r="K2658" s="13" t="str">
        <f>TEXT(Table1[[#This Row],[Date]],"[$-en-US]ddd")</f>
        <v>Sat</v>
      </c>
    </row>
    <row r="2659" spans="1:11" x14ac:dyDescent="0.25">
      <c r="A2659">
        <v>11</v>
      </c>
      <c r="B2659" t="s">
        <v>9</v>
      </c>
      <c r="C2659">
        <v>25.96</v>
      </c>
      <c r="D2659" t="s">
        <v>16</v>
      </c>
      <c r="E2659" t="s">
        <v>11</v>
      </c>
      <c r="F2659" t="s">
        <v>38</v>
      </c>
      <c r="G2659">
        <v>6</v>
      </c>
      <c r="H2659">
        <v>1</v>
      </c>
      <c r="I2659" s="13">
        <v>45668</v>
      </c>
      <c r="J2659" s="13" t="str">
        <f>TEXT(Table1[[#This Row],[Date]],"[$-en-US]mmm yyyy")</f>
        <v>Jan 2025</v>
      </c>
      <c r="K2659" s="13" t="str">
        <f>TEXT(Table1[[#This Row],[Date]],"[$-en-US]ddd")</f>
        <v>Sat</v>
      </c>
    </row>
    <row r="2660" spans="1:11" x14ac:dyDescent="0.25">
      <c r="A2660">
        <v>11</v>
      </c>
      <c r="B2660" t="s">
        <v>9</v>
      </c>
      <c r="C2660">
        <v>35.76</v>
      </c>
      <c r="D2660" t="s">
        <v>10</v>
      </c>
      <c r="E2660" t="s">
        <v>11</v>
      </c>
      <c r="F2660" t="s">
        <v>38</v>
      </c>
      <c r="G2660">
        <v>6</v>
      </c>
      <c r="H2660">
        <v>1</v>
      </c>
      <c r="I2660" s="13">
        <v>45668</v>
      </c>
      <c r="J2660" s="13" t="str">
        <f>TEXT(Table1[[#This Row],[Date]],"[$-en-US]mmm yyyy")</f>
        <v>Jan 2025</v>
      </c>
      <c r="K2660" s="13" t="str">
        <f>TEXT(Table1[[#This Row],[Date]],"[$-en-US]ddd")</f>
        <v>Sat</v>
      </c>
    </row>
    <row r="2661" spans="1:11" x14ac:dyDescent="0.25">
      <c r="A2661">
        <v>11</v>
      </c>
      <c r="B2661" t="s">
        <v>9</v>
      </c>
      <c r="C2661">
        <v>35.76</v>
      </c>
      <c r="D2661" t="s">
        <v>10</v>
      </c>
      <c r="E2661" t="s">
        <v>11</v>
      </c>
      <c r="F2661" t="s">
        <v>38</v>
      </c>
      <c r="G2661">
        <v>6</v>
      </c>
      <c r="H2661">
        <v>1</v>
      </c>
      <c r="I2661" s="13">
        <v>45668</v>
      </c>
      <c r="J2661" s="13" t="str">
        <f>TEXT(Table1[[#This Row],[Date]],"[$-en-US]mmm yyyy")</f>
        <v>Jan 2025</v>
      </c>
      <c r="K2661" s="13" t="str">
        <f>TEXT(Table1[[#This Row],[Date]],"[$-en-US]ddd")</f>
        <v>Sat</v>
      </c>
    </row>
    <row r="2662" spans="1:11" x14ac:dyDescent="0.25">
      <c r="A2662">
        <v>12</v>
      </c>
      <c r="B2662" t="s">
        <v>9</v>
      </c>
      <c r="C2662">
        <v>35.76</v>
      </c>
      <c r="D2662" t="s">
        <v>10</v>
      </c>
      <c r="E2662" t="s">
        <v>15</v>
      </c>
      <c r="F2662" t="s">
        <v>38</v>
      </c>
      <c r="G2662">
        <v>6</v>
      </c>
      <c r="H2662">
        <v>1</v>
      </c>
      <c r="I2662" s="13">
        <v>45668</v>
      </c>
      <c r="J2662" s="13" t="str">
        <f>TEXT(Table1[[#This Row],[Date]],"[$-en-US]mmm yyyy")</f>
        <v>Jan 2025</v>
      </c>
      <c r="K2662" s="13" t="str">
        <f>TEXT(Table1[[#This Row],[Date]],"[$-en-US]ddd")</f>
        <v>Sat</v>
      </c>
    </row>
    <row r="2663" spans="1:11" x14ac:dyDescent="0.25">
      <c r="A2663">
        <v>12</v>
      </c>
      <c r="B2663" t="s">
        <v>9</v>
      </c>
      <c r="C2663">
        <v>35.76</v>
      </c>
      <c r="D2663" t="s">
        <v>10</v>
      </c>
      <c r="E2663" t="s">
        <v>15</v>
      </c>
      <c r="F2663" t="s">
        <v>38</v>
      </c>
      <c r="G2663">
        <v>6</v>
      </c>
      <c r="H2663">
        <v>1</v>
      </c>
      <c r="I2663" s="13">
        <v>45668</v>
      </c>
      <c r="J2663" s="13" t="str">
        <f>TEXT(Table1[[#This Row],[Date]],"[$-en-US]mmm yyyy")</f>
        <v>Jan 2025</v>
      </c>
      <c r="K2663" s="13" t="str">
        <f>TEXT(Table1[[#This Row],[Date]],"[$-en-US]ddd")</f>
        <v>Sat</v>
      </c>
    </row>
    <row r="2664" spans="1:11" x14ac:dyDescent="0.25">
      <c r="A2664">
        <v>14</v>
      </c>
      <c r="B2664" t="s">
        <v>9</v>
      </c>
      <c r="C2664">
        <v>30.86</v>
      </c>
      <c r="D2664" t="s">
        <v>17</v>
      </c>
      <c r="E2664" t="s">
        <v>15</v>
      </c>
      <c r="F2664" t="s">
        <v>38</v>
      </c>
      <c r="G2664">
        <v>6</v>
      </c>
      <c r="H2664">
        <v>1</v>
      </c>
      <c r="I2664" s="13">
        <v>45668</v>
      </c>
      <c r="J2664" s="13" t="str">
        <f>TEXT(Table1[[#This Row],[Date]],"[$-en-US]mmm yyyy")</f>
        <v>Jan 2025</v>
      </c>
      <c r="K2664" s="13" t="str">
        <f>TEXT(Table1[[#This Row],[Date]],"[$-en-US]ddd")</f>
        <v>Sat</v>
      </c>
    </row>
    <row r="2665" spans="1:11" x14ac:dyDescent="0.25">
      <c r="A2665">
        <v>14</v>
      </c>
      <c r="B2665" t="s">
        <v>9</v>
      </c>
      <c r="C2665">
        <v>30.86</v>
      </c>
      <c r="D2665" t="s">
        <v>17</v>
      </c>
      <c r="E2665" t="s">
        <v>15</v>
      </c>
      <c r="F2665" t="s">
        <v>38</v>
      </c>
      <c r="G2665">
        <v>6</v>
      </c>
      <c r="H2665">
        <v>1</v>
      </c>
      <c r="I2665" s="13">
        <v>45668</v>
      </c>
      <c r="J2665" s="13" t="str">
        <f>TEXT(Table1[[#This Row],[Date]],"[$-en-US]mmm yyyy")</f>
        <v>Jan 2025</v>
      </c>
      <c r="K2665" s="13" t="str">
        <f>TEXT(Table1[[#This Row],[Date]],"[$-en-US]ddd")</f>
        <v>Sat</v>
      </c>
    </row>
    <row r="2666" spans="1:11" x14ac:dyDescent="0.25">
      <c r="A2666">
        <v>14</v>
      </c>
      <c r="B2666" t="s">
        <v>9</v>
      </c>
      <c r="C2666">
        <v>35.76</v>
      </c>
      <c r="D2666" t="s">
        <v>27</v>
      </c>
      <c r="E2666" t="s">
        <v>15</v>
      </c>
      <c r="F2666" t="s">
        <v>38</v>
      </c>
      <c r="G2666">
        <v>6</v>
      </c>
      <c r="H2666">
        <v>1</v>
      </c>
      <c r="I2666" s="13">
        <v>45668</v>
      </c>
      <c r="J2666" s="13" t="str">
        <f>TEXT(Table1[[#This Row],[Date]],"[$-en-US]mmm yyyy")</f>
        <v>Jan 2025</v>
      </c>
      <c r="K2666" s="13" t="str">
        <f>TEXT(Table1[[#This Row],[Date]],"[$-en-US]ddd")</f>
        <v>Sat</v>
      </c>
    </row>
    <row r="2667" spans="1:11" x14ac:dyDescent="0.25">
      <c r="A2667">
        <v>14</v>
      </c>
      <c r="B2667" t="s">
        <v>9</v>
      </c>
      <c r="C2667">
        <v>35.76</v>
      </c>
      <c r="D2667" t="s">
        <v>10</v>
      </c>
      <c r="E2667" t="s">
        <v>15</v>
      </c>
      <c r="F2667" t="s">
        <v>38</v>
      </c>
      <c r="G2667">
        <v>6</v>
      </c>
      <c r="H2667">
        <v>1</v>
      </c>
      <c r="I2667" s="13">
        <v>45668</v>
      </c>
      <c r="J2667" s="13" t="str">
        <f>TEXT(Table1[[#This Row],[Date]],"[$-en-US]mmm yyyy")</f>
        <v>Jan 2025</v>
      </c>
      <c r="K2667" s="13" t="str">
        <f>TEXT(Table1[[#This Row],[Date]],"[$-en-US]ddd")</f>
        <v>Sat</v>
      </c>
    </row>
    <row r="2668" spans="1:11" x14ac:dyDescent="0.25">
      <c r="A2668">
        <v>17</v>
      </c>
      <c r="B2668" t="s">
        <v>9</v>
      </c>
      <c r="C2668">
        <v>25.96</v>
      </c>
      <c r="D2668" t="s">
        <v>22</v>
      </c>
      <c r="E2668" t="s">
        <v>18</v>
      </c>
      <c r="F2668" t="s">
        <v>38</v>
      </c>
      <c r="G2668">
        <v>6</v>
      </c>
      <c r="H2668">
        <v>1</v>
      </c>
      <c r="I2668" s="13">
        <v>45668</v>
      </c>
      <c r="J2668" s="13" t="str">
        <f>TEXT(Table1[[#This Row],[Date]],"[$-en-US]mmm yyyy")</f>
        <v>Jan 2025</v>
      </c>
      <c r="K2668" s="13" t="str">
        <f>TEXT(Table1[[#This Row],[Date]],"[$-en-US]ddd")</f>
        <v>Sat</v>
      </c>
    </row>
    <row r="2669" spans="1:11" x14ac:dyDescent="0.25">
      <c r="A2669">
        <v>17</v>
      </c>
      <c r="B2669" t="s">
        <v>9</v>
      </c>
      <c r="C2669">
        <v>35.76</v>
      </c>
      <c r="D2669" t="s">
        <v>10</v>
      </c>
      <c r="E2669" t="s">
        <v>18</v>
      </c>
      <c r="F2669" t="s">
        <v>38</v>
      </c>
      <c r="G2669">
        <v>6</v>
      </c>
      <c r="H2669">
        <v>1</v>
      </c>
      <c r="I2669" s="13">
        <v>45668</v>
      </c>
      <c r="J2669" s="13" t="str">
        <f>TEXT(Table1[[#This Row],[Date]],"[$-en-US]mmm yyyy")</f>
        <v>Jan 2025</v>
      </c>
      <c r="K2669" s="13" t="str">
        <f>TEXT(Table1[[#This Row],[Date]],"[$-en-US]ddd")</f>
        <v>Sat</v>
      </c>
    </row>
    <row r="2670" spans="1:11" x14ac:dyDescent="0.25">
      <c r="A2670">
        <v>17</v>
      </c>
      <c r="B2670" t="s">
        <v>9</v>
      </c>
      <c r="C2670">
        <v>25.96</v>
      </c>
      <c r="D2670" t="s">
        <v>22</v>
      </c>
      <c r="E2670" t="s">
        <v>18</v>
      </c>
      <c r="F2670" t="s">
        <v>38</v>
      </c>
      <c r="G2670">
        <v>6</v>
      </c>
      <c r="H2670">
        <v>1</v>
      </c>
      <c r="I2670" s="13">
        <v>45668</v>
      </c>
      <c r="J2670" s="13" t="str">
        <f>TEXT(Table1[[#This Row],[Date]],"[$-en-US]mmm yyyy")</f>
        <v>Jan 2025</v>
      </c>
      <c r="K2670" s="13" t="str">
        <f>TEXT(Table1[[#This Row],[Date]],"[$-en-US]ddd")</f>
        <v>Sat</v>
      </c>
    </row>
    <row r="2671" spans="1:11" x14ac:dyDescent="0.25">
      <c r="A2671">
        <v>18</v>
      </c>
      <c r="B2671" t="s">
        <v>9</v>
      </c>
      <c r="C2671">
        <v>30.86</v>
      </c>
      <c r="D2671" t="s">
        <v>17</v>
      </c>
      <c r="E2671" t="s">
        <v>18</v>
      </c>
      <c r="F2671" t="s">
        <v>38</v>
      </c>
      <c r="G2671">
        <v>6</v>
      </c>
      <c r="H2671">
        <v>1</v>
      </c>
      <c r="I2671" s="13">
        <v>45668</v>
      </c>
      <c r="J2671" s="13" t="str">
        <f>TEXT(Table1[[#This Row],[Date]],"[$-en-US]mmm yyyy")</f>
        <v>Jan 2025</v>
      </c>
      <c r="K2671" s="13" t="str">
        <f>TEXT(Table1[[#This Row],[Date]],"[$-en-US]ddd")</f>
        <v>Sat</v>
      </c>
    </row>
    <row r="2672" spans="1:11" x14ac:dyDescent="0.25">
      <c r="A2672">
        <v>11</v>
      </c>
      <c r="B2672" t="s">
        <v>9</v>
      </c>
      <c r="C2672">
        <v>30.86</v>
      </c>
      <c r="D2672" t="s">
        <v>17</v>
      </c>
      <c r="E2672" t="s">
        <v>11</v>
      </c>
      <c r="F2672" t="s">
        <v>38</v>
      </c>
      <c r="G2672">
        <v>7</v>
      </c>
      <c r="H2672">
        <v>1</v>
      </c>
      <c r="I2672" s="13">
        <v>45669</v>
      </c>
      <c r="J2672" s="13" t="str">
        <f>TEXT(Table1[[#This Row],[Date]],"[$-en-US]mmm yyyy")</f>
        <v>Jan 2025</v>
      </c>
      <c r="K2672" s="13" t="str">
        <f>TEXT(Table1[[#This Row],[Date]],"[$-en-US]ddd")</f>
        <v>Sun</v>
      </c>
    </row>
    <row r="2673" spans="1:11" x14ac:dyDescent="0.25">
      <c r="A2673">
        <v>11</v>
      </c>
      <c r="B2673" t="s">
        <v>9</v>
      </c>
      <c r="C2673">
        <v>25.96</v>
      </c>
      <c r="D2673" t="s">
        <v>16</v>
      </c>
      <c r="E2673" t="s">
        <v>11</v>
      </c>
      <c r="F2673" t="s">
        <v>38</v>
      </c>
      <c r="G2673">
        <v>7</v>
      </c>
      <c r="H2673">
        <v>1</v>
      </c>
      <c r="I2673" s="13">
        <v>45669</v>
      </c>
      <c r="J2673" s="13" t="str">
        <f>TEXT(Table1[[#This Row],[Date]],"[$-en-US]mmm yyyy")</f>
        <v>Jan 2025</v>
      </c>
      <c r="K2673" s="13" t="str">
        <f>TEXT(Table1[[#This Row],[Date]],"[$-en-US]ddd")</f>
        <v>Sun</v>
      </c>
    </row>
    <row r="2674" spans="1:11" x14ac:dyDescent="0.25">
      <c r="A2674">
        <v>11</v>
      </c>
      <c r="B2674" t="s">
        <v>9</v>
      </c>
      <c r="C2674">
        <v>30.86</v>
      </c>
      <c r="D2674" t="s">
        <v>17</v>
      </c>
      <c r="E2674" t="s">
        <v>11</v>
      </c>
      <c r="F2674" t="s">
        <v>38</v>
      </c>
      <c r="G2674">
        <v>7</v>
      </c>
      <c r="H2674">
        <v>1</v>
      </c>
      <c r="I2674" s="13">
        <v>45669</v>
      </c>
      <c r="J2674" s="13" t="str">
        <f>TEXT(Table1[[#This Row],[Date]],"[$-en-US]mmm yyyy")</f>
        <v>Jan 2025</v>
      </c>
      <c r="K2674" s="13" t="str">
        <f>TEXT(Table1[[#This Row],[Date]],"[$-en-US]ddd")</f>
        <v>Sun</v>
      </c>
    </row>
    <row r="2675" spans="1:11" x14ac:dyDescent="0.25">
      <c r="A2675">
        <v>16</v>
      </c>
      <c r="B2675" t="s">
        <v>9</v>
      </c>
      <c r="C2675">
        <v>35.76</v>
      </c>
      <c r="D2675" t="s">
        <v>14</v>
      </c>
      <c r="E2675" t="s">
        <v>15</v>
      </c>
      <c r="F2675" t="s">
        <v>38</v>
      </c>
      <c r="G2675">
        <v>7</v>
      </c>
      <c r="H2675">
        <v>1</v>
      </c>
      <c r="I2675" s="13">
        <v>45669</v>
      </c>
      <c r="J2675" s="13" t="str">
        <f>TEXT(Table1[[#This Row],[Date]],"[$-en-US]mmm yyyy")</f>
        <v>Jan 2025</v>
      </c>
      <c r="K2675" s="13" t="str">
        <f>TEXT(Table1[[#This Row],[Date]],"[$-en-US]ddd")</f>
        <v>Sun</v>
      </c>
    </row>
    <row r="2676" spans="1:11" x14ac:dyDescent="0.25">
      <c r="A2676">
        <v>20</v>
      </c>
      <c r="B2676" t="s">
        <v>9</v>
      </c>
      <c r="C2676">
        <v>30.86</v>
      </c>
      <c r="D2676" t="s">
        <v>17</v>
      </c>
      <c r="E2676" t="s">
        <v>18</v>
      </c>
      <c r="F2676" t="s">
        <v>38</v>
      </c>
      <c r="G2676">
        <v>7</v>
      </c>
      <c r="H2676">
        <v>1</v>
      </c>
      <c r="I2676" s="13">
        <v>45669</v>
      </c>
      <c r="J2676" s="13" t="str">
        <f>TEXT(Table1[[#This Row],[Date]],"[$-en-US]mmm yyyy")</f>
        <v>Jan 2025</v>
      </c>
      <c r="K2676" s="13" t="str">
        <f>TEXT(Table1[[#This Row],[Date]],"[$-en-US]ddd")</f>
        <v>Sun</v>
      </c>
    </row>
    <row r="2677" spans="1:11" x14ac:dyDescent="0.25">
      <c r="A2677">
        <v>8</v>
      </c>
      <c r="B2677" t="s">
        <v>9</v>
      </c>
      <c r="C2677">
        <v>30.86</v>
      </c>
      <c r="D2677" t="s">
        <v>17</v>
      </c>
      <c r="E2677" t="s">
        <v>11</v>
      </c>
      <c r="F2677" t="s">
        <v>38</v>
      </c>
      <c r="G2677">
        <v>1</v>
      </c>
      <c r="H2677">
        <v>1</v>
      </c>
      <c r="I2677" s="13">
        <v>45670</v>
      </c>
      <c r="J2677" s="13" t="str">
        <f>TEXT(Table1[[#This Row],[Date]],"[$-en-US]mmm yyyy")</f>
        <v>Jan 2025</v>
      </c>
      <c r="K2677" s="13" t="str">
        <f>TEXT(Table1[[#This Row],[Date]],"[$-en-US]ddd")</f>
        <v>Mon</v>
      </c>
    </row>
    <row r="2678" spans="1:11" x14ac:dyDescent="0.25">
      <c r="A2678">
        <v>9</v>
      </c>
      <c r="B2678" t="s">
        <v>9</v>
      </c>
      <c r="C2678">
        <v>30.86</v>
      </c>
      <c r="D2678" t="s">
        <v>17</v>
      </c>
      <c r="E2678" t="s">
        <v>11</v>
      </c>
      <c r="F2678" t="s">
        <v>38</v>
      </c>
      <c r="G2678">
        <v>1</v>
      </c>
      <c r="H2678">
        <v>1</v>
      </c>
      <c r="I2678" s="13">
        <v>45670</v>
      </c>
      <c r="J2678" s="13" t="str">
        <f>TEXT(Table1[[#This Row],[Date]],"[$-en-US]mmm yyyy")</f>
        <v>Jan 2025</v>
      </c>
      <c r="K2678" s="13" t="str">
        <f>TEXT(Table1[[#This Row],[Date]],"[$-en-US]ddd")</f>
        <v>Mon</v>
      </c>
    </row>
    <row r="2679" spans="1:11" x14ac:dyDescent="0.25">
      <c r="A2679">
        <v>13</v>
      </c>
      <c r="B2679" t="s">
        <v>9</v>
      </c>
      <c r="C2679">
        <v>25.96</v>
      </c>
      <c r="D2679" t="s">
        <v>22</v>
      </c>
      <c r="E2679" t="s">
        <v>15</v>
      </c>
      <c r="F2679" t="s">
        <v>38</v>
      </c>
      <c r="G2679">
        <v>1</v>
      </c>
      <c r="H2679">
        <v>1</v>
      </c>
      <c r="I2679" s="13">
        <v>45670</v>
      </c>
      <c r="J2679" s="13" t="str">
        <f>TEXT(Table1[[#This Row],[Date]],"[$-en-US]mmm yyyy")</f>
        <v>Jan 2025</v>
      </c>
      <c r="K2679" s="13" t="str">
        <f>TEXT(Table1[[#This Row],[Date]],"[$-en-US]ddd")</f>
        <v>Mon</v>
      </c>
    </row>
    <row r="2680" spans="1:11" x14ac:dyDescent="0.25">
      <c r="A2680">
        <v>13</v>
      </c>
      <c r="B2680" t="s">
        <v>9</v>
      </c>
      <c r="C2680">
        <v>35.76</v>
      </c>
      <c r="D2680" t="s">
        <v>10</v>
      </c>
      <c r="E2680" t="s">
        <v>15</v>
      </c>
      <c r="F2680" t="s">
        <v>38</v>
      </c>
      <c r="G2680">
        <v>1</v>
      </c>
      <c r="H2680">
        <v>1</v>
      </c>
      <c r="I2680" s="13">
        <v>45670</v>
      </c>
      <c r="J2680" s="13" t="str">
        <f>TEXT(Table1[[#This Row],[Date]],"[$-en-US]mmm yyyy")</f>
        <v>Jan 2025</v>
      </c>
      <c r="K2680" s="13" t="str">
        <f>TEXT(Table1[[#This Row],[Date]],"[$-en-US]ddd")</f>
        <v>Mon</v>
      </c>
    </row>
    <row r="2681" spans="1:11" x14ac:dyDescent="0.25">
      <c r="A2681">
        <v>14</v>
      </c>
      <c r="B2681" t="s">
        <v>9</v>
      </c>
      <c r="C2681">
        <v>35.76</v>
      </c>
      <c r="D2681" t="s">
        <v>10</v>
      </c>
      <c r="E2681" t="s">
        <v>15</v>
      </c>
      <c r="F2681" t="s">
        <v>38</v>
      </c>
      <c r="G2681">
        <v>1</v>
      </c>
      <c r="H2681">
        <v>1</v>
      </c>
      <c r="I2681" s="13">
        <v>45670</v>
      </c>
      <c r="J2681" s="13" t="str">
        <f>TEXT(Table1[[#This Row],[Date]],"[$-en-US]mmm yyyy")</f>
        <v>Jan 2025</v>
      </c>
      <c r="K2681" s="13" t="str">
        <f>TEXT(Table1[[#This Row],[Date]],"[$-en-US]ddd")</f>
        <v>Mon</v>
      </c>
    </row>
    <row r="2682" spans="1:11" x14ac:dyDescent="0.25">
      <c r="A2682">
        <v>14</v>
      </c>
      <c r="B2682" t="s">
        <v>9</v>
      </c>
      <c r="C2682">
        <v>35.76</v>
      </c>
      <c r="D2682" t="s">
        <v>27</v>
      </c>
      <c r="E2682" t="s">
        <v>15</v>
      </c>
      <c r="F2682" t="s">
        <v>38</v>
      </c>
      <c r="G2682">
        <v>1</v>
      </c>
      <c r="H2682">
        <v>1</v>
      </c>
      <c r="I2682" s="13">
        <v>45670</v>
      </c>
      <c r="J2682" s="13" t="str">
        <f>TEXT(Table1[[#This Row],[Date]],"[$-en-US]mmm yyyy")</f>
        <v>Jan 2025</v>
      </c>
      <c r="K2682" s="13" t="str">
        <f>TEXT(Table1[[#This Row],[Date]],"[$-en-US]ddd")</f>
        <v>Mon</v>
      </c>
    </row>
    <row r="2683" spans="1:11" x14ac:dyDescent="0.25">
      <c r="A2683">
        <v>16</v>
      </c>
      <c r="B2683" t="s">
        <v>9</v>
      </c>
      <c r="C2683">
        <v>35.76</v>
      </c>
      <c r="D2683" t="s">
        <v>10</v>
      </c>
      <c r="E2683" t="s">
        <v>15</v>
      </c>
      <c r="F2683" t="s">
        <v>38</v>
      </c>
      <c r="G2683">
        <v>1</v>
      </c>
      <c r="H2683">
        <v>1</v>
      </c>
      <c r="I2683" s="13">
        <v>45670</v>
      </c>
      <c r="J2683" s="13" t="str">
        <f>TEXT(Table1[[#This Row],[Date]],"[$-en-US]mmm yyyy")</f>
        <v>Jan 2025</v>
      </c>
      <c r="K2683" s="13" t="str">
        <f>TEXT(Table1[[#This Row],[Date]],"[$-en-US]ddd")</f>
        <v>Mon</v>
      </c>
    </row>
    <row r="2684" spans="1:11" x14ac:dyDescent="0.25">
      <c r="A2684">
        <v>20</v>
      </c>
      <c r="B2684" t="s">
        <v>9</v>
      </c>
      <c r="C2684">
        <v>21.06</v>
      </c>
      <c r="D2684" t="s">
        <v>24</v>
      </c>
      <c r="E2684" t="s">
        <v>18</v>
      </c>
      <c r="F2684" t="s">
        <v>38</v>
      </c>
      <c r="G2684">
        <v>1</v>
      </c>
      <c r="H2684">
        <v>1</v>
      </c>
      <c r="I2684" s="13">
        <v>45670</v>
      </c>
      <c r="J2684" s="13" t="str">
        <f>TEXT(Table1[[#This Row],[Date]],"[$-en-US]mmm yyyy")</f>
        <v>Jan 2025</v>
      </c>
      <c r="K2684" s="13" t="str">
        <f>TEXT(Table1[[#This Row],[Date]],"[$-en-US]ddd")</f>
        <v>Mon</v>
      </c>
    </row>
    <row r="2685" spans="1:11" x14ac:dyDescent="0.25">
      <c r="A2685">
        <v>7</v>
      </c>
      <c r="B2685" t="s">
        <v>9</v>
      </c>
      <c r="C2685">
        <v>35.76</v>
      </c>
      <c r="D2685" t="s">
        <v>10</v>
      </c>
      <c r="E2685" t="s">
        <v>11</v>
      </c>
      <c r="F2685" t="s">
        <v>38</v>
      </c>
      <c r="G2685">
        <v>2</v>
      </c>
      <c r="H2685">
        <v>1</v>
      </c>
      <c r="I2685" s="13">
        <v>45671</v>
      </c>
      <c r="J2685" s="13" t="str">
        <f>TEXT(Table1[[#This Row],[Date]],"[$-en-US]mmm yyyy")</f>
        <v>Jan 2025</v>
      </c>
      <c r="K2685" s="13" t="str">
        <f>TEXT(Table1[[#This Row],[Date]],"[$-en-US]ddd")</f>
        <v>Tue</v>
      </c>
    </row>
    <row r="2686" spans="1:11" x14ac:dyDescent="0.25">
      <c r="A2686">
        <v>9</v>
      </c>
      <c r="B2686" t="s">
        <v>9</v>
      </c>
      <c r="C2686">
        <v>25.96</v>
      </c>
      <c r="D2686" t="s">
        <v>22</v>
      </c>
      <c r="E2686" t="s">
        <v>11</v>
      </c>
      <c r="F2686" t="s">
        <v>38</v>
      </c>
      <c r="G2686">
        <v>2</v>
      </c>
      <c r="H2686">
        <v>1</v>
      </c>
      <c r="I2686" s="13">
        <v>45671</v>
      </c>
      <c r="J2686" s="13" t="str">
        <f>TEXT(Table1[[#This Row],[Date]],"[$-en-US]mmm yyyy")</f>
        <v>Jan 2025</v>
      </c>
      <c r="K2686" s="13" t="str">
        <f>TEXT(Table1[[#This Row],[Date]],"[$-en-US]ddd")</f>
        <v>Tue</v>
      </c>
    </row>
    <row r="2687" spans="1:11" x14ac:dyDescent="0.25">
      <c r="A2687">
        <v>10</v>
      </c>
      <c r="B2687" t="s">
        <v>9</v>
      </c>
      <c r="C2687">
        <v>30.86</v>
      </c>
      <c r="D2687" t="s">
        <v>17</v>
      </c>
      <c r="E2687" t="s">
        <v>11</v>
      </c>
      <c r="F2687" t="s">
        <v>38</v>
      </c>
      <c r="G2687">
        <v>2</v>
      </c>
      <c r="H2687">
        <v>1</v>
      </c>
      <c r="I2687" s="13">
        <v>45671</v>
      </c>
      <c r="J2687" s="13" t="str">
        <f>TEXT(Table1[[#This Row],[Date]],"[$-en-US]mmm yyyy")</f>
        <v>Jan 2025</v>
      </c>
      <c r="K2687" s="13" t="str">
        <f>TEXT(Table1[[#This Row],[Date]],"[$-en-US]ddd")</f>
        <v>Tue</v>
      </c>
    </row>
    <row r="2688" spans="1:11" x14ac:dyDescent="0.25">
      <c r="A2688">
        <v>12</v>
      </c>
      <c r="B2688" t="s">
        <v>9</v>
      </c>
      <c r="C2688">
        <v>35.76</v>
      </c>
      <c r="D2688" t="s">
        <v>10</v>
      </c>
      <c r="E2688" t="s">
        <v>15</v>
      </c>
      <c r="F2688" t="s">
        <v>38</v>
      </c>
      <c r="G2688">
        <v>2</v>
      </c>
      <c r="H2688">
        <v>1</v>
      </c>
      <c r="I2688" s="13">
        <v>45671</v>
      </c>
      <c r="J2688" s="13" t="str">
        <f>TEXT(Table1[[#This Row],[Date]],"[$-en-US]mmm yyyy")</f>
        <v>Jan 2025</v>
      </c>
      <c r="K2688" s="13" t="str">
        <f>TEXT(Table1[[#This Row],[Date]],"[$-en-US]ddd")</f>
        <v>Tue</v>
      </c>
    </row>
    <row r="2689" spans="1:11" x14ac:dyDescent="0.25">
      <c r="A2689">
        <v>16</v>
      </c>
      <c r="B2689" t="s">
        <v>9</v>
      </c>
      <c r="C2689">
        <v>30.86</v>
      </c>
      <c r="D2689" t="s">
        <v>17</v>
      </c>
      <c r="E2689" t="s">
        <v>15</v>
      </c>
      <c r="F2689" t="s">
        <v>38</v>
      </c>
      <c r="G2689">
        <v>2</v>
      </c>
      <c r="H2689">
        <v>1</v>
      </c>
      <c r="I2689" s="13">
        <v>45671</v>
      </c>
      <c r="J2689" s="13" t="str">
        <f>TEXT(Table1[[#This Row],[Date]],"[$-en-US]mmm yyyy")</f>
        <v>Jan 2025</v>
      </c>
      <c r="K2689" s="13" t="str">
        <f>TEXT(Table1[[#This Row],[Date]],"[$-en-US]ddd")</f>
        <v>Tue</v>
      </c>
    </row>
    <row r="2690" spans="1:11" x14ac:dyDescent="0.25">
      <c r="A2690">
        <v>16</v>
      </c>
      <c r="B2690" t="s">
        <v>9</v>
      </c>
      <c r="C2690">
        <v>30.86</v>
      </c>
      <c r="D2690" t="s">
        <v>17</v>
      </c>
      <c r="E2690" t="s">
        <v>15</v>
      </c>
      <c r="F2690" t="s">
        <v>38</v>
      </c>
      <c r="G2690">
        <v>2</v>
      </c>
      <c r="H2690">
        <v>1</v>
      </c>
      <c r="I2690" s="13">
        <v>45671</v>
      </c>
      <c r="J2690" s="13" t="str">
        <f>TEXT(Table1[[#This Row],[Date]],"[$-en-US]mmm yyyy")</f>
        <v>Jan 2025</v>
      </c>
      <c r="K2690" s="13" t="str">
        <f>TEXT(Table1[[#This Row],[Date]],"[$-en-US]ddd")</f>
        <v>Tue</v>
      </c>
    </row>
    <row r="2691" spans="1:11" x14ac:dyDescent="0.25">
      <c r="A2691">
        <v>19</v>
      </c>
      <c r="B2691" t="s">
        <v>9</v>
      </c>
      <c r="C2691">
        <v>35.76</v>
      </c>
      <c r="D2691" t="s">
        <v>27</v>
      </c>
      <c r="E2691" t="s">
        <v>18</v>
      </c>
      <c r="F2691" t="s">
        <v>38</v>
      </c>
      <c r="G2691">
        <v>2</v>
      </c>
      <c r="H2691">
        <v>1</v>
      </c>
      <c r="I2691" s="13">
        <v>45671</v>
      </c>
      <c r="J2691" s="13" t="str">
        <f>TEXT(Table1[[#This Row],[Date]],"[$-en-US]mmm yyyy")</f>
        <v>Jan 2025</v>
      </c>
      <c r="K2691" s="13" t="str">
        <f>TEXT(Table1[[#This Row],[Date]],"[$-en-US]ddd")</f>
        <v>Tue</v>
      </c>
    </row>
    <row r="2692" spans="1:11" x14ac:dyDescent="0.25">
      <c r="A2692">
        <v>21</v>
      </c>
      <c r="B2692" t="s">
        <v>9</v>
      </c>
      <c r="C2692">
        <v>35.76</v>
      </c>
      <c r="D2692" t="s">
        <v>10</v>
      </c>
      <c r="E2692" t="s">
        <v>18</v>
      </c>
      <c r="F2692" t="s">
        <v>38</v>
      </c>
      <c r="G2692">
        <v>2</v>
      </c>
      <c r="H2692">
        <v>1</v>
      </c>
      <c r="I2692" s="13">
        <v>45671</v>
      </c>
      <c r="J2692" s="13" t="str">
        <f>TEXT(Table1[[#This Row],[Date]],"[$-en-US]mmm yyyy")</f>
        <v>Jan 2025</v>
      </c>
      <c r="K2692" s="13" t="str">
        <f>TEXT(Table1[[#This Row],[Date]],"[$-en-US]ddd")</f>
        <v>Tue</v>
      </c>
    </row>
    <row r="2693" spans="1:11" x14ac:dyDescent="0.25">
      <c r="A2693">
        <v>9</v>
      </c>
      <c r="B2693" t="s">
        <v>9</v>
      </c>
      <c r="C2693">
        <v>30.86</v>
      </c>
      <c r="D2693" t="s">
        <v>17</v>
      </c>
      <c r="E2693" t="s">
        <v>11</v>
      </c>
      <c r="F2693" t="s">
        <v>38</v>
      </c>
      <c r="G2693">
        <v>3</v>
      </c>
      <c r="H2693">
        <v>1</v>
      </c>
      <c r="I2693" s="13">
        <v>45672</v>
      </c>
      <c r="J2693" s="13" t="str">
        <f>TEXT(Table1[[#This Row],[Date]],"[$-en-US]mmm yyyy")</f>
        <v>Jan 2025</v>
      </c>
      <c r="K2693" s="13" t="str">
        <f>TEXT(Table1[[#This Row],[Date]],"[$-en-US]ddd")</f>
        <v>Wed</v>
      </c>
    </row>
    <row r="2694" spans="1:11" x14ac:dyDescent="0.25">
      <c r="A2694">
        <v>11</v>
      </c>
      <c r="B2694" t="s">
        <v>9</v>
      </c>
      <c r="C2694">
        <v>25.96</v>
      </c>
      <c r="D2694" t="s">
        <v>16</v>
      </c>
      <c r="E2694" t="s">
        <v>11</v>
      </c>
      <c r="F2694" t="s">
        <v>38</v>
      </c>
      <c r="G2694">
        <v>3</v>
      </c>
      <c r="H2694">
        <v>1</v>
      </c>
      <c r="I2694" s="13">
        <v>45672</v>
      </c>
      <c r="J2694" s="13" t="str">
        <f>TEXT(Table1[[#This Row],[Date]],"[$-en-US]mmm yyyy")</f>
        <v>Jan 2025</v>
      </c>
      <c r="K2694" s="13" t="str">
        <f>TEXT(Table1[[#This Row],[Date]],"[$-en-US]ddd")</f>
        <v>Wed</v>
      </c>
    </row>
    <row r="2695" spans="1:11" x14ac:dyDescent="0.25">
      <c r="A2695">
        <v>13</v>
      </c>
      <c r="B2695" t="s">
        <v>9</v>
      </c>
      <c r="C2695">
        <v>35.76</v>
      </c>
      <c r="D2695" t="s">
        <v>27</v>
      </c>
      <c r="E2695" t="s">
        <v>15</v>
      </c>
      <c r="F2695" t="s">
        <v>38</v>
      </c>
      <c r="G2695">
        <v>3</v>
      </c>
      <c r="H2695">
        <v>1</v>
      </c>
      <c r="I2695" s="13">
        <v>45672</v>
      </c>
      <c r="J2695" s="13" t="str">
        <f>TEXT(Table1[[#This Row],[Date]],"[$-en-US]mmm yyyy")</f>
        <v>Jan 2025</v>
      </c>
      <c r="K2695" s="13" t="str">
        <f>TEXT(Table1[[#This Row],[Date]],"[$-en-US]ddd")</f>
        <v>Wed</v>
      </c>
    </row>
    <row r="2696" spans="1:11" x14ac:dyDescent="0.25">
      <c r="A2696">
        <v>15</v>
      </c>
      <c r="B2696" t="s">
        <v>9</v>
      </c>
      <c r="C2696">
        <v>35.76</v>
      </c>
      <c r="D2696" t="s">
        <v>10</v>
      </c>
      <c r="E2696" t="s">
        <v>15</v>
      </c>
      <c r="F2696" t="s">
        <v>38</v>
      </c>
      <c r="G2696">
        <v>3</v>
      </c>
      <c r="H2696">
        <v>1</v>
      </c>
      <c r="I2696" s="13">
        <v>45672</v>
      </c>
      <c r="J2696" s="13" t="str">
        <f>TEXT(Table1[[#This Row],[Date]],"[$-en-US]mmm yyyy")</f>
        <v>Jan 2025</v>
      </c>
      <c r="K2696" s="13" t="str">
        <f>TEXT(Table1[[#This Row],[Date]],"[$-en-US]ddd")</f>
        <v>Wed</v>
      </c>
    </row>
    <row r="2697" spans="1:11" x14ac:dyDescent="0.25">
      <c r="A2697">
        <v>15</v>
      </c>
      <c r="B2697" t="s">
        <v>9</v>
      </c>
      <c r="C2697">
        <v>35.76</v>
      </c>
      <c r="D2697" t="s">
        <v>27</v>
      </c>
      <c r="E2697" t="s">
        <v>15</v>
      </c>
      <c r="F2697" t="s">
        <v>38</v>
      </c>
      <c r="G2697">
        <v>3</v>
      </c>
      <c r="H2697">
        <v>1</v>
      </c>
      <c r="I2697" s="13">
        <v>45672</v>
      </c>
      <c r="J2697" s="13" t="str">
        <f>TEXT(Table1[[#This Row],[Date]],"[$-en-US]mmm yyyy")</f>
        <v>Jan 2025</v>
      </c>
      <c r="K2697" s="13" t="str">
        <f>TEXT(Table1[[#This Row],[Date]],"[$-en-US]ddd")</f>
        <v>Wed</v>
      </c>
    </row>
    <row r="2698" spans="1:11" x14ac:dyDescent="0.25">
      <c r="A2698">
        <v>15</v>
      </c>
      <c r="B2698" t="s">
        <v>9</v>
      </c>
      <c r="C2698">
        <v>35.76</v>
      </c>
      <c r="D2698" t="s">
        <v>10</v>
      </c>
      <c r="E2698" t="s">
        <v>15</v>
      </c>
      <c r="F2698" t="s">
        <v>38</v>
      </c>
      <c r="G2698">
        <v>3</v>
      </c>
      <c r="H2698">
        <v>1</v>
      </c>
      <c r="I2698" s="13">
        <v>45672</v>
      </c>
      <c r="J2698" s="13" t="str">
        <f>TEXT(Table1[[#This Row],[Date]],"[$-en-US]mmm yyyy")</f>
        <v>Jan 2025</v>
      </c>
      <c r="K2698" s="13" t="str">
        <f>TEXT(Table1[[#This Row],[Date]],"[$-en-US]ddd")</f>
        <v>Wed</v>
      </c>
    </row>
    <row r="2699" spans="1:11" x14ac:dyDescent="0.25">
      <c r="A2699">
        <v>16</v>
      </c>
      <c r="B2699" t="s">
        <v>9</v>
      </c>
      <c r="C2699">
        <v>35.76</v>
      </c>
      <c r="D2699" t="s">
        <v>10</v>
      </c>
      <c r="E2699" t="s">
        <v>15</v>
      </c>
      <c r="F2699" t="s">
        <v>38</v>
      </c>
      <c r="G2699">
        <v>3</v>
      </c>
      <c r="H2699">
        <v>1</v>
      </c>
      <c r="I2699" s="13">
        <v>45672</v>
      </c>
      <c r="J2699" s="13" t="str">
        <f>TEXT(Table1[[#This Row],[Date]],"[$-en-US]mmm yyyy")</f>
        <v>Jan 2025</v>
      </c>
      <c r="K2699" s="13" t="str">
        <f>TEXT(Table1[[#This Row],[Date]],"[$-en-US]ddd")</f>
        <v>Wed</v>
      </c>
    </row>
    <row r="2700" spans="1:11" x14ac:dyDescent="0.25">
      <c r="A2700">
        <v>18</v>
      </c>
      <c r="B2700" t="s">
        <v>9</v>
      </c>
      <c r="C2700">
        <v>35.76</v>
      </c>
      <c r="D2700" t="s">
        <v>10</v>
      </c>
      <c r="E2700" t="s">
        <v>18</v>
      </c>
      <c r="F2700" t="s">
        <v>38</v>
      </c>
      <c r="G2700">
        <v>3</v>
      </c>
      <c r="H2700">
        <v>1</v>
      </c>
      <c r="I2700" s="13">
        <v>45672</v>
      </c>
      <c r="J2700" s="13" t="str">
        <f>TEXT(Table1[[#This Row],[Date]],"[$-en-US]mmm yyyy")</f>
        <v>Jan 2025</v>
      </c>
      <c r="K2700" s="13" t="str">
        <f>TEXT(Table1[[#This Row],[Date]],"[$-en-US]ddd")</f>
        <v>Wed</v>
      </c>
    </row>
    <row r="2701" spans="1:11" x14ac:dyDescent="0.25">
      <c r="A2701">
        <v>19</v>
      </c>
      <c r="B2701" t="s">
        <v>9</v>
      </c>
      <c r="C2701">
        <v>35.76</v>
      </c>
      <c r="D2701" t="s">
        <v>10</v>
      </c>
      <c r="E2701" t="s">
        <v>18</v>
      </c>
      <c r="F2701" t="s">
        <v>38</v>
      </c>
      <c r="G2701">
        <v>3</v>
      </c>
      <c r="H2701">
        <v>1</v>
      </c>
      <c r="I2701" s="13">
        <v>45672</v>
      </c>
      <c r="J2701" s="13" t="str">
        <f>TEXT(Table1[[#This Row],[Date]],"[$-en-US]mmm yyyy")</f>
        <v>Jan 2025</v>
      </c>
      <c r="K2701" s="13" t="str">
        <f>TEXT(Table1[[#This Row],[Date]],"[$-en-US]ddd")</f>
        <v>Wed</v>
      </c>
    </row>
    <row r="2702" spans="1:11" x14ac:dyDescent="0.25">
      <c r="A2702">
        <v>21</v>
      </c>
      <c r="B2702" t="s">
        <v>9</v>
      </c>
      <c r="C2702">
        <v>35.76</v>
      </c>
      <c r="D2702" t="s">
        <v>27</v>
      </c>
      <c r="E2702" t="s">
        <v>18</v>
      </c>
      <c r="F2702" t="s">
        <v>38</v>
      </c>
      <c r="G2702">
        <v>3</v>
      </c>
      <c r="H2702">
        <v>1</v>
      </c>
      <c r="I2702" s="13">
        <v>45672</v>
      </c>
      <c r="J2702" s="13" t="str">
        <f>TEXT(Table1[[#This Row],[Date]],"[$-en-US]mmm yyyy")</f>
        <v>Jan 2025</v>
      </c>
      <c r="K2702" s="13" t="str">
        <f>TEXT(Table1[[#This Row],[Date]],"[$-en-US]ddd")</f>
        <v>Wed</v>
      </c>
    </row>
    <row r="2703" spans="1:11" x14ac:dyDescent="0.25">
      <c r="A2703">
        <v>9</v>
      </c>
      <c r="B2703" t="s">
        <v>9</v>
      </c>
      <c r="C2703">
        <v>35.76</v>
      </c>
      <c r="D2703" t="s">
        <v>10</v>
      </c>
      <c r="E2703" t="s">
        <v>11</v>
      </c>
      <c r="F2703" t="s">
        <v>38</v>
      </c>
      <c r="G2703">
        <v>4</v>
      </c>
      <c r="H2703">
        <v>1</v>
      </c>
      <c r="I2703" s="13">
        <v>45673</v>
      </c>
      <c r="J2703" s="13" t="str">
        <f>TEXT(Table1[[#This Row],[Date]],"[$-en-US]mmm yyyy")</f>
        <v>Jan 2025</v>
      </c>
      <c r="K2703" s="13" t="str">
        <f>TEXT(Table1[[#This Row],[Date]],"[$-en-US]ddd")</f>
        <v>Thu</v>
      </c>
    </row>
    <row r="2704" spans="1:11" x14ac:dyDescent="0.25">
      <c r="A2704">
        <v>9</v>
      </c>
      <c r="B2704" t="s">
        <v>9</v>
      </c>
      <c r="C2704">
        <v>30.86</v>
      </c>
      <c r="D2704" t="s">
        <v>17</v>
      </c>
      <c r="E2704" t="s">
        <v>11</v>
      </c>
      <c r="F2704" t="s">
        <v>38</v>
      </c>
      <c r="G2704">
        <v>4</v>
      </c>
      <c r="H2704">
        <v>1</v>
      </c>
      <c r="I2704" s="13">
        <v>45673</v>
      </c>
      <c r="J2704" s="13" t="str">
        <f>TEXT(Table1[[#This Row],[Date]],"[$-en-US]mmm yyyy")</f>
        <v>Jan 2025</v>
      </c>
      <c r="K2704" s="13" t="str">
        <f>TEXT(Table1[[#This Row],[Date]],"[$-en-US]ddd")</f>
        <v>Thu</v>
      </c>
    </row>
    <row r="2705" spans="1:11" x14ac:dyDescent="0.25">
      <c r="A2705">
        <v>10</v>
      </c>
      <c r="B2705" t="s">
        <v>9</v>
      </c>
      <c r="C2705">
        <v>30.86</v>
      </c>
      <c r="D2705" t="s">
        <v>17</v>
      </c>
      <c r="E2705" t="s">
        <v>11</v>
      </c>
      <c r="F2705" t="s">
        <v>38</v>
      </c>
      <c r="G2705">
        <v>4</v>
      </c>
      <c r="H2705">
        <v>1</v>
      </c>
      <c r="I2705" s="13">
        <v>45673</v>
      </c>
      <c r="J2705" s="13" t="str">
        <f>TEXT(Table1[[#This Row],[Date]],"[$-en-US]mmm yyyy")</f>
        <v>Jan 2025</v>
      </c>
      <c r="K2705" s="13" t="str">
        <f>TEXT(Table1[[#This Row],[Date]],"[$-en-US]ddd")</f>
        <v>Thu</v>
      </c>
    </row>
    <row r="2706" spans="1:11" x14ac:dyDescent="0.25">
      <c r="A2706">
        <v>12</v>
      </c>
      <c r="B2706" t="s">
        <v>9</v>
      </c>
      <c r="C2706">
        <v>25.96</v>
      </c>
      <c r="D2706" t="s">
        <v>22</v>
      </c>
      <c r="E2706" t="s">
        <v>15</v>
      </c>
      <c r="F2706" t="s">
        <v>38</v>
      </c>
      <c r="G2706">
        <v>4</v>
      </c>
      <c r="H2706">
        <v>1</v>
      </c>
      <c r="I2706" s="13">
        <v>45673</v>
      </c>
      <c r="J2706" s="13" t="str">
        <f>TEXT(Table1[[#This Row],[Date]],"[$-en-US]mmm yyyy")</f>
        <v>Jan 2025</v>
      </c>
      <c r="K2706" s="13" t="str">
        <f>TEXT(Table1[[#This Row],[Date]],"[$-en-US]ddd")</f>
        <v>Thu</v>
      </c>
    </row>
    <row r="2707" spans="1:11" x14ac:dyDescent="0.25">
      <c r="A2707">
        <v>15</v>
      </c>
      <c r="B2707" t="s">
        <v>9</v>
      </c>
      <c r="C2707">
        <v>35.76</v>
      </c>
      <c r="D2707" t="s">
        <v>10</v>
      </c>
      <c r="E2707" t="s">
        <v>15</v>
      </c>
      <c r="F2707" t="s">
        <v>38</v>
      </c>
      <c r="G2707">
        <v>4</v>
      </c>
      <c r="H2707">
        <v>1</v>
      </c>
      <c r="I2707" s="13">
        <v>45673</v>
      </c>
      <c r="J2707" s="13" t="str">
        <f>TEXT(Table1[[#This Row],[Date]],"[$-en-US]mmm yyyy")</f>
        <v>Jan 2025</v>
      </c>
      <c r="K2707" s="13" t="str">
        <f>TEXT(Table1[[#This Row],[Date]],"[$-en-US]ddd")</f>
        <v>Thu</v>
      </c>
    </row>
    <row r="2708" spans="1:11" x14ac:dyDescent="0.25">
      <c r="A2708">
        <v>16</v>
      </c>
      <c r="B2708" t="s">
        <v>9</v>
      </c>
      <c r="C2708">
        <v>35.76</v>
      </c>
      <c r="D2708" t="s">
        <v>10</v>
      </c>
      <c r="E2708" t="s">
        <v>15</v>
      </c>
      <c r="F2708" t="s">
        <v>38</v>
      </c>
      <c r="G2708">
        <v>4</v>
      </c>
      <c r="H2708">
        <v>1</v>
      </c>
      <c r="I2708" s="13">
        <v>45673</v>
      </c>
      <c r="J2708" s="13" t="str">
        <f>TEXT(Table1[[#This Row],[Date]],"[$-en-US]mmm yyyy")</f>
        <v>Jan 2025</v>
      </c>
      <c r="K2708" s="13" t="str">
        <f>TEXT(Table1[[#This Row],[Date]],"[$-en-US]ddd")</f>
        <v>Thu</v>
      </c>
    </row>
    <row r="2709" spans="1:11" x14ac:dyDescent="0.25">
      <c r="A2709">
        <v>18</v>
      </c>
      <c r="B2709" t="s">
        <v>9</v>
      </c>
      <c r="C2709">
        <v>35.76</v>
      </c>
      <c r="D2709" t="s">
        <v>27</v>
      </c>
      <c r="E2709" t="s">
        <v>18</v>
      </c>
      <c r="F2709" t="s">
        <v>38</v>
      </c>
      <c r="G2709">
        <v>4</v>
      </c>
      <c r="H2709">
        <v>1</v>
      </c>
      <c r="I2709" s="13">
        <v>45673</v>
      </c>
      <c r="J2709" s="13" t="str">
        <f>TEXT(Table1[[#This Row],[Date]],"[$-en-US]mmm yyyy")</f>
        <v>Jan 2025</v>
      </c>
      <c r="K2709" s="13" t="str">
        <f>TEXT(Table1[[#This Row],[Date]],"[$-en-US]ddd")</f>
        <v>Thu</v>
      </c>
    </row>
    <row r="2710" spans="1:11" x14ac:dyDescent="0.25">
      <c r="A2710">
        <v>21</v>
      </c>
      <c r="B2710" t="s">
        <v>9</v>
      </c>
      <c r="C2710">
        <v>35.76</v>
      </c>
      <c r="D2710" t="s">
        <v>14</v>
      </c>
      <c r="E2710" t="s">
        <v>18</v>
      </c>
      <c r="F2710" t="s">
        <v>38</v>
      </c>
      <c r="G2710">
        <v>4</v>
      </c>
      <c r="H2710">
        <v>1</v>
      </c>
      <c r="I2710" s="13">
        <v>45673</v>
      </c>
      <c r="J2710" s="13" t="str">
        <f>TEXT(Table1[[#This Row],[Date]],"[$-en-US]mmm yyyy")</f>
        <v>Jan 2025</v>
      </c>
      <c r="K2710" s="13" t="str">
        <f>TEXT(Table1[[#This Row],[Date]],"[$-en-US]ddd")</f>
        <v>Thu</v>
      </c>
    </row>
    <row r="2711" spans="1:11" x14ac:dyDescent="0.25">
      <c r="A2711">
        <v>21</v>
      </c>
      <c r="B2711" t="s">
        <v>9</v>
      </c>
      <c r="C2711">
        <v>35.76</v>
      </c>
      <c r="D2711" t="s">
        <v>14</v>
      </c>
      <c r="E2711" t="s">
        <v>18</v>
      </c>
      <c r="F2711" t="s">
        <v>38</v>
      </c>
      <c r="G2711">
        <v>4</v>
      </c>
      <c r="H2711">
        <v>1</v>
      </c>
      <c r="I2711" s="13">
        <v>45673</v>
      </c>
      <c r="J2711" s="13" t="str">
        <f>TEXT(Table1[[#This Row],[Date]],"[$-en-US]mmm yyyy")</f>
        <v>Jan 2025</v>
      </c>
      <c r="K2711" s="13" t="str">
        <f>TEXT(Table1[[#This Row],[Date]],"[$-en-US]ddd")</f>
        <v>Thu</v>
      </c>
    </row>
    <row r="2712" spans="1:11" x14ac:dyDescent="0.25">
      <c r="A2712">
        <v>21</v>
      </c>
      <c r="B2712" t="s">
        <v>9</v>
      </c>
      <c r="C2712">
        <v>25.96</v>
      </c>
      <c r="D2712" t="s">
        <v>22</v>
      </c>
      <c r="E2712" t="s">
        <v>18</v>
      </c>
      <c r="F2712" t="s">
        <v>38</v>
      </c>
      <c r="G2712">
        <v>4</v>
      </c>
      <c r="H2712">
        <v>1</v>
      </c>
      <c r="I2712" s="13">
        <v>45673</v>
      </c>
      <c r="J2712" s="13" t="str">
        <f>TEXT(Table1[[#This Row],[Date]],"[$-en-US]mmm yyyy")</f>
        <v>Jan 2025</v>
      </c>
      <c r="K2712" s="13" t="str">
        <f>TEXT(Table1[[#This Row],[Date]],"[$-en-US]ddd")</f>
        <v>Thu</v>
      </c>
    </row>
    <row r="2713" spans="1:11" x14ac:dyDescent="0.25">
      <c r="A2713">
        <v>7</v>
      </c>
      <c r="B2713" t="s">
        <v>9</v>
      </c>
      <c r="C2713">
        <v>35.76</v>
      </c>
      <c r="D2713" t="s">
        <v>19</v>
      </c>
      <c r="E2713" t="s">
        <v>11</v>
      </c>
      <c r="F2713" t="s">
        <v>38</v>
      </c>
      <c r="G2713">
        <v>5</v>
      </c>
      <c r="H2713">
        <v>1</v>
      </c>
      <c r="I2713" s="13">
        <v>45674</v>
      </c>
      <c r="J2713" s="13" t="str">
        <f>TEXT(Table1[[#This Row],[Date]],"[$-en-US]mmm yyyy")</f>
        <v>Jan 2025</v>
      </c>
      <c r="K2713" s="13" t="str">
        <f>TEXT(Table1[[#This Row],[Date]],"[$-en-US]ddd")</f>
        <v>Fri</v>
      </c>
    </row>
    <row r="2714" spans="1:11" x14ac:dyDescent="0.25">
      <c r="A2714">
        <v>8</v>
      </c>
      <c r="B2714" t="s">
        <v>9</v>
      </c>
      <c r="C2714">
        <v>35.76</v>
      </c>
      <c r="D2714" t="s">
        <v>10</v>
      </c>
      <c r="E2714" t="s">
        <v>11</v>
      </c>
      <c r="F2714" t="s">
        <v>38</v>
      </c>
      <c r="G2714">
        <v>5</v>
      </c>
      <c r="H2714">
        <v>1</v>
      </c>
      <c r="I2714" s="13">
        <v>45674</v>
      </c>
      <c r="J2714" s="13" t="str">
        <f>TEXT(Table1[[#This Row],[Date]],"[$-en-US]mmm yyyy")</f>
        <v>Jan 2025</v>
      </c>
      <c r="K2714" s="13" t="str">
        <f>TEXT(Table1[[#This Row],[Date]],"[$-en-US]ddd")</f>
        <v>Fri</v>
      </c>
    </row>
    <row r="2715" spans="1:11" x14ac:dyDescent="0.25">
      <c r="A2715">
        <v>8</v>
      </c>
      <c r="B2715" t="s">
        <v>9</v>
      </c>
      <c r="C2715">
        <v>35.76</v>
      </c>
      <c r="D2715" t="s">
        <v>27</v>
      </c>
      <c r="E2715" t="s">
        <v>11</v>
      </c>
      <c r="F2715" t="s">
        <v>38</v>
      </c>
      <c r="G2715">
        <v>5</v>
      </c>
      <c r="H2715">
        <v>1</v>
      </c>
      <c r="I2715" s="13">
        <v>45674</v>
      </c>
      <c r="J2715" s="13" t="str">
        <f>TEXT(Table1[[#This Row],[Date]],"[$-en-US]mmm yyyy")</f>
        <v>Jan 2025</v>
      </c>
      <c r="K2715" s="13" t="str">
        <f>TEXT(Table1[[#This Row],[Date]],"[$-en-US]ddd")</f>
        <v>Fri</v>
      </c>
    </row>
    <row r="2716" spans="1:11" x14ac:dyDescent="0.25">
      <c r="A2716">
        <v>8</v>
      </c>
      <c r="B2716" t="s">
        <v>9</v>
      </c>
      <c r="C2716">
        <v>30.86</v>
      </c>
      <c r="D2716" t="s">
        <v>17</v>
      </c>
      <c r="E2716" t="s">
        <v>11</v>
      </c>
      <c r="F2716" t="s">
        <v>38</v>
      </c>
      <c r="G2716">
        <v>5</v>
      </c>
      <c r="H2716">
        <v>1</v>
      </c>
      <c r="I2716" s="13">
        <v>45674</v>
      </c>
      <c r="J2716" s="13" t="str">
        <f>TEXT(Table1[[#This Row],[Date]],"[$-en-US]mmm yyyy")</f>
        <v>Jan 2025</v>
      </c>
      <c r="K2716" s="13" t="str">
        <f>TEXT(Table1[[#This Row],[Date]],"[$-en-US]ddd")</f>
        <v>Fri</v>
      </c>
    </row>
    <row r="2717" spans="1:11" x14ac:dyDescent="0.25">
      <c r="A2717">
        <v>9</v>
      </c>
      <c r="B2717" t="s">
        <v>9</v>
      </c>
      <c r="C2717">
        <v>30.86</v>
      </c>
      <c r="D2717" t="s">
        <v>17</v>
      </c>
      <c r="E2717" t="s">
        <v>11</v>
      </c>
      <c r="F2717" t="s">
        <v>38</v>
      </c>
      <c r="G2717">
        <v>5</v>
      </c>
      <c r="H2717">
        <v>1</v>
      </c>
      <c r="I2717" s="13">
        <v>45674</v>
      </c>
      <c r="J2717" s="13" t="str">
        <f>TEXT(Table1[[#This Row],[Date]],"[$-en-US]mmm yyyy")</f>
        <v>Jan 2025</v>
      </c>
      <c r="K2717" s="13" t="str">
        <f>TEXT(Table1[[#This Row],[Date]],"[$-en-US]ddd")</f>
        <v>Fri</v>
      </c>
    </row>
    <row r="2718" spans="1:11" x14ac:dyDescent="0.25">
      <c r="A2718">
        <v>14</v>
      </c>
      <c r="B2718" t="s">
        <v>9</v>
      </c>
      <c r="C2718">
        <v>35.76</v>
      </c>
      <c r="D2718" t="s">
        <v>19</v>
      </c>
      <c r="E2718" t="s">
        <v>15</v>
      </c>
      <c r="F2718" t="s">
        <v>38</v>
      </c>
      <c r="G2718">
        <v>5</v>
      </c>
      <c r="H2718">
        <v>1</v>
      </c>
      <c r="I2718" s="13">
        <v>45674</v>
      </c>
      <c r="J2718" s="13" t="str">
        <f>TEXT(Table1[[#This Row],[Date]],"[$-en-US]mmm yyyy")</f>
        <v>Jan 2025</v>
      </c>
      <c r="K2718" s="13" t="str">
        <f>TEXT(Table1[[#This Row],[Date]],"[$-en-US]ddd")</f>
        <v>Fri</v>
      </c>
    </row>
    <row r="2719" spans="1:11" x14ac:dyDescent="0.25">
      <c r="A2719">
        <v>14</v>
      </c>
      <c r="B2719" t="s">
        <v>9</v>
      </c>
      <c r="C2719">
        <v>35.76</v>
      </c>
      <c r="D2719" t="s">
        <v>19</v>
      </c>
      <c r="E2719" t="s">
        <v>15</v>
      </c>
      <c r="F2719" t="s">
        <v>38</v>
      </c>
      <c r="G2719">
        <v>5</v>
      </c>
      <c r="H2719">
        <v>1</v>
      </c>
      <c r="I2719" s="13">
        <v>45674</v>
      </c>
      <c r="J2719" s="13" t="str">
        <f>TEXT(Table1[[#This Row],[Date]],"[$-en-US]mmm yyyy")</f>
        <v>Jan 2025</v>
      </c>
      <c r="K2719" s="13" t="str">
        <f>TEXT(Table1[[#This Row],[Date]],"[$-en-US]ddd")</f>
        <v>Fri</v>
      </c>
    </row>
    <row r="2720" spans="1:11" x14ac:dyDescent="0.25">
      <c r="A2720">
        <v>17</v>
      </c>
      <c r="B2720" t="s">
        <v>9</v>
      </c>
      <c r="C2720">
        <v>35.76</v>
      </c>
      <c r="D2720" t="s">
        <v>14</v>
      </c>
      <c r="E2720" t="s">
        <v>18</v>
      </c>
      <c r="F2720" t="s">
        <v>38</v>
      </c>
      <c r="G2720">
        <v>5</v>
      </c>
      <c r="H2720">
        <v>1</v>
      </c>
      <c r="I2720" s="13">
        <v>45674</v>
      </c>
      <c r="J2720" s="13" t="str">
        <f>TEXT(Table1[[#This Row],[Date]],"[$-en-US]mmm yyyy")</f>
        <v>Jan 2025</v>
      </c>
      <c r="K2720" s="13" t="str">
        <f>TEXT(Table1[[#This Row],[Date]],"[$-en-US]ddd")</f>
        <v>Fri</v>
      </c>
    </row>
    <row r="2721" spans="1:11" x14ac:dyDescent="0.25">
      <c r="A2721">
        <v>21</v>
      </c>
      <c r="B2721" t="s">
        <v>9</v>
      </c>
      <c r="C2721">
        <v>35.76</v>
      </c>
      <c r="D2721" t="s">
        <v>14</v>
      </c>
      <c r="E2721" t="s">
        <v>18</v>
      </c>
      <c r="F2721" t="s">
        <v>38</v>
      </c>
      <c r="G2721">
        <v>5</v>
      </c>
      <c r="H2721">
        <v>1</v>
      </c>
      <c r="I2721" s="13">
        <v>45674</v>
      </c>
      <c r="J2721" s="13" t="str">
        <f>TEXT(Table1[[#This Row],[Date]],"[$-en-US]mmm yyyy")</f>
        <v>Jan 2025</v>
      </c>
      <c r="K2721" s="13" t="str">
        <f>TEXT(Table1[[#This Row],[Date]],"[$-en-US]ddd")</f>
        <v>Fri</v>
      </c>
    </row>
    <row r="2722" spans="1:11" x14ac:dyDescent="0.25">
      <c r="A2722">
        <v>10</v>
      </c>
      <c r="B2722" t="s">
        <v>9</v>
      </c>
      <c r="C2722">
        <v>30.86</v>
      </c>
      <c r="D2722" t="s">
        <v>17</v>
      </c>
      <c r="E2722" t="s">
        <v>11</v>
      </c>
      <c r="F2722" t="s">
        <v>38</v>
      </c>
      <c r="G2722">
        <v>6</v>
      </c>
      <c r="H2722">
        <v>1</v>
      </c>
      <c r="I2722" s="13">
        <v>45675</v>
      </c>
      <c r="J2722" s="13" t="str">
        <f>TEXT(Table1[[#This Row],[Date]],"[$-en-US]mmm yyyy")</f>
        <v>Jan 2025</v>
      </c>
      <c r="K2722" s="13" t="str">
        <f>TEXT(Table1[[#This Row],[Date]],"[$-en-US]ddd")</f>
        <v>Sat</v>
      </c>
    </row>
    <row r="2723" spans="1:11" x14ac:dyDescent="0.25">
      <c r="A2723">
        <v>16</v>
      </c>
      <c r="B2723" t="s">
        <v>9</v>
      </c>
      <c r="C2723">
        <v>35.76</v>
      </c>
      <c r="D2723" t="s">
        <v>14</v>
      </c>
      <c r="E2723" t="s">
        <v>15</v>
      </c>
      <c r="F2723" t="s">
        <v>38</v>
      </c>
      <c r="G2723">
        <v>6</v>
      </c>
      <c r="H2723">
        <v>1</v>
      </c>
      <c r="I2723" s="13">
        <v>45675</v>
      </c>
      <c r="J2723" s="13" t="str">
        <f>TEXT(Table1[[#This Row],[Date]],"[$-en-US]mmm yyyy")</f>
        <v>Jan 2025</v>
      </c>
      <c r="K2723" s="13" t="str">
        <f>TEXT(Table1[[#This Row],[Date]],"[$-en-US]ddd")</f>
        <v>Sat</v>
      </c>
    </row>
    <row r="2724" spans="1:11" x14ac:dyDescent="0.25">
      <c r="A2724">
        <v>16</v>
      </c>
      <c r="B2724" t="s">
        <v>9</v>
      </c>
      <c r="C2724">
        <v>35.76</v>
      </c>
      <c r="D2724" t="s">
        <v>10</v>
      </c>
      <c r="E2724" t="s">
        <v>15</v>
      </c>
      <c r="F2724" t="s">
        <v>38</v>
      </c>
      <c r="G2724">
        <v>6</v>
      </c>
      <c r="H2724">
        <v>1</v>
      </c>
      <c r="I2724" s="13">
        <v>45675</v>
      </c>
      <c r="J2724" s="13" t="str">
        <f>TEXT(Table1[[#This Row],[Date]],"[$-en-US]mmm yyyy")</f>
        <v>Jan 2025</v>
      </c>
      <c r="K2724" s="13" t="str">
        <f>TEXT(Table1[[#This Row],[Date]],"[$-en-US]ddd")</f>
        <v>Sat</v>
      </c>
    </row>
    <row r="2725" spans="1:11" x14ac:dyDescent="0.25">
      <c r="A2725">
        <v>16</v>
      </c>
      <c r="B2725" t="s">
        <v>9</v>
      </c>
      <c r="C2725">
        <v>35.76</v>
      </c>
      <c r="D2725" t="s">
        <v>14</v>
      </c>
      <c r="E2725" t="s">
        <v>15</v>
      </c>
      <c r="F2725" t="s">
        <v>38</v>
      </c>
      <c r="G2725">
        <v>6</v>
      </c>
      <c r="H2725">
        <v>1</v>
      </c>
      <c r="I2725" s="13">
        <v>45675</v>
      </c>
      <c r="J2725" s="13" t="str">
        <f>TEXT(Table1[[#This Row],[Date]],"[$-en-US]mmm yyyy")</f>
        <v>Jan 2025</v>
      </c>
      <c r="K2725" s="13" t="str">
        <f>TEXT(Table1[[#This Row],[Date]],"[$-en-US]ddd")</f>
        <v>Sat</v>
      </c>
    </row>
    <row r="2726" spans="1:11" x14ac:dyDescent="0.25">
      <c r="A2726">
        <v>8</v>
      </c>
      <c r="B2726" t="s">
        <v>9</v>
      </c>
      <c r="C2726">
        <v>30.86</v>
      </c>
      <c r="D2726" t="s">
        <v>17</v>
      </c>
      <c r="E2726" t="s">
        <v>11</v>
      </c>
      <c r="F2726" t="s">
        <v>38</v>
      </c>
      <c r="G2726">
        <v>1</v>
      </c>
      <c r="H2726">
        <v>1</v>
      </c>
      <c r="I2726" s="13">
        <v>45677</v>
      </c>
      <c r="J2726" s="13" t="str">
        <f>TEXT(Table1[[#This Row],[Date]],"[$-en-US]mmm yyyy")</f>
        <v>Jan 2025</v>
      </c>
      <c r="K2726" s="13" t="str">
        <f>TEXT(Table1[[#This Row],[Date]],"[$-en-US]ddd")</f>
        <v>Mon</v>
      </c>
    </row>
    <row r="2727" spans="1:11" x14ac:dyDescent="0.25">
      <c r="A2727">
        <v>10</v>
      </c>
      <c r="B2727" t="s">
        <v>9</v>
      </c>
      <c r="C2727">
        <v>30.86</v>
      </c>
      <c r="D2727" t="s">
        <v>17</v>
      </c>
      <c r="E2727" t="s">
        <v>11</v>
      </c>
      <c r="F2727" t="s">
        <v>38</v>
      </c>
      <c r="G2727">
        <v>1</v>
      </c>
      <c r="H2727">
        <v>1</v>
      </c>
      <c r="I2727" s="13">
        <v>45677</v>
      </c>
      <c r="J2727" s="13" t="str">
        <f>TEXT(Table1[[#This Row],[Date]],"[$-en-US]mmm yyyy")</f>
        <v>Jan 2025</v>
      </c>
      <c r="K2727" s="13" t="str">
        <f>TEXT(Table1[[#This Row],[Date]],"[$-en-US]ddd")</f>
        <v>Mon</v>
      </c>
    </row>
    <row r="2728" spans="1:11" x14ac:dyDescent="0.25">
      <c r="A2728">
        <v>11</v>
      </c>
      <c r="B2728" t="s">
        <v>9</v>
      </c>
      <c r="C2728">
        <v>25.96</v>
      </c>
      <c r="D2728" t="s">
        <v>22</v>
      </c>
      <c r="E2728" t="s">
        <v>11</v>
      </c>
      <c r="F2728" t="s">
        <v>38</v>
      </c>
      <c r="G2728">
        <v>1</v>
      </c>
      <c r="H2728">
        <v>1</v>
      </c>
      <c r="I2728" s="13">
        <v>45677</v>
      </c>
      <c r="J2728" s="13" t="str">
        <f>TEXT(Table1[[#This Row],[Date]],"[$-en-US]mmm yyyy")</f>
        <v>Jan 2025</v>
      </c>
      <c r="K2728" s="13" t="str">
        <f>TEXT(Table1[[#This Row],[Date]],"[$-en-US]ddd")</f>
        <v>Mon</v>
      </c>
    </row>
    <row r="2729" spans="1:11" x14ac:dyDescent="0.25">
      <c r="A2729">
        <v>12</v>
      </c>
      <c r="B2729" t="s">
        <v>9</v>
      </c>
      <c r="C2729">
        <v>25.96</v>
      </c>
      <c r="D2729" t="s">
        <v>16</v>
      </c>
      <c r="E2729" t="s">
        <v>15</v>
      </c>
      <c r="F2729" t="s">
        <v>38</v>
      </c>
      <c r="G2729">
        <v>1</v>
      </c>
      <c r="H2729">
        <v>1</v>
      </c>
      <c r="I2729" s="13">
        <v>45677</v>
      </c>
      <c r="J2729" s="13" t="str">
        <f>TEXT(Table1[[#This Row],[Date]],"[$-en-US]mmm yyyy")</f>
        <v>Jan 2025</v>
      </c>
      <c r="K2729" s="13" t="str">
        <f>TEXT(Table1[[#This Row],[Date]],"[$-en-US]ddd")</f>
        <v>Mon</v>
      </c>
    </row>
    <row r="2730" spans="1:11" x14ac:dyDescent="0.25">
      <c r="A2730">
        <v>12</v>
      </c>
      <c r="B2730" t="s">
        <v>9</v>
      </c>
      <c r="C2730">
        <v>25.96</v>
      </c>
      <c r="D2730" t="s">
        <v>22</v>
      </c>
      <c r="E2730" t="s">
        <v>15</v>
      </c>
      <c r="F2730" t="s">
        <v>38</v>
      </c>
      <c r="G2730">
        <v>1</v>
      </c>
      <c r="H2730">
        <v>1</v>
      </c>
      <c r="I2730" s="13">
        <v>45677</v>
      </c>
      <c r="J2730" s="13" t="str">
        <f>TEXT(Table1[[#This Row],[Date]],"[$-en-US]mmm yyyy")</f>
        <v>Jan 2025</v>
      </c>
      <c r="K2730" s="13" t="str">
        <f>TEXT(Table1[[#This Row],[Date]],"[$-en-US]ddd")</f>
        <v>Mon</v>
      </c>
    </row>
    <row r="2731" spans="1:11" x14ac:dyDescent="0.25">
      <c r="A2731">
        <v>13</v>
      </c>
      <c r="B2731" t="s">
        <v>9</v>
      </c>
      <c r="C2731">
        <v>30.86</v>
      </c>
      <c r="D2731" t="s">
        <v>17</v>
      </c>
      <c r="E2731" t="s">
        <v>15</v>
      </c>
      <c r="F2731" t="s">
        <v>38</v>
      </c>
      <c r="G2731">
        <v>1</v>
      </c>
      <c r="H2731">
        <v>1</v>
      </c>
      <c r="I2731" s="13">
        <v>45677</v>
      </c>
      <c r="J2731" s="13" t="str">
        <f>TEXT(Table1[[#This Row],[Date]],"[$-en-US]mmm yyyy")</f>
        <v>Jan 2025</v>
      </c>
      <c r="K2731" s="13" t="str">
        <f>TEXT(Table1[[#This Row],[Date]],"[$-en-US]ddd")</f>
        <v>Mon</v>
      </c>
    </row>
    <row r="2732" spans="1:11" x14ac:dyDescent="0.25">
      <c r="A2732">
        <v>20</v>
      </c>
      <c r="B2732" t="s">
        <v>9</v>
      </c>
      <c r="C2732">
        <v>35.76</v>
      </c>
      <c r="D2732" t="s">
        <v>14</v>
      </c>
      <c r="E2732" t="s">
        <v>18</v>
      </c>
      <c r="F2732" t="s">
        <v>38</v>
      </c>
      <c r="G2732">
        <v>1</v>
      </c>
      <c r="H2732">
        <v>1</v>
      </c>
      <c r="I2732" s="13">
        <v>45677</v>
      </c>
      <c r="J2732" s="13" t="str">
        <f>TEXT(Table1[[#This Row],[Date]],"[$-en-US]mmm yyyy")</f>
        <v>Jan 2025</v>
      </c>
      <c r="K2732" s="13" t="str">
        <f>TEXT(Table1[[#This Row],[Date]],"[$-en-US]ddd")</f>
        <v>Mon</v>
      </c>
    </row>
    <row r="2733" spans="1:11" x14ac:dyDescent="0.25">
      <c r="A2733">
        <v>20</v>
      </c>
      <c r="B2733" t="s">
        <v>9</v>
      </c>
      <c r="C2733">
        <v>35.76</v>
      </c>
      <c r="D2733" t="s">
        <v>27</v>
      </c>
      <c r="E2733" t="s">
        <v>18</v>
      </c>
      <c r="F2733" t="s">
        <v>38</v>
      </c>
      <c r="G2733">
        <v>1</v>
      </c>
      <c r="H2733">
        <v>1</v>
      </c>
      <c r="I2733" s="13">
        <v>45677</v>
      </c>
      <c r="J2733" s="13" t="str">
        <f>TEXT(Table1[[#This Row],[Date]],"[$-en-US]mmm yyyy")</f>
        <v>Jan 2025</v>
      </c>
      <c r="K2733" s="13" t="str">
        <f>TEXT(Table1[[#This Row],[Date]],"[$-en-US]ddd")</f>
        <v>Mon</v>
      </c>
    </row>
    <row r="2734" spans="1:11" x14ac:dyDescent="0.25">
      <c r="A2734">
        <v>20</v>
      </c>
      <c r="B2734" t="s">
        <v>9</v>
      </c>
      <c r="C2734">
        <v>35.76</v>
      </c>
      <c r="D2734" t="s">
        <v>27</v>
      </c>
      <c r="E2734" t="s">
        <v>18</v>
      </c>
      <c r="F2734" t="s">
        <v>38</v>
      </c>
      <c r="G2734">
        <v>1</v>
      </c>
      <c r="H2734">
        <v>1</v>
      </c>
      <c r="I2734" s="13">
        <v>45677</v>
      </c>
      <c r="J2734" s="13" t="str">
        <f>TEXT(Table1[[#This Row],[Date]],"[$-en-US]mmm yyyy")</f>
        <v>Jan 2025</v>
      </c>
      <c r="K2734" s="13" t="str">
        <f>TEXT(Table1[[#This Row],[Date]],"[$-en-US]ddd")</f>
        <v>Mon</v>
      </c>
    </row>
    <row r="2735" spans="1:11" x14ac:dyDescent="0.25">
      <c r="A2735">
        <v>21</v>
      </c>
      <c r="B2735" t="s">
        <v>9</v>
      </c>
      <c r="C2735">
        <v>35.76</v>
      </c>
      <c r="D2735" t="s">
        <v>10</v>
      </c>
      <c r="E2735" t="s">
        <v>18</v>
      </c>
      <c r="F2735" t="s">
        <v>38</v>
      </c>
      <c r="G2735">
        <v>1</v>
      </c>
      <c r="H2735">
        <v>1</v>
      </c>
      <c r="I2735" s="13">
        <v>45677</v>
      </c>
      <c r="J2735" s="13" t="str">
        <f>TEXT(Table1[[#This Row],[Date]],"[$-en-US]mmm yyyy")</f>
        <v>Jan 2025</v>
      </c>
      <c r="K2735" s="13" t="str">
        <f>TEXT(Table1[[#This Row],[Date]],"[$-en-US]ddd")</f>
        <v>Mon</v>
      </c>
    </row>
    <row r="2736" spans="1:11" x14ac:dyDescent="0.25">
      <c r="A2736">
        <v>8</v>
      </c>
      <c r="B2736" t="s">
        <v>9</v>
      </c>
      <c r="C2736">
        <v>35.76</v>
      </c>
      <c r="D2736" t="s">
        <v>19</v>
      </c>
      <c r="E2736" t="s">
        <v>11</v>
      </c>
      <c r="F2736" t="s">
        <v>38</v>
      </c>
      <c r="G2736">
        <v>2</v>
      </c>
      <c r="H2736">
        <v>1</v>
      </c>
      <c r="I2736" s="13">
        <v>45678</v>
      </c>
      <c r="J2736" s="13" t="str">
        <f>TEXT(Table1[[#This Row],[Date]],"[$-en-US]mmm yyyy")</f>
        <v>Jan 2025</v>
      </c>
      <c r="K2736" s="13" t="str">
        <f>TEXT(Table1[[#This Row],[Date]],"[$-en-US]ddd")</f>
        <v>Tue</v>
      </c>
    </row>
    <row r="2737" spans="1:11" x14ac:dyDescent="0.25">
      <c r="A2737">
        <v>8</v>
      </c>
      <c r="B2737" t="s">
        <v>9</v>
      </c>
      <c r="C2737">
        <v>25.96</v>
      </c>
      <c r="D2737" t="s">
        <v>22</v>
      </c>
      <c r="E2737" t="s">
        <v>11</v>
      </c>
      <c r="F2737" t="s">
        <v>38</v>
      </c>
      <c r="G2737">
        <v>2</v>
      </c>
      <c r="H2737">
        <v>1</v>
      </c>
      <c r="I2737" s="13">
        <v>45678</v>
      </c>
      <c r="J2737" s="13" t="str">
        <f>TEXT(Table1[[#This Row],[Date]],"[$-en-US]mmm yyyy")</f>
        <v>Jan 2025</v>
      </c>
      <c r="K2737" s="13" t="str">
        <f>TEXT(Table1[[#This Row],[Date]],"[$-en-US]ddd")</f>
        <v>Tue</v>
      </c>
    </row>
    <row r="2738" spans="1:11" x14ac:dyDescent="0.25">
      <c r="A2738">
        <v>8</v>
      </c>
      <c r="B2738" t="s">
        <v>9</v>
      </c>
      <c r="C2738">
        <v>30.86</v>
      </c>
      <c r="D2738" t="s">
        <v>17</v>
      </c>
      <c r="E2738" t="s">
        <v>11</v>
      </c>
      <c r="F2738" t="s">
        <v>38</v>
      </c>
      <c r="G2738">
        <v>2</v>
      </c>
      <c r="H2738">
        <v>1</v>
      </c>
      <c r="I2738" s="13">
        <v>45678</v>
      </c>
      <c r="J2738" s="13" t="str">
        <f>TEXT(Table1[[#This Row],[Date]],"[$-en-US]mmm yyyy")</f>
        <v>Jan 2025</v>
      </c>
      <c r="K2738" s="13" t="str">
        <f>TEXT(Table1[[#This Row],[Date]],"[$-en-US]ddd")</f>
        <v>Tue</v>
      </c>
    </row>
    <row r="2739" spans="1:11" x14ac:dyDescent="0.25">
      <c r="A2739">
        <v>15</v>
      </c>
      <c r="B2739" t="s">
        <v>9</v>
      </c>
      <c r="C2739">
        <v>25.96</v>
      </c>
      <c r="D2739" t="s">
        <v>16</v>
      </c>
      <c r="E2739" t="s">
        <v>15</v>
      </c>
      <c r="F2739" t="s">
        <v>38</v>
      </c>
      <c r="G2739">
        <v>2</v>
      </c>
      <c r="H2739">
        <v>1</v>
      </c>
      <c r="I2739" s="13">
        <v>45678</v>
      </c>
      <c r="J2739" s="13" t="str">
        <f>TEXT(Table1[[#This Row],[Date]],"[$-en-US]mmm yyyy")</f>
        <v>Jan 2025</v>
      </c>
      <c r="K2739" s="13" t="str">
        <f>TEXT(Table1[[#This Row],[Date]],"[$-en-US]ddd")</f>
        <v>Tue</v>
      </c>
    </row>
    <row r="2740" spans="1:11" x14ac:dyDescent="0.25">
      <c r="A2740">
        <v>18</v>
      </c>
      <c r="B2740" t="s">
        <v>9</v>
      </c>
      <c r="C2740">
        <v>35.76</v>
      </c>
      <c r="D2740" t="s">
        <v>14</v>
      </c>
      <c r="E2740" t="s">
        <v>18</v>
      </c>
      <c r="F2740" t="s">
        <v>38</v>
      </c>
      <c r="G2740">
        <v>2</v>
      </c>
      <c r="H2740">
        <v>1</v>
      </c>
      <c r="I2740" s="13">
        <v>45678</v>
      </c>
      <c r="J2740" s="13" t="str">
        <f>TEXT(Table1[[#This Row],[Date]],"[$-en-US]mmm yyyy")</f>
        <v>Jan 2025</v>
      </c>
      <c r="K2740" s="13" t="str">
        <f>TEXT(Table1[[#This Row],[Date]],"[$-en-US]ddd")</f>
        <v>Tue</v>
      </c>
    </row>
    <row r="2741" spans="1:11" x14ac:dyDescent="0.25">
      <c r="A2741">
        <v>18</v>
      </c>
      <c r="B2741" t="s">
        <v>9</v>
      </c>
      <c r="C2741">
        <v>35.76</v>
      </c>
      <c r="D2741" t="s">
        <v>10</v>
      </c>
      <c r="E2741" t="s">
        <v>18</v>
      </c>
      <c r="F2741" t="s">
        <v>38</v>
      </c>
      <c r="G2741">
        <v>2</v>
      </c>
      <c r="H2741">
        <v>1</v>
      </c>
      <c r="I2741" s="13">
        <v>45678</v>
      </c>
      <c r="J2741" s="13" t="str">
        <f>TEXT(Table1[[#This Row],[Date]],"[$-en-US]mmm yyyy")</f>
        <v>Jan 2025</v>
      </c>
      <c r="K2741" s="13" t="str">
        <f>TEXT(Table1[[#This Row],[Date]],"[$-en-US]ddd")</f>
        <v>Tue</v>
      </c>
    </row>
    <row r="2742" spans="1:11" x14ac:dyDescent="0.25">
      <c r="A2742">
        <v>18</v>
      </c>
      <c r="B2742" t="s">
        <v>9</v>
      </c>
      <c r="C2742">
        <v>35.76</v>
      </c>
      <c r="D2742" t="s">
        <v>10</v>
      </c>
      <c r="E2742" t="s">
        <v>18</v>
      </c>
      <c r="F2742" t="s">
        <v>38</v>
      </c>
      <c r="G2742">
        <v>2</v>
      </c>
      <c r="H2742">
        <v>1</v>
      </c>
      <c r="I2742" s="13">
        <v>45678</v>
      </c>
      <c r="J2742" s="13" t="str">
        <f>TEXT(Table1[[#This Row],[Date]],"[$-en-US]mmm yyyy")</f>
        <v>Jan 2025</v>
      </c>
      <c r="K2742" s="13" t="str">
        <f>TEXT(Table1[[#This Row],[Date]],"[$-en-US]ddd")</f>
        <v>Tue</v>
      </c>
    </row>
    <row r="2743" spans="1:11" x14ac:dyDescent="0.25">
      <c r="A2743">
        <v>19</v>
      </c>
      <c r="B2743" t="s">
        <v>9</v>
      </c>
      <c r="C2743">
        <v>25.96</v>
      </c>
      <c r="D2743" t="s">
        <v>16</v>
      </c>
      <c r="E2743" t="s">
        <v>18</v>
      </c>
      <c r="F2743" t="s">
        <v>38</v>
      </c>
      <c r="G2743">
        <v>2</v>
      </c>
      <c r="H2743">
        <v>1</v>
      </c>
      <c r="I2743" s="13">
        <v>45678</v>
      </c>
      <c r="J2743" s="13" t="str">
        <f>TEXT(Table1[[#This Row],[Date]],"[$-en-US]mmm yyyy")</f>
        <v>Jan 2025</v>
      </c>
      <c r="K2743" s="13" t="str">
        <f>TEXT(Table1[[#This Row],[Date]],"[$-en-US]ddd")</f>
        <v>Tue</v>
      </c>
    </row>
    <row r="2744" spans="1:11" x14ac:dyDescent="0.25">
      <c r="A2744">
        <v>11</v>
      </c>
      <c r="B2744" t="s">
        <v>9</v>
      </c>
      <c r="C2744">
        <v>21.06</v>
      </c>
      <c r="D2744" t="s">
        <v>24</v>
      </c>
      <c r="E2744" t="s">
        <v>11</v>
      </c>
      <c r="F2744" t="s">
        <v>38</v>
      </c>
      <c r="G2744">
        <v>3</v>
      </c>
      <c r="H2744">
        <v>1</v>
      </c>
      <c r="I2744" s="13">
        <v>45679</v>
      </c>
      <c r="J2744" s="13" t="str">
        <f>TEXT(Table1[[#This Row],[Date]],"[$-en-US]mmm yyyy")</f>
        <v>Jan 2025</v>
      </c>
      <c r="K2744" s="13" t="str">
        <f>TEXT(Table1[[#This Row],[Date]],"[$-en-US]ddd")</f>
        <v>Wed</v>
      </c>
    </row>
    <row r="2745" spans="1:11" x14ac:dyDescent="0.25">
      <c r="A2745">
        <v>17</v>
      </c>
      <c r="B2745" t="s">
        <v>9</v>
      </c>
      <c r="C2745">
        <v>30.86</v>
      </c>
      <c r="D2745" t="s">
        <v>17</v>
      </c>
      <c r="E2745" t="s">
        <v>18</v>
      </c>
      <c r="F2745" t="s">
        <v>38</v>
      </c>
      <c r="G2745">
        <v>3</v>
      </c>
      <c r="H2745">
        <v>1</v>
      </c>
      <c r="I2745" s="13">
        <v>45679</v>
      </c>
      <c r="J2745" s="13" t="str">
        <f>TEXT(Table1[[#This Row],[Date]],"[$-en-US]mmm yyyy")</f>
        <v>Jan 2025</v>
      </c>
      <c r="K2745" s="13" t="str">
        <f>TEXT(Table1[[#This Row],[Date]],"[$-en-US]ddd")</f>
        <v>Wed</v>
      </c>
    </row>
    <row r="2746" spans="1:11" x14ac:dyDescent="0.25">
      <c r="A2746">
        <v>18</v>
      </c>
      <c r="B2746" t="s">
        <v>9</v>
      </c>
      <c r="C2746">
        <v>35.76</v>
      </c>
      <c r="D2746" t="s">
        <v>19</v>
      </c>
      <c r="E2746" t="s">
        <v>18</v>
      </c>
      <c r="F2746" t="s">
        <v>38</v>
      </c>
      <c r="G2746">
        <v>3</v>
      </c>
      <c r="H2746">
        <v>1</v>
      </c>
      <c r="I2746" s="13">
        <v>45679</v>
      </c>
      <c r="J2746" s="13" t="str">
        <f>TEXT(Table1[[#This Row],[Date]],"[$-en-US]mmm yyyy")</f>
        <v>Jan 2025</v>
      </c>
      <c r="K2746" s="13" t="str">
        <f>TEXT(Table1[[#This Row],[Date]],"[$-en-US]ddd")</f>
        <v>Wed</v>
      </c>
    </row>
    <row r="2747" spans="1:11" x14ac:dyDescent="0.25">
      <c r="A2747">
        <v>19</v>
      </c>
      <c r="B2747" t="s">
        <v>9</v>
      </c>
      <c r="C2747">
        <v>30.86</v>
      </c>
      <c r="D2747" t="s">
        <v>17</v>
      </c>
      <c r="E2747" t="s">
        <v>18</v>
      </c>
      <c r="F2747" t="s">
        <v>38</v>
      </c>
      <c r="G2747">
        <v>3</v>
      </c>
      <c r="H2747">
        <v>1</v>
      </c>
      <c r="I2747" s="13">
        <v>45679</v>
      </c>
      <c r="J2747" s="13" t="str">
        <f>TEXT(Table1[[#This Row],[Date]],"[$-en-US]mmm yyyy")</f>
        <v>Jan 2025</v>
      </c>
      <c r="K2747" s="13" t="str">
        <f>TEXT(Table1[[#This Row],[Date]],"[$-en-US]ddd")</f>
        <v>Wed</v>
      </c>
    </row>
    <row r="2748" spans="1:11" x14ac:dyDescent="0.25">
      <c r="A2748">
        <v>19</v>
      </c>
      <c r="B2748" t="s">
        <v>9</v>
      </c>
      <c r="C2748">
        <v>35.76</v>
      </c>
      <c r="D2748" t="s">
        <v>27</v>
      </c>
      <c r="E2748" t="s">
        <v>18</v>
      </c>
      <c r="F2748" t="s">
        <v>38</v>
      </c>
      <c r="G2748">
        <v>3</v>
      </c>
      <c r="H2748">
        <v>1</v>
      </c>
      <c r="I2748" s="13">
        <v>45679</v>
      </c>
      <c r="J2748" s="13" t="str">
        <f>TEXT(Table1[[#This Row],[Date]],"[$-en-US]mmm yyyy")</f>
        <v>Jan 2025</v>
      </c>
      <c r="K2748" s="13" t="str">
        <f>TEXT(Table1[[#This Row],[Date]],"[$-en-US]ddd")</f>
        <v>Wed</v>
      </c>
    </row>
    <row r="2749" spans="1:11" x14ac:dyDescent="0.25">
      <c r="A2749">
        <v>19</v>
      </c>
      <c r="B2749" t="s">
        <v>9</v>
      </c>
      <c r="C2749">
        <v>35.76</v>
      </c>
      <c r="D2749" t="s">
        <v>10</v>
      </c>
      <c r="E2749" t="s">
        <v>18</v>
      </c>
      <c r="F2749" t="s">
        <v>38</v>
      </c>
      <c r="G2749">
        <v>3</v>
      </c>
      <c r="H2749">
        <v>1</v>
      </c>
      <c r="I2749" s="13">
        <v>45679</v>
      </c>
      <c r="J2749" s="13" t="str">
        <f>TEXT(Table1[[#This Row],[Date]],"[$-en-US]mmm yyyy")</f>
        <v>Jan 2025</v>
      </c>
      <c r="K2749" s="13" t="str">
        <f>TEXT(Table1[[#This Row],[Date]],"[$-en-US]ddd")</f>
        <v>Wed</v>
      </c>
    </row>
    <row r="2750" spans="1:11" x14ac:dyDescent="0.25">
      <c r="A2750">
        <v>20</v>
      </c>
      <c r="B2750" t="s">
        <v>9</v>
      </c>
      <c r="C2750">
        <v>30.86</v>
      </c>
      <c r="D2750" t="s">
        <v>17</v>
      </c>
      <c r="E2750" t="s">
        <v>18</v>
      </c>
      <c r="F2750" t="s">
        <v>38</v>
      </c>
      <c r="G2750">
        <v>3</v>
      </c>
      <c r="H2750">
        <v>1</v>
      </c>
      <c r="I2750" s="13">
        <v>45679</v>
      </c>
      <c r="J2750" s="13" t="str">
        <f>TEXT(Table1[[#This Row],[Date]],"[$-en-US]mmm yyyy")</f>
        <v>Jan 2025</v>
      </c>
      <c r="K2750" s="13" t="str">
        <f>TEXT(Table1[[#This Row],[Date]],"[$-en-US]ddd")</f>
        <v>Wed</v>
      </c>
    </row>
    <row r="2751" spans="1:11" x14ac:dyDescent="0.25">
      <c r="A2751">
        <v>13</v>
      </c>
      <c r="B2751" t="s">
        <v>9</v>
      </c>
      <c r="C2751">
        <v>35.76</v>
      </c>
      <c r="D2751" t="s">
        <v>27</v>
      </c>
      <c r="E2751" t="s">
        <v>15</v>
      </c>
      <c r="F2751" t="s">
        <v>38</v>
      </c>
      <c r="G2751">
        <v>5</v>
      </c>
      <c r="H2751">
        <v>1</v>
      </c>
      <c r="I2751" s="13">
        <v>45681</v>
      </c>
      <c r="J2751" s="13" t="str">
        <f>TEXT(Table1[[#This Row],[Date]],"[$-en-US]mmm yyyy")</f>
        <v>Jan 2025</v>
      </c>
      <c r="K2751" s="13" t="str">
        <f>TEXT(Table1[[#This Row],[Date]],"[$-en-US]ddd")</f>
        <v>Fri</v>
      </c>
    </row>
    <row r="2752" spans="1:11" x14ac:dyDescent="0.25">
      <c r="A2752">
        <v>13</v>
      </c>
      <c r="B2752" t="s">
        <v>9</v>
      </c>
      <c r="C2752">
        <v>25.96</v>
      </c>
      <c r="D2752" t="s">
        <v>22</v>
      </c>
      <c r="E2752" t="s">
        <v>15</v>
      </c>
      <c r="F2752" t="s">
        <v>38</v>
      </c>
      <c r="G2752">
        <v>5</v>
      </c>
      <c r="H2752">
        <v>1</v>
      </c>
      <c r="I2752" s="13">
        <v>45681</v>
      </c>
      <c r="J2752" s="13" t="str">
        <f>TEXT(Table1[[#This Row],[Date]],"[$-en-US]mmm yyyy")</f>
        <v>Jan 2025</v>
      </c>
      <c r="K2752" s="13" t="str">
        <f>TEXT(Table1[[#This Row],[Date]],"[$-en-US]ddd")</f>
        <v>Fri</v>
      </c>
    </row>
    <row r="2753" spans="1:11" x14ac:dyDescent="0.25">
      <c r="A2753">
        <v>15</v>
      </c>
      <c r="B2753" t="s">
        <v>9</v>
      </c>
      <c r="C2753">
        <v>35.76</v>
      </c>
      <c r="D2753" t="s">
        <v>19</v>
      </c>
      <c r="E2753" t="s">
        <v>15</v>
      </c>
      <c r="F2753" t="s">
        <v>38</v>
      </c>
      <c r="G2753">
        <v>5</v>
      </c>
      <c r="H2753">
        <v>1</v>
      </c>
      <c r="I2753" s="13">
        <v>45681</v>
      </c>
      <c r="J2753" s="13" t="str">
        <f>TEXT(Table1[[#This Row],[Date]],"[$-en-US]mmm yyyy")</f>
        <v>Jan 2025</v>
      </c>
      <c r="K2753" s="13" t="str">
        <f>TEXT(Table1[[#This Row],[Date]],"[$-en-US]ddd")</f>
        <v>Fri</v>
      </c>
    </row>
    <row r="2754" spans="1:11" x14ac:dyDescent="0.25">
      <c r="A2754">
        <v>17</v>
      </c>
      <c r="B2754" t="s">
        <v>9</v>
      </c>
      <c r="C2754">
        <v>25.96</v>
      </c>
      <c r="D2754" t="s">
        <v>16</v>
      </c>
      <c r="E2754" t="s">
        <v>18</v>
      </c>
      <c r="F2754" t="s">
        <v>38</v>
      </c>
      <c r="G2754">
        <v>5</v>
      </c>
      <c r="H2754">
        <v>1</v>
      </c>
      <c r="I2754" s="13">
        <v>45681</v>
      </c>
      <c r="J2754" s="13" t="str">
        <f>TEXT(Table1[[#This Row],[Date]],"[$-en-US]mmm yyyy")</f>
        <v>Jan 2025</v>
      </c>
      <c r="K2754" s="13" t="str">
        <f>TEXT(Table1[[#This Row],[Date]],"[$-en-US]ddd")</f>
        <v>Fri</v>
      </c>
    </row>
    <row r="2755" spans="1:11" x14ac:dyDescent="0.25">
      <c r="A2755">
        <v>21</v>
      </c>
      <c r="B2755" t="s">
        <v>9</v>
      </c>
      <c r="C2755">
        <v>35.76</v>
      </c>
      <c r="D2755" t="s">
        <v>19</v>
      </c>
      <c r="E2755" t="s">
        <v>18</v>
      </c>
      <c r="F2755" t="s">
        <v>38</v>
      </c>
      <c r="G2755">
        <v>5</v>
      </c>
      <c r="H2755">
        <v>1</v>
      </c>
      <c r="I2755" s="13">
        <v>45681</v>
      </c>
      <c r="J2755" s="13" t="str">
        <f>TEXT(Table1[[#This Row],[Date]],"[$-en-US]mmm yyyy")</f>
        <v>Jan 2025</v>
      </c>
      <c r="K2755" s="13" t="str">
        <f>TEXT(Table1[[#This Row],[Date]],"[$-en-US]ddd")</f>
        <v>Fri</v>
      </c>
    </row>
    <row r="2756" spans="1:11" x14ac:dyDescent="0.25">
      <c r="A2756">
        <v>22</v>
      </c>
      <c r="B2756" t="s">
        <v>9</v>
      </c>
      <c r="C2756">
        <v>35.76</v>
      </c>
      <c r="D2756" t="s">
        <v>14</v>
      </c>
      <c r="E2756" t="s">
        <v>18</v>
      </c>
      <c r="F2756" t="s">
        <v>38</v>
      </c>
      <c r="G2756">
        <v>5</v>
      </c>
      <c r="H2756">
        <v>1</v>
      </c>
      <c r="I2756" s="13">
        <v>45681</v>
      </c>
      <c r="J2756" s="13" t="str">
        <f>TEXT(Table1[[#This Row],[Date]],"[$-en-US]mmm yyyy")</f>
        <v>Jan 2025</v>
      </c>
      <c r="K2756" s="13" t="str">
        <f>TEXT(Table1[[#This Row],[Date]],"[$-en-US]ddd")</f>
        <v>Fri</v>
      </c>
    </row>
    <row r="2757" spans="1:11" x14ac:dyDescent="0.25">
      <c r="A2757">
        <v>22</v>
      </c>
      <c r="B2757" t="s">
        <v>9</v>
      </c>
      <c r="C2757">
        <v>35.76</v>
      </c>
      <c r="D2757" t="s">
        <v>10</v>
      </c>
      <c r="E2757" t="s">
        <v>18</v>
      </c>
      <c r="F2757" t="s">
        <v>38</v>
      </c>
      <c r="G2757">
        <v>5</v>
      </c>
      <c r="H2757">
        <v>1</v>
      </c>
      <c r="I2757" s="13">
        <v>45681</v>
      </c>
      <c r="J2757" s="13" t="str">
        <f>TEXT(Table1[[#This Row],[Date]],"[$-en-US]mmm yyyy")</f>
        <v>Jan 2025</v>
      </c>
      <c r="K2757" s="13" t="str">
        <f>TEXT(Table1[[#This Row],[Date]],"[$-en-US]ddd")</f>
        <v>Fri</v>
      </c>
    </row>
    <row r="2758" spans="1:11" x14ac:dyDescent="0.25">
      <c r="A2758">
        <v>13</v>
      </c>
      <c r="B2758" t="s">
        <v>9</v>
      </c>
      <c r="C2758">
        <v>35.76</v>
      </c>
      <c r="D2758" t="s">
        <v>27</v>
      </c>
      <c r="E2758" t="s">
        <v>15</v>
      </c>
      <c r="F2758" t="s">
        <v>38</v>
      </c>
      <c r="G2758">
        <v>6</v>
      </c>
      <c r="H2758">
        <v>1</v>
      </c>
      <c r="I2758" s="13">
        <v>45682</v>
      </c>
      <c r="J2758" s="13" t="str">
        <f>TEXT(Table1[[#This Row],[Date]],"[$-en-US]mmm yyyy")</f>
        <v>Jan 2025</v>
      </c>
      <c r="K2758" s="13" t="str">
        <f>TEXT(Table1[[#This Row],[Date]],"[$-en-US]ddd")</f>
        <v>Sat</v>
      </c>
    </row>
    <row r="2759" spans="1:11" x14ac:dyDescent="0.25">
      <c r="A2759">
        <v>14</v>
      </c>
      <c r="B2759" t="s">
        <v>9</v>
      </c>
      <c r="C2759">
        <v>35.76</v>
      </c>
      <c r="D2759" t="s">
        <v>27</v>
      </c>
      <c r="E2759" t="s">
        <v>15</v>
      </c>
      <c r="F2759" t="s">
        <v>38</v>
      </c>
      <c r="G2759">
        <v>6</v>
      </c>
      <c r="H2759">
        <v>1</v>
      </c>
      <c r="I2759" s="13">
        <v>45682</v>
      </c>
      <c r="J2759" s="13" t="str">
        <f>TEXT(Table1[[#This Row],[Date]],"[$-en-US]mmm yyyy")</f>
        <v>Jan 2025</v>
      </c>
      <c r="K2759" s="13" t="str">
        <f>TEXT(Table1[[#This Row],[Date]],"[$-en-US]ddd")</f>
        <v>Sat</v>
      </c>
    </row>
    <row r="2760" spans="1:11" x14ac:dyDescent="0.25">
      <c r="A2760">
        <v>14</v>
      </c>
      <c r="B2760" t="s">
        <v>9</v>
      </c>
      <c r="C2760">
        <v>25.96</v>
      </c>
      <c r="D2760" t="s">
        <v>16</v>
      </c>
      <c r="E2760" t="s">
        <v>15</v>
      </c>
      <c r="F2760" t="s">
        <v>38</v>
      </c>
      <c r="G2760">
        <v>6</v>
      </c>
      <c r="H2760">
        <v>1</v>
      </c>
      <c r="I2760" s="13">
        <v>45682</v>
      </c>
      <c r="J2760" s="13" t="str">
        <f>TEXT(Table1[[#This Row],[Date]],"[$-en-US]mmm yyyy")</f>
        <v>Jan 2025</v>
      </c>
      <c r="K2760" s="13" t="str">
        <f>TEXT(Table1[[#This Row],[Date]],"[$-en-US]ddd")</f>
        <v>Sat</v>
      </c>
    </row>
    <row r="2761" spans="1:11" x14ac:dyDescent="0.25">
      <c r="A2761">
        <v>12</v>
      </c>
      <c r="B2761" t="s">
        <v>9</v>
      </c>
      <c r="C2761">
        <v>25.96</v>
      </c>
      <c r="D2761" t="s">
        <v>16</v>
      </c>
      <c r="E2761" t="s">
        <v>15</v>
      </c>
      <c r="F2761" t="s">
        <v>38</v>
      </c>
      <c r="G2761">
        <v>7</v>
      </c>
      <c r="H2761">
        <v>1</v>
      </c>
      <c r="I2761" s="13">
        <v>45683</v>
      </c>
      <c r="J2761" s="13" t="str">
        <f>TEXT(Table1[[#This Row],[Date]],"[$-en-US]mmm yyyy")</f>
        <v>Jan 2025</v>
      </c>
      <c r="K2761" s="13" t="str">
        <f>TEXT(Table1[[#This Row],[Date]],"[$-en-US]ddd")</f>
        <v>Sun</v>
      </c>
    </row>
    <row r="2762" spans="1:11" x14ac:dyDescent="0.25">
      <c r="A2762">
        <v>12</v>
      </c>
      <c r="B2762" t="s">
        <v>9</v>
      </c>
      <c r="C2762">
        <v>21.06</v>
      </c>
      <c r="D2762" t="s">
        <v>24</v>
      </c>
      <c r="E2762" t="s">
        <v>15</v>
      </c>
      <c r="F2762" t="s">
        <v>38</v>
      </c>
      <c r="G2762">
        <v>7</v>
      </c>
      <c r="H2762">
        <v>1</v>
      </c>
      <c r="I2762" s="13">
        <v>45683</v>
      </c>
      <c r="J2762" s="13" t="str">
        <f>TEXT(Table1[[#This Row],[Date]],"[$-en-US]mmm yyyy")</f>
        <v>Jan 2025</v>
      </c>
      <c r="K2762" s="13" t="str">
        <f>TEXT(Table1[[#This Row],[Date]],"[$-en-US]ddd")</f>
        <v>Sun</v>
      </c>
    </row>
    <row r="2763" spans="1:11" x14ac:dyDescent="0.25">
      <c r="A2763">
        <v>8</v>
      </c>
      <c r="B2763" t="s">
        <v>9</v>
      </c>
      <c r="C2763">
        <v>25.96</v>
      </c>
      <c r="D2763" t="s">
        <v>22</v>
      </c>
      <c r="E2763" t="s">
        <v>11</v>
      </c>
      <c r="F2763" t="s">
        <v>38</v>
      </c>
      <c r="G2763">
        <v>1</v>
      </c>
      <c r="H2763">
        <v>1</v>
      </c>
      <c r="I2763" s="13">
        <v>45684</v>
      </c>
      <c r="J2763" s="13" t="str">
        <f>TEXT(Table1[[#This Row],[Date]],"[$-en-US]mmm yyyy")</f>
        <v>Jan 2025</v>
      </c>
      <c r="K2763" s="13" t="str">
        <f>TEXT(Table1[[#This Row],[Date]],"[$-en-US]ddd")</f>
        <v>Mon</v>
      </c>
    </row>
    <row r="2764" spans="1:11" x14ac:dyDescent="0.25">
      <c r="A2764">
        <v>8</v>
      </c>
      <c r="B2764" t="s">
        <v>9</v>
      </c>
      <c r="C2764">
        <v>25.96</v>
      </c>
      <c r="D2764" t="s">
        <v>16</v>
      </c>
      <c r="E2764" t="s">
        <v>11</v>
      </c>
      <c r="F2764" t="s">
        <v>38</v>
      </c>
      <c r="G2764">
        <v>1</v>
      </c>
      <c r="H2764">
        <v>1</v>
      </c>
      <c r="I2764" s="13">
        <v>45684</v>
      </c>
      <c r="J2764" s="13" t="str">
        <f>TEXT(Table1[[#This Row],[Date]],"[$-en-US]mmm yyyy")</f>
        <v>Jan 2025</v>
      </c>
      <c r="K2764" s="13" t="str">
        <f>TEXT(Table1[[#This Row],[Date]],"[$-en-US]ddd")</f>
        <v>Mon</v>
      </c>
    </row>
    <row r="2765" spans="1:11" x14ac:dyDescent="0.25">
      <c r="A2765">
        <v>12</v>
      </c>
      <c r="B2765" t="s">
        <v>9</v>
      </c>
      <c r="C2765">
        <v>35.76</v>
      </c>
      <c r="D2765" t="s">
        <v>27</v>
      </c>
      <c r="E2765" t="s">
        <v>15</v>
      </c>
      <c r="F2765" t="s">
        <v>38</v>
      </c>
      <c r="G2765">
        <v>1</v>
      </c>
      <c r="H2765">
        <v>1</v>
      </c>
      <c r="I2765" s="13">
        <v>45684</v>
      </c>
      <c r="J2765" s="13" t="str">
        <f>TEXT(Table1[[#This Row],[Date]],"[$-en-US]mmm yyyy")</f>
        <v>Jan 2025</v>
      </c>
      <c r="K2765" s="13" t="str">
        <f>TEXT(Table1[[#This Row],[Date]],"[$-en-US]ddd")</f>
        <v>Mon</v>
      </c>
    </row>
    <row r="2766" spans="1:11" x14ac:dyDescent="0.25">
      <c r="A2766">
        <v>13</v>
      </c>
      <c r="B2766" t="s">
        <v>9</v>
      </c>
      <c r="C2766">
        <v>30.86</v>
      </c>
      <c r="D2766" t="s">
        <v>17</v>
      </c>
      <c r="E2766" t="s">
        <v>15</v>
      </c>
      <c r="F2766" t="s">
        <v>38</v>
      </c>
      <c r="G2766">
        <v>1</v>
      </c>
      <c r="H2766">
        <v>1</v>
      </c>
      <c r="I2766" s="13">
        <v>45684</v>
      </c>
      <c r="J2766" s="13" t="str">
        <f>TEXT(Table1[[#This Row],[Date]],"[$-en-US]mmm yyyy")</f>
        <v>Jan 2025</v>
      </c>
      <c r="K2766" s="13" t="str">
        <f>TEXT(Table1[[#This Row],[Date]],"[$-en-US]ddd")</f>
        <v>Mon</v>
      </c>
    </row>
    <row r="2767" spans="1:11" x14ac:dyDescent="0.25">
      <c r="A2767">
        <v>15</v>
      </c>
      <c r="B2767" t="s">
        <v>9</v>
      </c>
      <c r="C2767">
        <v>30.86</v>
      </c>
      <c r="D2767" t="s">
        <v>17</v>
      </c>
      <c r="E2767" t="s">
        <v>15</v>
      </c>
      <c r="F2767" t="s">
        <v>38</v>
      </c>
      <c r="G2767">
        <v>1</v>
      </c>
      <c r="H2767">
        <v>1</v>
      </c>
      <c r="I2767" s="13">
        <v>45684</v>
      </c>
      <c r="J2767" s="13" t="str">
        <f>TEXT(Table1[[#This Row],[Date]],"[$-en-US]mmm yyyy")</f>
        <v>Jan 2025</v>
      </c>
      <c r="K2767" s="13" t="str">
        <f>TEXT(Table1[[#This Row],[Date]],"[$-en-US]ddd")</f>
        <v>Mon</v>
      </c>
    </row>
    <row r="2768" spans="1:11" x14ac:dyDescent="0.25">
      <c r="A2768">
        <v>15</v>
      </c>
      <c r="B2768" t="s">
        <v>9</v>
      </c>
      <c r="C2768">
        <v>25.96</v>
      </c>
      <c r="D2768" t="s">
        <v>22</v>
      </c>
      <c r="E2768" t="s">
        <v>15</v>
      </c>
      <c r="F2768" t="s">
        <v>38</v>
      </c>
      <c r="G2768">
        <v>1</v>
      </c>
      <c r="H2768">
        <v>1</v>
      </c>
      <c r="I2768" s="13">
        <v>45684</v>
      </c>
      <c r="J2768" s="13" t="str">
        <f>TEXT(Table1[[#This Row],[Date]],"[$-en-US]mmm yyyy")</f>
        <v>Jan 2025</v>
      </c>
      <c r="K2768" s="13" t="str">
        <f>TEXT(Table1[[#This Row],[Date]],"[$-en-US]ddd")</f>
        <v>Mon</v>
      </c>
    </row>
    <row r="2769" spans="1:11" x14ac:dyDescent="0.25">
      <c r="A2769">
        <v>15</v>
      </c>
      <c r="B2769" t="s">
        <v>9</v>
      </c>
      <c r="C2769">
        <v>30.86</v>
      </c>
      <c r="D2769" t="s">
        <v>17</v>
      </c>
      <c r="E2769" t="s">
        <v>15</v>
      </c>
      <c r="F2769" t="s">
        <v>38</v>
      </c>
      <c r="G2769">
        <v>1</v>
      </c>
      <c r="H2769">
        <v>1</v>
      </c>
      <c r="I2769" s="13">
        <v>45684</v>
      </c>
      <c r="J2769" s="13" t="str">
        <f>TEXT(Table1[[#This Row],[Date]],"[$-en-US]mmm yyyy")</f>
        <v>Jan 2025</v>
      </c>
      <c r="K2769" s="13" t="str">
        <f>TEXT(Table1[[#This Row],[Date]],"[$-en-US]ddd")</f>
        <v>Mon</v>
      </c>
    </row>
    <row r="2770" spans="1:11" x14ac:dyDescent="0.25">
      <c r="A2770">
        <v>18</v>
      </c>
      <c r="B2770" t="s">
        <v>9</v>
      </c>
      <c r="C2770">
        <v>35.76</v>
      </c>
      <c r="D2770" t="s">
        <v>10</v>
      </c>
      <c r="E2770" t="s">
        <v>18</v>
      </c>
      <c r="F2770" t="s">
        <v>38</v>
      </c>
      <c r="G2770">
        <v>1</v>
      </c>
      <c r="H2770">
        <v>1</v>
      </c>
      <c r="I2770" s="13">
        <v>45684</v>
      </c>
      <c r="J2770" s="13" t="str">
        <f>TEXT(Table1[[#This Row],[Date]],"[$-en-US]mmm yyyy")</f>
        <v>Jan 2025</v>
      </c>
      <c r="K2770" s="13" t="str">
        <f>TEXT(Table1[[#This Row],[Date]],"[$-en-US]ddd")</f>
        <v>Mon</v>
      </c>
    </row>
    <row r="2771" spans="1:11" x14ac:dyDescent="0.25">
      <c r="A2771">
        <v>19</v>
      </c>
      <c r="B2771" t="s">
        <v>9</v>
      </c>
      <c r="C2771">
        <v>35.76</v>
      </c>
      <c r="D2771" t="s">
        <v>10</v>
      </c>
      <c r="E2771" t="s">
        <v>18</v>
      </c>
      <c r="F2771" t="s">
        <v>38</v>
      </c>
      <c r="G2771">
        <v>1</v>
      </c>
      <c r="H2771">
        <v>1</v>
      </c>
      <c r="I2771" s="13">
        <v>45684</v>
      </c>
      <c r="J2771" s="13" t="str">
        <f>TEXT(Table1[[#This Row],[Date]],"[$-en-US]mmm yyyy")</f>
        <v>Jan 2025</v>
      </c>
      <c r="K2771" s="13" t="str">
        <f>TEXT(Table1[[#This Row],[Date]],"[$-en-US]ddd")</f>
        <v>Mon</v>
      </c>
    </row>
    <row r="2772" spans="1:11" x14ac:dyDescent="0.25">
      <c r="A2772">
        <v>19</v>
      </c>
      <c r="B2772" t="s">
        <v>9</v>
      </c>
      <c r="C2772">
        <v>35.76</v>
      </c>
      <c r="D2772" t="s">
        <v>10</v>
      </c>
      <c r="E2772" t="s">
        <v>18</v>
      </c>
      <c r="F2772" t="s">
        <v>38</v>
      </c>
      <c r="G2772">
        <v>1</v>
      </c>
      <c r="H2772">
        <v>1</v>
      </c>
      <c r="I2772" s="13">
        <v>45684</v>
      </c>
      <c r="J2772" s="13" t="str">
        <f>TEXT(Table1[[#This Row],[Date]],"[$-en-US]mmm yyyy")</f>
        <v>Jan 2025</v>
      </c>
      <c r="K2772" s="13" t="str">
        <f>TEXT(Table1[[#This Row],[Date]],"[$-en-US]ddd")</f>
        <v>Mon</v>
      </c>
    </row>
    <row r="2773" spans="1:11" x14ac:dyDescent="0.25">
      <c r="A2773">
        <v>8</v>
      </c>
      <c r="B2773" t="s">
        <v>9</v>
      </c>
      <c r="C2773">
        <v>35.76</v>
      </c>
      <c r="D2773" t="s">
        <v>10</v>
      </c>
      <c r="E2773" t="s">
        <v>11</v>
      </c>
      <c r="F2773" t="s">
        <v>38</v>
      </c>
      <c r="G2773">
        <v>2</v>
      </c>
      <c r="H2773">
        <v>1</v>
      </c>
      <c r="I2773" s="13">
        <v>45685</v>
      </c>
      <c r="J2773" s="13" t="str">
        <f>TEXT(Table1[[#This Row],[Date]],"[$-en-US]mmm yyyy")</f>
        <v>Jan 2025</v>
      </c>
      <c r="K2773" s="13" t="str">
        <f>TEXT(Table1[[#This Row],[Date]],"[$-en-US]ddd")</f>
        <v>Tue</v>
      </c>
    </row>
    <row r="2774" spans="1:11" x14ac:dyDescent="0.25">
      <c r="A2774">
        <v>9</v>
      </c>
      <c r="B2774" t="s">
        <v>9</v>
      </c>
      <c r="C2774">
        <v>25.96</v>
      </c>
      <c r="D2774" t="s">
        <v>16</v>
      </c>
      <c r="E2774" t="s">
        <v>11</v>
      </c>
      <c r="F2774" t="s">
        <v>38</v>
      </c>
      <c r="G2774">
        <v>2</v>
      </c>
      <c r="H2774">
        <v>1</v>
      </c>
      <c r="I2774" s="13">
        <v>45685</v>
      </c>
      <c r="J2774" s="13" t="str">
        <f>TEXT(Table1[[#This Row],[Date]],"[$-en-US]mmm yyyy")</f>
        <v>Jan 2025</v>
      </c>
      <c r="K2774" s="13" t="str">
        <f>TEXT(Table1[[#This Row],[Date]],"[$-en-US]ddd")</f>
        <v>Tue</v>
      </c>
    </row>
    <row r="2775" spans="1:11" x14ac:dyDescent="0.25">
      <c r="A2775">
        <v>11</v>
      </c>
      <c r="B2775" t="s">
        <v>9</v>
      </c>
      <c r="C2775">
        <v>30.86</v>
      </c>
      <c r="D2775" t="s">
        <v>17</v>
      </c>
      <c r="E2775" t="s">
        <v>11</v>
      </c>
      <c r="F2775" t="s">
        <v>38</v>
      </c>
      <c r="G2775">
        <v>2</v>
      </c>
      <c r="H2775">
        <v>1</v>
      </c>
      <c r="I2775" s="13">
        <v>45685</v>
      </c>
      <c r="J2775" s="13" t="str">
        <f>TEXT(Table1[[#This Row],[Date]],"[$-en-US]mmm yyyy")</f>
        <v>Jan 2025</v>
      </c>
      <c r="K2775" s="13" t="str">
        <f>TEXT(Table1[[#This Row],[Date]],"[$-en-US]ddd")</f>
        <v>Tue</v>
      </c>
    </row>
    <row r="2776" spans="1:11" x14ac:dyDescent="0.25">
      <c r="A2776">
        <v>12</v>
      </c>
      <c r="B2776" t="s">
        <v>9</v>
      </c>
      <c r="C2776">
        <v>25.96</v>
      </c>
      <c r="D2776" t="s">
        <v>16</v>
      </c>
      <c r="E2776" t="s">
        <v>15</v>
      </c>
      <c r="F2776" t="s">
        <v>38</v>
      </c>
      <c r="G2776">
        <v>2</v>
      </c>
      <c r="H2776">
        <v>1</v>
      </c>
      <c r="I2776" s="13">
        <v>45685</v>
      </c>
      <c r="J2776" s="13" t="str">
        <f>TEXT(Table1[[#This Row],[Date]],"[$-en-US]mmm yyyy")</f>
        <v>Jan 2025</v>
      </c>
      <c r="K2776" s="13" t="str">
        <f>TEXT(Table1[[#This Row],[Date]],"[$-en-US]ddd")</f>
        <v>Tue</v>
      </c>
    </row>
    <row r="2777" spans="1:11" x14ac:dyDescent="0.25">
      <c r="A2777">
        <v>16</v>
      </c>
      <c r="B2777" t="s">
        <v>9</v>
      </c>
      <c r="C2777">
        <v>35.76</v>
      </c>
      <c r="D2777" t="s">
        <v>19</v>
      </c>
      <c r="E2777" t="s">
        <v>15</v>
      </c>
      <c r="F2777" t="s">
        <v>38</v>
      </c>
      <c r="G2777">
        <v>2</v>
      </c>
      <c r="H2777">
        <v>1</v>
      </c>
      <c r="I2777" s="13">
        <v>45685</v>
      </c>
      <c r="J2777" s="13" t="str">
        <f>TEXT(Table1[[#This Row],[Date]],"[$-en-US]mmm yyyy")</f>
        <v>Jan 2025</v>
      </c>
      <c r="K2777" s="13" t="str">
        <f>TEXT(Table1[[#This Row],[Date]],"[$-en-US]ddd")</f>
        <v>Tue</v>
      </c>
    </row>
    <row r="2778" spans="1:11" x14ac:dyDescent="0.25">
      <c r="A2778">
        <v>16</v>
      </c>
      <c r="B2778" t="s">
        <v>9</v>
      </c>
      <c r="C2778">
        <v>25.96</v>
      </c>
      <c r="D2778" t="s">
        <v>22</v>
      </c>
      <c r="E2778" t="s">
        <v>15</v>
      </c>
      <c r="F2778" t="s">
        <v>38</v>
      </c>
      <c r="G2778">
        <v>2</v>
      </c>
      <c r="H2778">
        <v>1</v>
      </c>
      <c r="I2778" s="13">
        <v>45685</v>
      </c>
      <c r="J2778" s="13" t="str">
        <f>TEXT(Table1[[#This Row],[Date]],"[$-en-US]mmm yyyy")</f>
        <v>Jan 2025</v>
      </c>
      <c r="K2778" s="13" t="str">
        <f>TEXT(Table1[[#This Row],[Date]],"[$-en-US]ddd")</f>
        <v>Tue</v>
      </c>
    </row>
    <row r="2779" spans="1:11" x14ac:dyDescent="0.25">
      <c r="A2779">
        <v>17</v>
      </c>
      <c r="B2779" t="s">
        <v>9</v>
      </c>
      <c r="C2779">
        <v>25.96</v>
      </c>
      <c r="D2779" t="s">
        <v>16</v>
      </c>
      <c r="E2779" t="s">
        <v>18</v>
      </c>
      <c r="F2779" t="s">
        <v>38</v>
      </c>
      <c r="G2779">
        <v>2</v>
      </c>
      <c r="H2779">
        <v>1</v>
      </c>
      <c r="I2779" s="13">
        <v>45685</v>
      </c>
      <c r="J2779" s="13" t="str">
        <f>TEXT(Table1[[#This Row],[Date]],"[$-en-US]mmm yyyy")</f>
        <v>Jan 2025</v>
      </c>
      <c r="K2779" s="13" t="str">
        <f>TEXT(Table1[[#This Row],[Date]],"[$-en-US]ddd")</f>
        <v>Tue</v>
      </c>
    </row>
    <row r="2780" spans="1:11" x14ac:dyDescent="0.25">
      <c r="A2780">
        <v>20</v>
      </c>
      <c r="B2780" t="s">
        <v>9</v>
      </c>
      <c r="C2780">
        <v>35.76</v>
      </c>
      <c r="D2780" t="s">
        <v>10</v>
      </c>
      <c r="E2780" t="s">
        <v>18</v>
      </c>
      <c r="F2780" t="s">
        <v>38</v>
      </c>
      <c r="G2780">
        <v>2</v>
      </c>
      <c r="H2780">
        <v>1</v>
      </c>
      <c r="I2780" s="13">
        <v>45685</v>
      </c>
      <c r="J2780" s="13" t="str">
        <f>TEXT(Table1[[#This Row],[Date]],"[$-en-US]mmm yyyy")</f>
        <v>Jan 2025</v>
      </c>
      <c r="K2780" s="13" t="str">
        <f>TEXT(Table1[[#This Row],[Date]],"[$-en-US]ddd")</f>
        <v>Tue</v>
      </c>
    </row>
    <row r="2781" spans="1:11" x14ac:dyDescent="0.25">
      <c r="A2781">
        <v>20</v>
      </c>
      <c r="B2781" t="s">
        <v>9</v>
      </c>
      <c r="C2781">
        <v>35.76</v>
      </c>
      <c r="D2781" t="s">
        <v>27</v>
      </c>
      <c r="E2781" t="s">
        <v>18</v>
      </c>
      <c r="F2781" t="s">
        <v>38</v>
      </c>
      <c r="G2781">
        <v>2</v>
      </c>
      <c r="H2781">
        <v>1</v>
      </c>
      <c r="I2781" s="13">
        <v>45685</v>
      </c>
      <c r="J2781" s="13" t="str">
        <f>TEXT(Table1[[#This Row],[Date]],"[$-en-US]mmm yyyy")</f>
        <v>Jan 2025</v>
      </c>
      <c r="K2781" s="13" t="str">
        <f>TEXT(Table1[[#This Row],[Date]],"[$-en-US]ddd")</f>
        <v>Tue</v>
      </c>
    </row>
    <row r="2782" spans="1:11" x14ac:dyDescent="0.25">
      <c r="A2782">
        <v>9</v>
      </c>
      <c r="B2782" t="s">
        <v>9</v>
      </c>
      <c r="C2782">
        <v>25.96</v>
      </c>
      <c r="D2782" t="s">
        <v>16</v>
      </c>
      <c r="E2782" t="s">
        <v>11</v>
      </c>
      <c r="F2782" t="s">
        <v>38</v>
      </c>
      <c r="G2782">
        <v>3</v>
      </c>
      <c r="H2782">
        <v>1</v>
      </c>
      <c r="I2782" s="13">
        <v>45686</v>
      </c>
      <c r="J2782" s="13" t="str">
        <f>TEXT(Table1[[#This Row],[Date]],"[$-en-US]mmm yyyy")</f>
        <v>Jan 2025</v>
      </c>
      <c r="K2782" s="13" t="str">
        <f>TEXT(Table1[[#This Row],[Date]],"[$-en-US]ddd")</f>
        <v>Wed</v>
      </c>
    </row>
    <row r="2783" spans="1:11" x14ac:dyDescent="0.25">
      <c r="A2783">
        <v>16</v>
      </c>
      <c r="B2783" t="s">
        <v>9</v>
      </c>
      <c r="C2783">
        <v>25.96</v>
      </c>
      <c r="D2783" t="s">
        <v>16</v>
      </c>
      <c r="E2783" t="s">
        <v>15</v>
      </c>
      <c r="F2783" t="s">
        <v>38</v>
      </c>
      <c r="G2783">
        <v>3</v>
      </c>
      <c r="H2783">
        <v>1</v>
      </c>
      <c r="I2783" s="13">
        <v>45686</v>
      </c>
      <c r="J2783" s="13" t="str">
        <f>TEXT(Table1[[#This Row],[Date]],"[$-en-US]mmm yyyy")</f>
        <v>Jan 2025</v>
      </c>
      <c r="K2783" s="13" t="str">
        <f>TEXT(Table1[[#This Row],[Date]],"[$-en-US]ddd")</f>
        <v>Wed</v>
      </c>
    </row>
    <row r="2784" spans="1:11" x14ac:dyDescent="0.25">
      <c r="A2784">
        <v>19</v>
      </c>
      <c r="B2784" t="s">
        <v>9</v>
      </c>
      <c r="C2784">
        <v>30.86</v>
      </c>
      <c r="D2784" t="s">
        <v>17</v>
      </c>
      <c r="E2784" t="s">
        <v>18</v>
      </c>
      <c r="F2784" t="s">
        <v>38</v>
      </c>
      <c r="G2784">
        <v>3</v>
      </c>
      <c r="H2784">
        <v>1</v>
      </c>
      <c r="I2784" s="13">
        <v>45686</v>
      </c>
      <c r="J2784" s="13" t="str">
        <f>TEXT(Table1[[#This Row],[Date]],"[$-en-US]mmm yyyy")</f>
        <v>Jan 2025</v>
      </c>
      <c r="K2784" s="13" t="str">
        <f>TEXT(Table1[[#This Row],[Date]],"[$-en-US]ddd")</f>
        <v>Wed</v>
      </c>
    </row>
    <row r="2785" spans="1:11" x14ac:dyDescent="0.25">
      <c r="A2785">
        <v>19</v>
      </c>
      <c r="B2785" t="s">
        <v>9</v>
      </c>
      <c r="C2785">
        <v>21.06</v>
      </c>
      <c r="D2785" t="s">
        <v>24</v>
      </c>
      <c r="E2785" t="s">
        <v>18</v>
      </c>
      <c r="F2785" t="s">
        <v>38</v>
      </c>
      <c r="G2785">
        <v>3</v>
      </c>
      <c r="H2785">
        <v>1</v>
      </c>
      <c r="I2785" s="13">
        <v>45686</v>
      </c>
      <c r="J2785" s="13" t="str">
        <f>TEXT(Table1[[#This Row],[Date]],"[$-en-US]mmm yyyy")</f>
        <v>Jan 2025</v>
      </c>
      <c r="K2785" s="13" t="str">
        <f>TEXT(Table1[[#This Row],[Date]],"[$-en-US]ddd")</f>
        <v>Wed</v>
      </c>
    </row>
    <row r="2786" spans="1:11" x14ac:dyDescent="0.25">
      <c r="A2786">
        <v>9</v>
      </c>
      <c r="B2786" t="s">
        <v>9</v>
      </c>
      <c r="C2786">
        <v>30.86</v>
      </c>
      <c r="D2786" t="s">
        <v>17</v>
      </c>
      <c r="E2786" t="s">
        <v>11</v>
      </c>
      <c r="F2786" t="s">
        <v>38</v>
      </c>
      <c r="G2786">
        <v>4</v>
      </c>
      <c r="H2786">
        <v>1</v>
      </c>
      <c r="I2786" s="13">
        <v>45687</v>
      </c>
      <c r="J2786" s="13" t="str">
        <f>TEXT(Table1[[#This Row],[Date]],"[$-en-US]mmm yyyy")</f>
        <v>Jan 2025</v>
      </c>
      <c r="K2786" s="13" t="str">
        <f>TEXT(Table1[[#This Row],[Date]],"[$-en-US]ddd")</f>
        <v>Thu</v>
      </c>
    </row>
    <row r="2787" spans="1:11" x14ac:dyDescent="0.25">
      <c r="A2787">
        <v>10</v>
      </c>
      <c r="B2787" t="s">
        <v>9</v>
      </c>
      <c r="C2787">
        <v>30.86</v>
      </c>
      <c r="D2787" t="s">
        <v>17</v>
      </c>
      <c r="E2787" t="s">
        <v>11</v>
      </c>
      <c r="F2787" t="s">
        <v>38</v>
      </c>
      <c r="G2787">
        <v>4</v>
      </c>
      <c r="H2787">
        <v>1</v>
      </c>
      <c r="I2787" s="13">
        <v>45687</v>
      </c>
      <c r="J2787" s="13" t="str">
        <f>TEXT(Table1[[#This Row],[Date]],"[$-en-US]mmm yyyy")</f>
        <v>Jan 2025</v>
      </c>
      <c r="K2787" s="13" t="str">
        <f>TEXT(Table1[[#This Row],[Date]],"[$-en-US]ddd")</f>
        <v>Thu</v>
      </c>
    </row>
    <row r="2788" spans="1:11" x14ac:dyDescent="0.25">
      <c r="A2788">
        <v>11</v>
      </c>
      <c r="B2788" t="s">
        <v>9</v>
      </c>
      <c r="C2788">
        <v>25.96</v>
      </c>
      <c r="D2788" t="s">
        <v>22</v>
      </c>
      <c r="E2788" t="s">
        <v>11</v>
      </c>
      <c r="F2788" t="s">
        <v>38</v>
      </c>
      <c r="G2788">
        <v>4</v>
      </c>
      <c r="H2788">
        <v>1</v>
      </c>
      <c r="I2788" s="13">
        <v>45687</v>
      </c>
      <c r="J2788" s="13" t="str">
        <f>TEXT(Table1[[#This Row],[Date]],"[$-en-US]mmm yyyy")</f>
        <v>Jan 2025</v>
      </c>
      <c r="K2788" s="13" t="str">
        <f>TEXT(Table1[[#This Row],[Date]],"[$-en-US]ddd")</f>
        <v>Thu</v>
      </c>
    </row>
    <row r="2789" spans="1:11" x14ac:dyDescent="0.25">
      <c r="A2789">
        <v>12</v>
      </c>
      <c r="B2789" t="s">
        <v>9</v>
      </c>
      <c r="C2789">
        <v>35.76</v>
      </c>
      <c r="D2789" t="s">
        <v>14</v>
      </c>
      <c r="E2789" t="s">
        <v>15</v>
      </c>
      <c r="F2789" t="s">
        <v>38</v>
      </c>
      <c r="G2789">
        <v>4</v>
      </c>
      <c r="H2789">
        <v>1</v>
      </c>
      <c r="I2789" s="13">
        <v>45687</v>
      </c>
      <c r="J2789" s="13" t="str">
        <f>TEXT(Table1[[#This Row],[Date]],"[$-en-US]mmm yyyy")</f>
        <v>Jan 2025</v>
      </c>
      <c r="K2789" s="13" t="str">
        <f>TEXT(Table1[[#This Row],[Date]],"[$-en-US]ddd")</f>
        <v>Thu</v>
      </c>
    </row>
    <row r="2790" spans="1:11" x14ac:dyDescent="0.25">
      <c r="A2790">
        <v>13</v>
      </c>
      <c r="B2790" t="s">
        <v>9</v>
      </c>
      <c r="C2790">
        <v>25.96</v>
      </c>
      <c r="D2790" t="s">
        <v>16</v>
      </c>
      <c r="E2790" t="s">
        <v>15</v>
      </c>
      <c r="F2790" t="s">
        <v>38</v>
      </c>
      <c r="G2790">
        <v>4</v>
      </c>
      <c r="H2790">
        <v>1</v>
      </c>
      <c r="I2790" s="13">
        <v>45687</v>
      </c>
      <c r="J2790" s="13" t="str">
        <f>TEXT(Table1[[#This Row],[Date]],"[$-en-US]mmm yyyy")</f>
        <v>Jan 2025</v>
      </c>
      <c r="K2790" s="13" t="str">
        <f>TEXT(Table1[[#This Row],[Date]],"[$-en-US]ddd")</f>
        <v>Thu</v>
      </c>
    </row>
    <row r="2791" spans="1:11" x14ac:dyDescent="0.25">
      <c r="A2791">
        <v>14</v>
      </c>
      <c r="B2791" t="s">
        <v>9</v>
      </c>
      <c r="C2791">
        <v>30.86</v>
      </c>
      <c r="D2791" t="s">
        <v>17</v>
      </c>
      <c r="E2791" t="s">
        <v>15</v>
      </c>
      <c r="F2791" t="s">
        <v>38</v>
      </c>
      <c r="G2791">
        <v>4</v>
      </c>
      <c r="H2791">
        <v>1</v>
      </c>
      <c r="I2791" s="13">
        <v>45687</v>
      </c>
      <c r="J2791" s="13" t="str">
        <f>TEXT(Table1[[#This Row],[Date]],"[$-en-US]mmm yyyy")</f>
        <v>Jan 2025</v>
      </c>
      <c r="K2791" s="13" t="str">
        <f>TEXT(Table1[[#This Row],[Date]],"[$-en-US]ddd")</f>
        <v>Thu</v>
      </c>
    </row>
    <row r="2792" spans="1:11" x14ac:dyDescent="0.25">
      <c r="A2792">
        <v>17</v>
      </c>
      <c r="B2792" t="s">
        <v>9</v>
      </c>
      <c r="C2792">
        <v>35.76</v>
      </c>
      <c r="D2792" t="s">
        <v>14</v>
      </c>
      <c r="E2792" t="s">
        <v>18</v>
      </c>
      <c r="F2792" t="s">
        <v>38</v>
      </c>
      <c r="G2792">
        <v>4</v>
      </c>
      <c r="H2792">
        <v>1</v>
      </c>
      <c r="I2792" s="13">
        <v>45687</v>
      </c>
      <c r="J2792" s="13" t="str">
        <f>TEXT(Table1[[#This Row],[Date]],"[$-en-US]mmm yyyy")</f>
        <v>Jan 2025</v>
      </c>
      <c r="K2792" s="13" t="str">
        <f>TEXT(Table1[[#This Row],[Date]],"[$-en-US]ddd")</f>
        <v>Thu</v>
      </c>
    </row>
    <row r="2793" spans="1:11" x14ac:dyDescent="0.25">
      <c r="A2793">
        <v>18</v>
      </c>
      <c r="B2793" t="s">
        <v>9</v>
      </c>
      <c r="C2793">
        <v>30.86</v>
      </c>
      <c r="D2793" t="s">
        <v>17</v>
      </c>
      <c r="E2793" t="s">
        <v>18</v>
      </c>
      <c r="F2793" t="s">
        <v>38</v>
      </c>
      <c r="G2793">
        <v>4</v>
      </c>
      <c r="H2793">
        <v>1</v>
      </c>
      <c r="I2793" s="13">
        <v>45687</v>
      </c>
      <c r="J2793" s="13" t="str">
        <f>TEXT(Table1[[#This Row],[Date]],"[$-en-US]mmm yyyy")</f>
        <v>Jan 2025</v>
      </c>
      <c r="K2793" s="13" t="str">
        <f>TEXT(Table1[[#This Row],[Date]],"[$-en-US]ddd")</f>
        <v>Thu</v>
      </c>
    </row>
    <row r="2794" spans="1:11" x14ac:dyDescent="0.25">
      <c r="A2794">
        <v>18</v>
      </c>
      <c r="B2794" t="s">
        <v>9</v>
      </c>
      <c r="C2794">
        <v>25.96</v>
      </c>
      <c r="D2794" t="s">
        <v>22</v>
      </c>
      <c r="E2794" t="s">
        <v>18</v>
      </c>
      <c r="F2794" t="s">
        <v>38</v>
      </c>
      <c r="G2794">
        <v>4</v>
      </c>
      <c r="H2794">
        <v>1</v>
      </c>
      <c r="I2794" s="13">
        <v>45687</v>
      </c>
      <c r="J2794" s="13" t="str">
        <f>TEXT(Table1[[#This Row],[Date]],"[$-en-US]mmm yyyy")</f>
        <v>Jan 2025</v>
      </c>
      <c r="K2794" s="13" t="str">
        <f>TEXT(Table1[[#This Row],[Date]],"[$-en-US]ddd")</f>
        <v>Thu</v>
      </c>
    </row>
    <row r="2795" spans="1:11" x14ac:dyDescent="0.25">
      <c r="A2795">
        <v>8</v>
      </c>
      <c r="B2795" t="s">
        <v>9</v>
      </c>
      <c r="C2795">
        <v>25.96</v>
      </c>
      <c r="D2795" t="s">
        <v>16</v>
      </c>
      <c r="E2795" t="s">
        <v>11</v>
      </c>
      <c r="F2795" t="s">
        <v>38</v>
      </c>
      <c r="G2795">
        <v>5</v>
      </c>
      <c r="H2795">
        <v>1</v>
      </c>
      <c r="I2795" s="13">
        <v>45688</v>
      </c>
      <c r="J2795" s="13" t="str">
        <f>TEXT(Table1[[#This Row],[Date]],"[$-en-US]mmm yyyy")</f>
        <v>Jan 2025</v>
      </c>
      <c r="K2795" s="13" t="str">
        <f>TEXT(Table1[[#This Row],[Date]],"[$-en-US]ddd")</f>
        <v>Fri</v>
      </c>
    </row>
    <row r="2796" spans="1:11" x14ac:dyDescent="0.25">
      <c r="A2796">
        <v>8</v>
      </c>
      <c r="B2796" t="s">
        <v>9</v>
      </c>
      <c r="C2796">
        <v>30.86</v>
      </c>
      <c r="D2796" t="s">
        <v>17</v>
      </c>
      <c r="E2796" t="s">
        <v>11</v>
      </c>
      <c r="F2796" t="s">
        <v>38</v>
      </c>
      <c r="G2796">
        <v>5</v>
      </c>
      <c r="H2796">
        <v>1</v>
      </c>
      <c r="I2796" s="13">
        <v>45688</v>
      </c>
      <c r="J2796" s="13" t="str">
        <f>TEXT(Table1[[#This Row],[Date]],"[$-en-US]mmm yyyy")</f>
        <v>Jan 2025</v>
      </c>
      <c r="K2796" s="13" t="str">
        <f>TEXT(Table1[[#This Row],[Date]],"[$-en-US]ddd")</f>
        <v>Fri</v>
      </c>
    </row>
    <row r="2797" spans="1:11" x14ac:dyDescent="0.25">
      <c r="A2797">
        <v>9</v>
      </c>
      <c r="B2797" t="s">
        <v>9</v>
      </c>
      <c r="C2797">
        <v>30.86</v>
      </c>
      <c r="D2797" t="s">
        <v>17</v>
      </c>
      <c r="E2797" t="s">
        <v>11</v>
      </c>
      <c r="F2797" t="s">
        <v>38</v>
      </c>
      <c r="G2797">
        <v>5</v>
      </c>
      <c r="H2797">
        <v>1</v>
      </c>
      <c r="I2797" s="13">
        <v>45688</v>
      </c>
      <c r="J2797" s="13" t="str">
        <f>TEXT(Table1[[#This Row],[Date]],"[$-en-US]mmm yyyy")</f>
        <v>Jan 2025</v>
      </c>
      <c r="K2797" s="13" t="str">
        <f>TEXT(Table1[[#This Row],[Date]],"[$-en-US]ddd")</f>
        <v>Fri</v>
      </c>
    </row>
    <row r="2798" spans="1:11" x14ac:dyDescent="0.25">
      <c r="A2798">
        <v>9</v>
      </c>
      <c r="B2798" t="s">
        <v>9</v>
      </c>
      <c r="C2798">
        <v>35.76</v>
      </c>
      <c r="D2798" t="s">
        <v>19</v>
      </c>
      <c r="E2798" t="s">
        <v>11</v>
      </c>
      <c r="F2798" t="s">
        <v>38</v>
      </c>
      <c r="G2798">
        <v>5</v>
      </c>
      <c r="H2798">
        <v>1</v>
      </c>
      <c r="I2798" s="13">
        <v>45688</v>
      </c>
      <c r="J2798" s="13" t="str">
        <f>TEXT(Table1[[#This Row],[Date]],"[$-en-US]mmm yyyy")</f>
        <v>Jan 2025</v>
      </c>
      <c r="K2798" s="13" t="str">
        <f>TEXT(Table1[[#This Row],[Date]],"[$-en-US]ddd")</f>
        <v>Fri</v>
      </c>
    </row>
    <row r="2799" spans="1:11" x14ac:dyDescent="0.25">
      <c r="A2799">
        <v>9</v>
      </c>
      <c r="B2799" t="s">
        <v>9</v>
      </c>
      <c r="C2799">
        <v>35.76</v>
      </c>
      <c r="D2799" t="s">
        <v>27</v>
      </c>
      <c r="E2799" t="s">
        <v>11</v>
      </c>
      <c r="F2799" t="s">
        <v>38</v>
      </c>
      <c r="G2799">
        <v>5</v>
      </c>
      <c r="H2799">
        <v>1</v>
      </c>
      <c r="I2799" s="13">
        <v>45688</v>
      </c>
      <c r="J2799" s="13" t="str">
        <f>TEXT(Table1[[#This Row],[Date]],"[$-en-US]mmm yyyy")</f>
        <v>Jan 2025</v>
      </c>
      <c r="K2799" s="13" t="str">
        <f>TEXT(Table1[[#This Row],[Date]],"[$-en-US]ddd")</f>
        <v>Fri</v>
      </c>
    </row>
    <row r="2800" spans="1:11" x14ac:dyDescent="0.25">
      <c r="A2800">
        <v>9</v>
      </c>
      <c r="B2800" t="s">
        <v>9</v>
      </c>
      <c r="C2800">
        <v>35.76</v>
      </c>
      <c r="D2800" t="s">
        <v>27</v>
      </c>
      <c r="E2800" t="s">
        <v>11</v>
      </c>
      <c r="F2800" t="s">
        <v>38</v>
      </c>
      <c r="G2800">
        <v>5</v>
      </c>
      <c r="H2800">
        <v>1</v>
      </c>
      <c r="I2800" s="13">
        <v>45688</v>
      </c>
      <c r="J2800" s="13" t="str">
        <f>TEXT(Table1[[#This Row],[Date]],"[$-en-US]mmm yyyy")</f>
        <v>Jan 2025</v>
      </c>
      <c r="K2800" s="13" t="str">
        <f>TEXT(Table1[[#This Row],[Date]],"[$-en-US]ddd")</f>
        <v>Fri</v>
      </c>
    </row>
    <row r="2801" spans="1:11" x14ac:dyDescent="0.25">
      <c r="A2801">
        <v>12</v>
      </c>
      <c r="B2801" t="s">
        <v>9</v>
      </c>
      <c r="C2801">
        <v>35.76</v>
      </c>
      <c r="D2801" t="s">
        <v>10</v>
      </c>
      <c r="E2801" t="s">
        <v>15</v>
      </c>
      <c r="F2801" t="s">
        <v>38</v>
      </c>
      <c r="G2801">
        <v>5</v>
      </c>
      <c r="H2801">
        <v>1</v>
      </c>
      <c r="I2801" s="13">
        <v>45688</v>
      </c>
      <c r="J2801" s="13" t="str">
        <f>TEXT(Table1[[#This Row],[Date]],"[$-en-US]mmm yyyy")</f>
        <v>Jan 2025</v>
      </c>
      <c r="K2801" s="13" t="str">
        <f>TEXT(Table1[[#This Row],[Date]],"[$-en-US]ddd")</f>
        <v>Fri</v>
      </c>
    </row>
    <row r="2802" spans="1:11" x14ac:dyDescent="0.25">
      <c r="A2802">
        <v>12</v>
      </c>
      <c r="B2802" t="s">
        <v>9</v>
      </c>
      <c r="C2802">
        <v>35.76</v>
      </c>
      <c r="D2802" t="s">
        <v>10</v>
      </c>
      <c r="E2802" t="s">
        <v>15</v>
      </c>
      <c r="F2802" t="s">
        <v>38</v>
      </c>
      <c r="G2802">
        <v>5</v>
      </c>
      <c r="H2802">
        <v>1</v>
      </c>
      <c r="I2802" s="13">
        <v>45688</v>
      </c>
      <c r="J2802" s="13" t="str">
        <f>TEXT(Table1[[#This Row],[Date]],"[$-en-US]mmm yyyy")</f>
        <v>Jan 2025</v>
      </c>
      <c r="K2802" s="13" t="str">
        <f>TEXT(Table1[[#This Row],[Date]],"[$-en-US]ddd")</f>
        <v>Fri</v>
      </c>
    </row>
    <row r="2803" spans="1:11" x14ac:dyDescent="0.25">
      <c r="A2803">
        <v>14</v>
      </c>
      <c r="B2803" t="s">
        <v>9</v>
      </c>
      <c r="C2803">
        <v>35.76</v>
      </c>
      <c r="D2803" t="s">
        <v>27</v>
      </c>
      <c r="E2803" t="s">
        <v>15</v>
      </c>
      <c r="F2803" t="s">
        <v>38</v>
      </c>
      <c r="G2803">
        <v>5</v>
      </c>
      <c r="H2803">
        <v>1</v>
      </c>
      <c r="I2803" s="13">
        <v>45688</v>
      </c>
      <c r="J2803" s="13" t="str">
        <f>TEXT(Table1[[#This Row],[Date]],"[$-en-US]mmm yyyy")</f>
        <v>Jan 2025</v>
      </c>
      <c r="K2803" s="13" t="str">
        <f>TEXT(Table1[[#This Row],[Date]],"[$-en-US]ddd")</f>
        <v>Fri</v>
      </c>
    </row>
    <row r="2804" spans="1:11" x14ac:dyDescent="0.25">
      <c r="A2804">
        <v>16</v>
      </c>
      <c r="B2804" t="s">
        <v>9</v>
      </c>
      <c r="C2804">
        <v>30.86</v>
      </c>
      <c r="D2804" t="s">
        <v>17</v>
      </c>
      <c r="E2804" t="s">
        <v>15</v>
      </c>
      <c r="F2804" t="s">
        <v>38</v>
      </c>
      <c r="G2804">
        <v>5</v>
      </c>
      <c r="H2804">
        <v>1</v>
      </c>
      <c r="I2804" s="13">
        <v>45688</v>
      </c>
      <c r="J2804" s="13" t="str">
        <f>TEXT(Table1[[#This Row],[Date]],"[$-en-US]mmm yyyy")</f>
        <v>Jan 2025</v>
      </c>
      <c r="K2804" s="13" t="str">
        <f>TEXT(Table1[[#This Row],[Date]],"[$-en-US]ddd")</f>
        <v>Fri</v>
      </c>
    </row>
    <row r="2805" spans="1:11" x14ac:dyDescent="0.25">
      <c r="A2805">
        <v>22</v>
      </c>
      <c r="B2805" t="s">
        <v>9</v>
      </c>
      <c r="C2805">
        <v>30.86</v>
      </c>
      <c r="D2805" t="s">
        <v>17</v>
      </c>
      <c r="E2805" t="s">
        <v>18</v>
      </c>
      <c r="F2805" t="s">
        <v>38</v>
      </c>
      <c r="G2805">
        <v>5</v>
      </c>
      <c r="H2805">
        <v>1</v>
      </c>
      <c r="I2805" s="13">
        <v>45688</v>
      </c>
      <c r="J2805" s="13" t="str">
        <f>TEXT(Table1[[#This Row],[Date]],"[$-en-US]mmm yyyy")</f>
        <v>Jan 2025</v>
      </c>
      <c r="K2805" s="13" t="str">
        <f>TEXT(Table1[[#This Row],[Date]],"[$-en-US]ddd")</f>
        <v>Fri</v>
      </c>
    </row>
    <row r="2806" spans="1:11" x14ac:dyDescent="0.25">
      <c r="A2806">
        <v>22</v>
      </c>
      <c r="B2806" t="s">
        <v>9</v>
      </c>
      <c r="C2806">
        <v>25.96</v>
      </c>
      <c r="D2806" t="s">
        <v>16</v>
      </c>
      <c r="E2806" t="s">
        <v>18</v>
      </c>
      <c r="F2806" t="s">
        <v>38</v>
      </c>
      <c r="G2806">
        <v>5</v>
      </c>
      <c r="H2806">
        <v>1</v>
      </c>
      <c r="I2806" s="13">
        <v>45688</v>
      </c>
      <c r="J2806" s="13" t="str">
        <f>TEXT(Table1[[#This Row],[Date]],"[$-en-US]mmm yyyy")</f>
        <v>Jan 2025</v>
      </c>
      <c r="K2806" s="13" t="str">
        <f>TEXT(Table1[[#This Row],[Date]],"[$-en-US]ddd")</f>
        <v>Fri</v>
      </c>
    </row>
    <row r="2807" spans="1:11" x14ac:dyDescent="0.25">
      <c r="A2807">
        <v>8</v>
      </c>
      <c r="B2807" t="s">
        <v>9</v>
      </c>
      <c r="C2807">
        <v>30.86</v>
      </c>
      <c r="D2807" t="s">
        <v>17</v>
      </c>
      <c r="E2807" t="s">
        <v>11</v>
      </c>
      <c r="F2807" t="s">
        <v>39</v>
      </c>
      <c r="G2807">
        <v>6</v>
      </c>
      <c r="H2807">
        <v>2</v>
      </c>
      <c r="I2807" s="13">
        <v>45689</v>
      </c>
      <c r="J2807" s="13" t="str">
        <f>TEXT(Table1[[#This Row],[Date]],"[$-en-US]mmm yyyy")</f>
        <v>Feb 2025</v>
      </c>
      <c r="K2807" s="13" t="str">
        <f>TEXT(Table1[[#This Row],[Date]],"[$-en-US]ddd")</f>
        <v>Sat</v>
      </c>
    </row>
    <row r="2808" spans="1:11" x14ac:dyDescent="0.25">
      <c r="A2808">
        <v>10</v>
      </c>
      <c r="B2808" t="s">
        <v>9</v>
      </c>
      <c r="C2808">
        <v>30.86</v>
      </c>
      <c r="D2808" t="s">
        <v>17</v>
      </c>
      <c r="E2808" t="s">
        <v>11</v>
      </c>
      <c r="F2808" t="s">
        <v>39</v>
      </c>
      <c r="G2808">
        <v>6</v>
      </c>
      <c r="H2808">
        <v>2</v>
      </c>
      <c r="I2808" s="13">
        <v>45689</v>
      </c>
      <c r="J2808" s="13" t="str">
        <f>TEXT(Table1[[#This Row],[Date]],"[$-en-US]mmm yyyy")</f>
        <v>Feb 2025</v>
      </c>
      <c r="K2808" s="13" t="str">
        <f>TEXT(Table1[[#This Row],[Date]],"[$-en-US]ddd")</f>
        <v>Sat</v>
      </c>
    </row>
    <row r="2809" spans="1:11" x14ac:dyDescent="0.25">
      <c r="A2809">
        <v>13</v>
      </c>
      <c r="B2809" t="s">
        <v>9</v>
      </c>
      <c r="C2809">
        <v>25.96</v>
      </c>
      <c r="D2809" t="s">
        <v>22</v>
      </c>
      <c r="E2809" t="s">
        <v>15</v>
      </c>
      <c r="F2809" t="s">
        <v>39</v>
      </c>
      <c r="G2809">
        <v>6</v>
      </c>
      <c r="H2809">
        <v>2</v>
      </c>
      <c r="I2809" s="13">
        <v>45689</v>
      </c>
      <c r="J2809" s="13" t="str">
        <f>TEXT(Table1[[#This Row],[Date]],"[$-en-US]mmm yyyy")</f>
        <v>Feb 2025</v>
      </c>
      <c r="K2809" s="13" t="str">
        <f>TEXT(Table1[[#This Row],[Date]],"[$-en-US]ddd")</f>
        <v>Sat</v>
      </c>
    </row>
    <row r="2810" spans="1:11" x14ac:dyDescent="0.25">
      <c r="A2810">
        <v>13</v>
      </c>
      <c r="B2810" t="s">
        <v>9</v>
      </c>
      <c r="C2810">
        <v>25.96</v>
      </c>
      <c r="D2810" t="s">
        <v>22</v>
      </c>
      <c r="E2810" t="s">
        <v>15</v>
      </c>
      <c r="F2810" t="s">
        <v>39</v>
      </c>
      <c r="G2810">
        <v>6</v>
      </c>
      <c r="H2810">
        <v>2</v>
      </c>
      <c r="I2810" s="13">
        <v>45689</v>
      </c>
      <c r="J2810" s="13" t="str">
        <f>TEXT(Table1[[#This Row],[Date]],"[$-en-US]mmm yyyy")</f>
        <v>Feb 2025</v>
      </c>
      <c r="K2810" s="13" t="str">
        <f>TEXT(Table1[[#This Row],[Date]],"[$-en-US]ddd")</f>
        <v>Sat</v>
      </c>
    </row>
    <row r="2811" spans="1:11" x14ac:dyDescent="0.25">
      <c r="A2811">
        <v>14</v>
      </c>
      <c r="B2811" t="s">
        <v>9</v>
      </c>
      <c r="C2811">
        <v>35.76</v>
      </c>
      <c r="D2811" t="s">
        <v>27</v>
      </c>
      <c r="E2811" t="s">
        <v>15</v>
      </c>
      <c r="F2811" t="s">
        <v>39</v>
      </c>
      <c r="G2811">
        <v>6</v>
      </c>
      <c r="H2811">
        <v>2</v>
      </c>
      <c r="I2811" s="13">
        <v>45689</v>
      </c>
      <c r="J2811" s="13" t="str">
        <f>TEXT(Table1[[#This Row],[Date]],"[$-en-US]mmm yyyy")</f>
        <v>Feb 2025</v>
      </c>
      <c r="K2811" s="13" t="str">
        <f>TEXT(Table1[[#This Row],[Date]],"[$-en-US]ddd")</f>
        <v>Sat</v>
      </c>
    </row>
    <row r="2812" spans="1:11" x14ac:dyDescent="0.25">
      <c r="A2812">
        <v>14</v>
      </c>
      <c r="B2812" t="s">
        <v>9</v>
      </c>
      <c r="C2812">
        <v>35.76</v>
      </c>
      <c r="D2812" t="s">
        <v>27</v>
      </c>
      <c r="E2812" t="s">
        <v>15</v>
      </c>
      <c r="F2812" t="s">
        <v>39</v>
      </c>
      <c r="G2812">
        <v>6</v>
      </c>
      <c r="H2812">
        <v>2</v>
      </c>
      <c r="I2812" s="13">
        <v>45689</v>
      </c>
      <c r="J2812" s="13" t="str">
        <f>TEXT(Table1[[#This Row],[Date]],"[$-en-US]mmm yyyy")</f>
        <v>Feb 2025</v>
      </c>
      <c r="K2812" s="13" t="str">
        <f>TEXT(Table1[[#This Row],[Date]],"[$-en-US]ddd")</f>
        <v>Sat</v>
      </c>
    </row>
    <row r="2813" spans="1:11" x14ac:dyDescent="0.25">
      <c r="A2813">
        <v>15</v>
      </c>
      <c r="B2813" t="s">
        <v>9</v>
      </c>
      <c r="C2813">
        <v>35.76</v>
      </c>
      <c r="D2813" t="s">
        <v>10</v>
      </c>
      <c r="E2813" t="s">
        <v>15</v>
      </c>
      <c r="F2813" t="s">
        <v>39</v>
      </c>
      <c r="G2813">
        <v>6</v>
      </c>
      <c r="H2813">
        <v>2</v>
      </c>
      <c r="I2813" s="13">
        <v>45689</v>
      </c>
      <c r="J2813" s="13" t="str">
        <f>TEXT(Table1[[#This Row],[Date]],"[$-en-US]mmm yyyy")</f>
        <v>Feb 2025</v>
      </c>
      <c r="K2813" s="13" t="str">
        <f>TEXT(Table1[[#This Row],[Date]],"[$-en-US]ddd")</f>
        <v>Sat</v>
      </c>
    </row>
    <row r="2814" spans="1:11" x14ac:dyDescent="0.25">
      <c r="A2814">
        <v>18</v>
      </c>
      <c r="B2814" t="s">
        <v>9</v>
      </c>
      <c r="C2814">
        <v>35.76</v>
      </c>
      <c r="D2814" t="s">
        <v>27</v>
      </c>
      <c r="E2814" t="s">
        <v>18</v>
      </c>
      <c r="F2814" t="s">
        <v>39</v>
      </c>
      <c r="G2814">
        <v>6</v>
      </c>
      <c r="H2814">
        <v>2</v>
      </c>
      <c r="I2814" s="13">
        <v>45689</v>
      </c>
      <c r="J2814" s="13" t="str">
        <f>TEXT(Table1[[#This Row],[Date]],"[$-en-US]mmm yyyy")</f>
        <v>Feb 2025</v>
      </c>
      <c r="K2814" s="13" t="str">
        <f>TEXT(Table1[[#This Row],[Date]],"[$-en-US]ddd")</f>
        <v>Sat</v>
      </c>
    </row>
    <row r="2815" spans="1:11" x14ac:dyDescent="0.25">
      <c r="A2815">
        <v>19</v>
      </c>
      <c r="B2815" t="s">
        <v>9</v>
      </c>
      <c r="C2815">
        <v>30.86</v>
      </c>
      <c r="D2815" t="s">
        <v>17</v>
      </c>
      <c r="E2815" t="s">
        <v>18</v>
      </c>
      <c r="F2815" t="s">
        <v>39</v>
      </c>
      <c r="G2815">
        <v>6</v>
      </c>
      <c r="H2815">
        <v>2</v>
      </c>
      <c r="I2815" s="13">
        <v>45689</v>
      </c>
      <c r="J2815" s="13" t="str">
        <f>TEXT(Table1[[#This Row],[Date]],"[$-en-US]mmm yyyy")</f>
        <v>Feb 2025</v>
      </c>
      <c r="K2815" s="13" t="str">
        <f>TEXT(Table1[[#This Row],[Date]],"[$-en-US]ddd")</f>
        <v>Sat</v>
      </c>
    </row>
    <row r="2816" spans="1:11" x14ac:dyDescent="0.25">
      <c r="A2816">
        <v>19</v>
      </c>
      <c r="B2816" t="s">
        <v>9</v>
      </c>
      <c r="C2816">
        <v>30.86</v>
      </c>
      <c r="D2816" t="s">
        <v>17</v>
      </c>
      <c r="E2816" t="s">
        <v>18</v>
      </c>
      <c r="F2816" t="s">
        <v>39</v>
      </c>
      <c r="G2816">
        <v>6</v>
      </c>
      <c r="H2816">
        <v>2</v>
      </c>
      <c r="I2816" s="13">
        <v>45689</v>
      </c>
      <c r="J2816" s="13" t="str">
        <f>TEXT(Table1[[#This Row],[Date]],"[$-en-US]mmm yyyy")</f>
        <v>Feb 2025</v>
      </c>
      <c r="K2816" s="13" t="str">
        <f>TEXT(Table1[[#This Row],[Date]],"[$-en-US]ddd")</f>
        <v>Sat</v>
      </c>
    </row>
    <row r="2817" spans="1:11" x14ac:dyDescent="0.25">
      <c r="A2817">
        <v>21</v>
      </c>
      <c r="B2817" t="s">
        <v>9</v>
      </c>
      <c r="C2817">
        <v>30.86</v>
      </c>
      <c r="D2817" t="s">
        <v>17</v>
      </c>
      <c r="E2817" t="s">
        <v>18</v>
      </c>
      <c r="F2817" t="s">
        <v>39</v>
      </c>
      <c r="G2817">
        <v>6</v>
      </c>
      <c r="H2817">
        <v>2</v>
      </c>
      <c r="I2817" s="13">
        <v>45689</v>
      </c>
      <c r="J2817" s="13" t="str">
        <f>TEXT(Table1[[#This Row],[Date]],"[$-en-US]mmm yyyy")</f>
        <v>Feb 2025</v>
      </c>
      <c r="K2817" s="13" t="str">
        <f>TEXT(Table1[[#This Row],[Date]],"[$-en-US]ddd")</f>
        <v>Sat</v>
      </c>
    </row>
    <row r="2818" spans="1:11" x14ac:dyDescent="0.25">
      <c r="A2818">
        <v>10</v>
      </c>
      <c r="B2818" t="s">
        <v>9</v>
      </c>
      <c r="C2818">
        <v>35.76</v>
      </c>
      <c r="D2818" t="s">
        <v>27</v>
      </c>
      <c r="E2818" t="s">
        <v>11</v>
      </c>
      <c r="F2818" t="s">
        <v>39</v>
      </c>
      <c r="G2818">
        <v>7</v>
      </c>
      <c r="H2818">
        <v>2</v>
      </c>
      <c r="I2818" s="13">
        <v>45690</v>
      </c>
      <c r="J2818" s="13" t="str">
        <f>TEXT(Table1[[#This Row],[Date]],"[$-en-US]mmm yyyy")</f>
        <v>Feb 2025</v>
      </c>
      <c r="K2818" s="13" t="str">
        <f>TEXT(Table1[[#This Row],[Date]],"[$-en-US]ddd")</f>
        <v>Sun</v>
      </c>
    </row>
    <row r="2819" spans="1:11" x14ac:dyDescent="0.25">
      <c r="A2819">
        <v>10</v>
      </c>
      <c r="B2819" t="s">
        <v>9</v>
      </c>
      <c r="C2819">
        <v>35.76</v>
      </c>
      <c r="D2819" t="s">
        <v>27</v>
      </c>
      <c r="E2819" t="s">
        <v>11</v>
      </c>
      <c r="F2819" t="s">
        <v>39</v>
      </c>
      <c r="G2819">
        <v>7</v>
      </c>
      <c r="H2819">
        <v>2</v>
      </c>
      <c r="I2819" s="13">
        <v>45690</v>
      </c>
      <c r="J2819" s="13" t="str">
        <f>TEXT(Table1[[#This Row],[Date]],"[$-en-US]mmm yyyy")</f>
        <v>Feb 2025</v>
      </c>
      <c r="K2819" s="13" t="str">
        <f>TEXT(Table1[[#This Row],[Date]],"[$-en-US]ddd")</f>
        <v>Sun</v>
      </c>
    </row>
    <row r="2820" spans="1:11" x14ac:dyDescent="0.25">
      <c r="A2820">
        <v>12</v>
      </c>
      <c r="B2820" t="s">
        <v>9</v>
      </c>
      <c r="C2820">
        <v>35.76</v>
      </c>
      <c r="D2820" t="s">
        <v>10</v>
      </c>
      <c r="E2820" t="s">
        <v>15</v>
      </c>
      <c r="F2820" t="s">
        <v>39</v>
      </c>
      <c r="G2820">
        <v>7</v>
      </c>
      <c r="H2820">
        <v>2</v>
      </c>
      <c r="I2820" s="13">
        <v>45690</v>
      </c>
      <c r="J2820" s="13" t="str">
        <f>TEXT(Table1[[#This Row],[Date]],"[$-en-US]mmm yyyy")</f>
        <v>Feb 2025</v>
      </c>
      <c r="K2820" s="13" t="str">
        <f>TEXT(Table1[[#This Row],[Date]],"[$-en-US]ddd")</f>
        <v>Sun</v>
      </c>
    </row>
    <row r="2821" spans="1:11" x14ac:dyDescent="0.25">
      <c r="A2821">
        <v>12</v>
      </c>
      <c r="B2821" t="s">
        <v>9</v>
      </c>
      <c r="C2821">
        <v>35.76</v>
      </c>
      <c r="D2821" t="s">
        <v>10</v>
      </c>
      <c r="E2821" t="s">
        <v>15</v>
      </c>
      <c r="F2821" t="s">
        <v>39</v>
      </c>
      <c r="G2821">
        <v>7</v>
      </c>
      <c r="H2821">
        <v>2</v>
      </c>
      <c r="I2821" s="13">
        <v>45690</v>
      </c>
      <c r="J2821" s="13" t="str">
        <f>TEXT(Table1[[#This Row],[Date]],"[$-en-US]mmm yyyy")</f>
        <v>Feb 2025</v>
      </c>
      <c r="K2821" s="13" t="str">
        <f>TEXT(Table1[[#This Row],[Date]],"[$-en-US]ddd")</f>
        <v>Sun</v>
      </c>
    </row>
    <row r="2822" spans="1:11" x14ac:dyDescent="0.25">
      <c r="A2822">
        <v>14</v>
      </c>
      <c r="B2822" t="s">
        <v>9</v>
      </c>
      <c r="C2822">
        <v>30.86</v>
      </c>
      <c r="D2822" t="s">
        <v>17</v>
      </c>
      <c r="E2822" t="s">
        <v>15</v>
      </c>
      <c r="F2822" t="s">
        <v>39</v>
      </c>
      <c r="G2822">
        <v>7</v>
      </c>
      <c r="H2822">
        <v>2</v>
      </c>
      <c r="I2822" s="13">
        <v>45690</v>
      </c>
      <c r="J2822" s="13" t="str">
        <f>TEXT(Table1[[#This Row],[Date]],"[$-en-US]mmm yyyy")</f>
        <v>Feb 2025</v>
      </c>
      <c r="K2822" s="13" t="str">
        <f>TEXT(Table1[[#This Row],[Date]],"[$-en-US]ddd")</f>
        <v>Sun</v>
      </c>
    </row>
    <row r="2823" spans="1:11" x14ac:dyDescent="0.25">
      <c r="A2823">
        <v>16</v>
      </c>
      <c r="B2823" t="s">
        <v>9</v>
      </c>
      <c r="C2823">
        <v>35.76</v>
      </c>
      <c r="D2823" t="s">
        <v>10</v>
      </c>
      <c r="E2823" t="s">
        <v>15</v>
      </c>
      <c r="F2823" t="s">
        <v>39</v>
      </c>
      <c r="G2823">
        <v>7</v>
      </c>
      <c r="H2823">
        <v>2</v>
      </c>
      <c r="I2823" s="13">
        <v>45690</v>
      </c>
      <c r="J2823" s="13" t="str">
        <f>TEXT(Table1[[#This Row],[Date]],"[$-en-US]mmm yyyy")</f>
        <v>Feb 2025</v>
      </c>
      <c r="K2823" s="13" t="str">
        <f>TEXT(Table1[[#This Row],[Date]],"[$-en-US]ddd")</f>
        <v>Sun</v>
      </c>
    </row>
    <row r="2824" spans="1:11" x14ac:dyDescent="0.25">
      <c r="A2824">
        <v>16</v>
      </c>
      <c r="B2824" t="s">
        <v>9</v>
      </c>
      <c r="C2824">
        <v>35.76</v>
      </c>
      <c r="D2824" t="s">
        <v>10</v>
      </c>
      <c r="E2824" t="s">
        <v>15</v>
      </c>
      <c r="F2824" t="s">
        <v>39</v>
      </c>
      <c r="G2824">
        <v>7</v>
      </c>
      <c r="H2824">
        <v>2</v>
      </c>
      <c r="I2824" s="13">
        <v>45690</v>
      </c>
      <c r="J2824" s="13" t="str">
        <f>TEXT(Table1[[#This Row],[Date]],"[$-en-US]mmm yyyy")</f>
        <v>Feb 2025</v>
      </c>
      <c r="K2824" s="13" t="str">
        <f>TEXT(Table1[[#This Row],[Date]],"[$-en-US]ddd")</f>
        <v>Sun</v>
      </c>
    </row>
    <row r="2825" spans="1:11" x14ac:dyDescent="0.25">
      <c r="A2825">
        <v>7</v>
      </c>
      <c r="B2825" t="s">
        <v>9</v>
      </c>
      <c r="C2825">
        <v>35.76</v>
      </c>
      <c r="D2825" t="s">
        <v>27</v>
      </c>
      <c r="E2825" t="s">
        <v>11</v>
      </c>
      <c r="F2825" t="s">
        <v>39</v>
      </c>
      <c r="G2825">
        <v>1</v>
      </c>
      <c r="H2825">
        <v>2</v>
      </c>
      <c r="I2825" s="13">
        <v>45691</v>
      </c>
      <c r="J2825" s="13" t="str">
        <f>TEXT(Table1[[#This Row],[Date]],"[$-en-US]mmm yyyy")</f>
        <v>Feb 2025</v>
      </c>
      <c r="K2825" s="13" t="str">
        <f>TEXT(Table1[[#This Row],[Date]],"[$-en-US]ddd")</f>
        <v>Mon</v>
      </c>
    </row>
    <row r="2826" spans="1:11" x14ac:dyDescent="0.25">
      <c r="A2826">
        <v>7</v>
      </c>
      <c r="B2826" t="s">
        <v>9</v>
      </c>
      <c r="C2826">
        <v>30.86</v>
      </c>
      <c r="D2826" t="s">
        <v>17</v>
      </c>
      <c r="E2826" t="s">
        <v>11</v>
      </c>
      <c r="F2826" t="s">
        <v>39</v>
      </c>
      <c r="G2826">
        <v>1</v>
      </c>
      <c r="H2826">
        <v>2</v>
      </c>
      <c r="I2826" s="13">
        <v>45691</v>
      </c>
      <c r="J2826" s="13" t="str">
        <f>TEXT(Table1[[#This Row],[Date]],"[$-en-US]mmm yyyy")</f>
        <v>Feb 2025</v>
      </c>
      <c r="K2826" s="13" t="str">
        <f>TEXT(Table1[[#This Row],[Date]],"[$-en-US]ddd")</f>
        <v>Mon</v>
      </c>
    </row>
    <row r="2827" spans="1:11" x14ac:dyDescent="0.25">
      <c r="A2827">
        <v>8</v>
      </c>
      <c r="B2827" t="s">
        <v>9</v>
      </c>
      <c r="C2827">
        <v>21.06</v>
      </c>
      <c r="D2827" t="s">
        <v>24</v>
      </c>
      <c r="E2827" t="s">
        <v>11</v>
      </c>
      <c r="F2827" t="s">
        <v>39</v>
      </c>
      <c r="G2827">
        <v>1</v>
      </c>
      <c r="H2827">
        <v>2</v>
      </c>
      <c r="I2827" s="13">
        <v>45691</v>
      </c>
      <c r="J2827" s="13" t="str">
        <f>TEXT(Table1[[#This Row],[Date]],"[$-en-US]mmm yyyy")</f>
        <v>Feb 2025</v>
      </c>
      <c r="K2827" s="13" t="str">
        <f>TEXT(Table1[[#This Row],[Date]],"[$-en-US]ddd")</f>
        <v>Mon</v>
      </c>
    </row>
    <row r="2828" spans="1:11" x14ac:dyDescent="0.25">
      <c r="A2828">
        <v>8</v>
      </c>
      <c r="B2828" t="s">
        <v>9</v>
      </c>
      <c r="C2828">
        <v>30.86</v>
      </c>
      <c r="D2828" t="s">
        <v>17</v>
      </c>
      <c r="E2828" t="s">
        <v>11</v>
      </c>
      <c r="F2828" t="s">
        <v>39</v>
      </c>
      <c r="G2828">
        <v>1</v>
      </c>
      <c r="H2828">
        <v>2</v>
      </c>
      <c r="I2828" s="13">
        <v>45691</v>
      </c>
      <c r="J2828" s="13" t="str">
        <f>TEXT(Table1[[#This Row],[Date]],"[$-en-US]mmm yyyy")</f>
        <v>Feb 2025</v>
      </c>
      <c r="K2828" s="13" t="str">
        <f>TEXT(Table1[[#This Row],[Date]],"[$-en-US]ddd")</f>
        <v>Mon</v>
      </c>
    </row>
    <row r="2829" spans="1:11" x14ac:dyDescent="0.25">
      <c r="A2829">
        <v>10</v>
      </c>
      <c r="B2829" t="s">
        <v>9</v>
      </c>
      <c r="C2829">
        <v>25.96</v>
      </c>
      <c r="D2829" t="s">
        <v>16</v>
      </c>
      <c r="E2829" t="s">
        <v>11</v>
      </c>
      <c r="F2829" t="s">
        <v>39</v>
      </c>
      <c r="G2829">
        <v>1</v>
      </c>
      <c r="H2829">
        <v>2</v>
      </c>
      <c r="I2829" s="13">
        <v>45691</v>
      </c>
      <c r="J2829" s="13" t="str">
        <f>TEXT(Table1[[#This Row],[Date]],"[$-en-US]mmm yyyy")</f>
        <v>Feb 2025</v>
      </c>
      <c r="K2829" s="13" t="str">
        <f>TEXT(Table1[[#This Row],[Date]],"[$-en-US]ddd")</f>
        <v>Mon</v>
      </c>
    </row>
    <row r="2830" spans="1:11" x14ac:dyDescent="0.25">
      <c r="A2830">
        <v>10</v>
      </c>
      <c r="B2830" t="s">
        <v>9</v>
      </c>
      <c r="C2830">
        <v>35.76</v>
      </c>
      <c r="D2830" t="s">
        <v>27</v>
      </c>
      <c r="E2830" t="s">
        <v>11</v>
      </c>
      <c r="F2830" t="s">
        <v>39</v>
      </c>
      <c r="G2830">
        <v>1</v>
      </c>
      <c r="H2830">
        <v>2</v>
      </c>
      <c r="I2830" s="13">
        <v>45691</v>
      </c>
      <c r="J2830" s="13" t="str">
        <f>TEXT(Table1[[#This Row],[Date]],"[$-en-US]mmm yyyy")</f>
        <v>Feb 2025</v>
      </c>
      <c r="K2830" s="13" t="str">
        <f>TEXT(Table1[[#This Row],[Date]],"[$-en-US]ddd")</f>
        <v>Mon</v>
      </c>
    </row>
    <row r="2831" spans="1:11" x14ac:dyDescent="0.25">
      <c r="A2831">
        <v>10</v>
      </c>
      <c r="B2831" t="s">
        <v>9</v>
      </c>
      <c r="C2831">
        <v>30.86</v>
      </c>
      <c r="D2831" t="s">
        <v>17</v>
      </c>
      <c r="E2831" t="s">
        <v>11</v>
      </c>
      <c r="F2831" t="s">
        <v>39</v>
      </c>
      <c r="G2831">
        <v>1</v>
      </c>
      <c r="H2831">
        <v>2</v>
      </c>
      <c r="I2831" s="13">
        <v>45691</v>
      </c>
      <c r="J2831" s="13" t="str">
        <f>TEXT(Table1[[#This Row],[Date]],"[$-en-US]mmm yyyy")</f>
        <v>Feb 2025</v>
      </c>
      <c r="K2831" s="13" t="str">
        <f>TEXT(Table1[[#This Row],[Date]],"[$-en-US]ddd")</f>
        <v>Mon</v>
      </c>
    </row>
    <row r="2832" spans="1:11" x14ac:dyDescent="0.25">
      <c r="A2832">
        <v>13</v>
      </c>
      <c r="B2832" t="s">
        <v>9</v>
      </c>
      <c r="C2832">
        <v>35.76</v>
      </c>
      <c r="D2832" t="s">
        <v>27</v>
      </c>
      <c r="E2832" t="s">
        <v>15</v>
      </c>
      <c r="F2832" t="s">
        <v>39</v>
      </c>
      <c r="G2832">
        <v>1</v>
      </c>
      <c r="H2832">
        <v>2</v>
      </c>
      <c r="I2832" s="13">
        <v>45691</v>
      </c>
      <c r="J2832" s="13" t="str">
        <f>TEXT(Table1[[#This Row],[Date]],"[$-en-US]mmm yyyy")</f>
        <v>Feb 2025</v>
      </c>
      <c r="K2832" s="13" t="str">
        <f>TEXT(Table1[[#This Row],[Date]],"[$-en-US]ddd")</f>
        <v>Mon</v>
      </c>
    </row>
    <row r="2833" spans="1:11" x14ac:dyDescent="0.25">
      <c r="A2833">
        <v>13</v>
      </c>
      <c r="B2833" t="s">
        <v>9</v>
      </c>
      <c r="C2833">
        <v>35.76</v>
      </c>
      <c r="D2833" t="s">
        <v>27</v>
      </c>
      <c r="E2833" t="s">
        <v>15</v>
      </c>
      <c r="F2833" t="s">
        <v>39</v>
      </c>
      <c r="G2833">
        <v>1</v>
      </c>
      <c r="H2833">
        <v>2</v>
      </c>
      <c r="I2833" s="13">
        <v>45691</v>
      </c>
      <c r="J2833" s="13" t="str">
        <f>TEXT(Table1[[#This Row],[Date]],"[$-en-US]mmm yyyy")</f>
        <v>Feb 2025</v>
      </c>
      <c r="K2833" s="13" t="str">
        <f>TEXT(Table1[[#This Row],[Date]],"[$-en-US]ddd")</f>
        <v>Mon</v>
      </c>
    </row>
    <row r="2834" spans="1:11" x14ac:dyDescent="0.25">
      <c r="A2834">
        <v>13</v>
      </c>
      <c r="B2834" t="s">
        <v>9</v>
      </c>
      <c r="C2834">
        <v>25.96</v>
      </c>
      <c r="D2834" t="s">
        <v>16</v>
      </c>
      <c r="E2834" t="s">
        <v>15</v>
      </c>
      <c r="F2834" t="s">
        <v>39</v>
      </c>
      <c r="G2834">
        <v>1</v>
      </c>
      <c r="H2834">
        <v>2</v>
      </c>
      <c r="I2834" s="13">
        <v>45691</v>
      </c>
      <c r="J2834" s="13" t="str">
        <f>TEXT(Table1[[#This Row],[Date]],"[$-en-US]mmm yyyy")</f>
        <v>Feb 2025</v>
      </c>
      <c r="K2834" s="13" t="str">
        <f>TEXT(Table1[[#This Row],[Date]],"[$-en-US]ddd")</f>
        <v>Mon</v>
      </c>
    </row>
    <row r="2835" spans="1:11" x14ac:dyDescent="0.25">
      <c r="A2835">
        <v>14</v>
      </c>
      <c r="B2835" t="s">
        <v>9</v>
      </c>
      <c r="C2835">
        <v>25.96</v>
      </c>
      <c r="D2835" t="s">
        <v>16</v>
      </c>
      <c r="E2835" t="s">
        <v>15</v>
      </c>
      <c r="F2835" t="s">
        <v>39</v>
      </c>
      <c r="G2835">
        <v>1</v>
      </c>
      <c r="H2835">
        <v>2</v>
      </c>
      <c r="I2835" s="13">
        <v>45691</v>
      </c>
      <c r="J2835" s="13" t="str">
        <f>TEXT(Table1[[#This Row],[Date]],"[$-en-US]mmm yyyy")</f>
        <v>Feb 2025</v>
      </c>
      <c r="K2835" s="13" t="str">
        <f>TEXT(Table1[[#This Row],[Date]],"[$-en-US]ddd")</f>
        <v>Mon</v>
      </c>
    </row>
    <row r="2836" spans="1:11" x14ac:dyDescent="0.25">
      <c r="A2836">
        <v>14</v>
      </c>
      <c r="B2836" t="s">
        <v>9</v>
      </c>
      <c r="C2836">
        <v>35.76</v>
      </c>
      <c r="D2836" t="s">
        <v>10</v>
      </c>
      <c r="E2836" t="s">
        <v>15</v>
      </c>
      <c r="F2836" t="s">
        <v>39</v>
      </c>
      <c r="G2836">
        <v>1</v>
      </c>
      <c r="H2836">
        <v>2</v>
      </c>
      <c r="I2836" s="13">
        <v>45691</v>
      </c>
      <c r="J2836" s="13" t="str">
        <f>TEXT(Table1[[#This Row],[Date]],"[$-en-US]mmm yyyy")</f>
        <v>Feb 2025</v>
      </c>
      <c r="K2836" s="13" t="str">
        <f>TEXT(Table1[[#This Row],[Date]],"[$-en-US]ddd")</f>
        <v>Mon</v>
      </c>
    </row>
    <row r="2837" spans="1:11" x14ac:dyDescent="0.25">
      <c r="A2837">
        <v>14</v>
      </c>
      <c r="B2837" t="s">
        <v>9</v>
      </c>
      <c r="C2837">
        <v>35.76</v>
      </c>
      <c r="D2837" t="s">
        <v>10</v>
      </c>
      <c r="E2837" t="s">
        <v>15</v>
      </c>
      <c r="F2837" t="s">
        <v>39</v>
      </c>
      <c r="G2837">
        <v>1</v>
      </c>
      <c r="H2837">
        <v>2</v>
      </c>
      <c r="I2837" s="13">
        <v>45691</v>
      </c>
      <c r="J2837" s="13" t="str">
        <f>TEXT(Table1[[#This Row],[Date]],"[$-en-US]mmm yyyy")</f>
        <v>Feb 2025</v>
      </c>
      <c r="K2837" s="13" t="str">
        <f>TEXT(Table1[[#This Row],[Date]],"[$-en-US]ddd")</f>
        <v>Mon</v>
      </c>
    </row>
    <row r="2838" spans="1:11" x14ac:dyDescent="0.25">
      <c r="A2838">
        <v>15</v>
      </c>
      <c r="B2838" t="s">
        <v>9</v>
      </c>
      <c r="C2838">
        <v>35.76</v>
      </c>
      <c r="D2838" t="s">
        <v>10</v>
      </c>
      <c r="E2838" t="s">
        <v>15</v>
      </c>
      <c r="F2838" t="s">
        <v>39</v>
      </c>
      <c r="G2838">
        <v>1</v>
      </c>
      <c r="H2838">
        <v>2</v>
      </c>
      <c r="I2838" s="13">
        <v>45691</v>
      </c>
      <c r="J2838" s="13" t="str">
        <f>TEXT(Table1[[#This Row],[Date]],"[$-en-US]mmm yyyy")</f>
        <v>Feb 2025</v>
      </c>
      <c r="K2838" s="13" t="str">
        <f>TEXT(Table1[[#This Row],[Date]],"[$-en-US]ddd")</f>
        <v>Mon</v>
      </c>
    </row>
    <row r="2839" spans="1:11" x14ac:dyDescent="0.25">
      <c r="A2839">
        <v>15</v>
      </c>
      <c r="B2839" t="s">
        <v>9</v>
      </c>
      <c r="C2839">
        <v>25.96</v>
      </c>
      <c r="D2839" t="s">
        <v>16</v>
      </c>
      <c r="E2839" t="s">
        <v>15</v>
      </c>
      <c r="F2839" t="s">
        <v>39</v>
      </c>
      <c r="G2839">
        <v>1</v>
      </c>
      <c r="H2839">
        <v>2</v>
      </c>
      <c r="I2839" s="13">
        <v>45691</v>
      </c>
      <c r="J2839" s="13" t="str">
        <f>TEXT(Table1[[#This Row],[Date]],"[$-en-US]mmm yyyy")</f>
        <v>Feb 2025</v>
      </c>
      <c r="K2839" s="13" t="str">
        <f>TEXT(Table1[[#This Row],[Date]],"[$-en-US]ddd")</f>
        <v>Mon</v>
      </c>
    </row>
    <row r="2840" spans="1:11" x14ac:dyDescent="0.25">
      <c r="A2840">
        <v>17</v>
      </c>
      <c r="B2840" t="s">
        <v>9</v>
      </c>
      <c r="C2840">
        <v>35.76</v>
      </c>
      <c r="D2840" t="s">
        <v>19</v>
      </c>
      <c r="E2840" t="s">
        <v>18</v>
      </c>
      <c r="F2840" t="s">
        <v>39</v>
      </c>
      <c r="G2840">
        <v>1</v>
      </c>
      <c r="H2840">
        <v>2</v>
      </c>
      <c r="I2840" s="13">
        <v>45691</v>
      </c>
      <c r="J2840" s="13" t="str">
        <f>TEXT(Table1[[#This Row],[Date]],"[$-en-US]mmm yyyy")</f>
        <v>Feb 2025</v>
      </c>
      <c r="K2840" s="13" t="str">
        <f>TEXT(Table1[[#This Row],[Date]],"[$-en-US]ddd")</f>
        <v>Mon</v>
      </c>
    </row>
    <row r="2841" spans="1:11" x14ac:dyDescent="0.25">
      <c r="A2841">
        <v>17</v>
      </c>
      <c r="B2841" t="s">
        <v>9</v>
      </c>
      <c r="C2841">
        <v>30.86</v>
      </c>
      <c r="D2841" t="s">
        <v>17</v>
      </c>
      <c r="E2841" t="s">
        <v>18</v>
      </c>
      <c r="F2841" t="s">
        <v>39</v>
      </c>
      <c r="G2841">
        <v>1</v>
      </c>
      <c r="H2841">
        <v>2</v>
      </c>
      <c r="I2841" s="13">
        <v>45691</v>
      </c>
      <c r="J2841" s="13" t="str">
        <f>TEXT(Table1[[#This Row],[Date]],"[$-en-US]mmm yyyy")</f>
        <v>Feb 2025</v>
      </c>
      <c r="K2841" s="13" t="str">
        <f>TEXT(Table1[[#This Row],[Date]],"[$-en-US]ddd")</f>
        <v>Mon</v>
      </c>
    </row>
    <row r="2842" spans="1:11" x14ac:dyDescent="0.25">
      <c r="A2842">
        <v>17</v>
      </c>
      <c r="B2842" t="s">
        <v>9</v>
      </c>
      <c r="C2842">
        <v>30.86</v>
      </c>
      <c r="D2842" t="s">
        <v>17</v>
      </c>
      <c r="E2842" t="s">
        <v>18</v>
      </c>
      <c r="F2842" t="s">
        <v>39</v>
      </c>
      <c r="G2842">
        <v>1</v>
      </c>
      <c r="H2842">
        <v>2</v>
      </c>
      <c r="I2842" s="13">
        <v>45691</v>
      </c>
      <c r="J2842" s="13" t="str">
        <f>TEXT(Table1[[#This Row],[Date]],"[$-en-US]mmm yyyy")</f>
        <v>Feb 2025</v>
      </c>
      <c r="K2842" s="13" t="str">
        <f>TEXT(Table1[[#This Row],[Date]],"[$-en-US]ddd")</f>
        <v>Mon</v>
      </c>
    </row>
    <row r="2843" spans="1:11" x14ac:dyDescent="0.25">
      <c r="A2843">
        <v>17</v>
      </c>
      <c r="B2843" t="s">
        <v>9</v>
      </c>
      <c r="C2843">
        <v>30.86</v>
      </c>
      <c r="D2843" t="s">
        <v>17</v>
      </c>
      <c r="E2843" t="s">
        <v>18</v>
      </c>
      <c r="F2843" t="s">
        <v>39</v>
      </c>
      <c r="G2843">
        <v>1</v>
      </c>
      <c r="H2843">
        <v>2</v>
      </c>
      <c r="I2843" s="13">
        <v>45691</v>
      </c>
      <c r="J2843" s="13" t="str">
        <f>TEXT(Table1[[#This Row],[Date]],"[$-en-US]mmm yyyy")</f>
        <v>Feb 2025</v>
      </c>
      <c r="K2843" s="13" t="str">
        <f>TEXT(Table1[[#This Row],[Date]],"[$-en-US]ddd")</f>
        <v>Mon</v>
      </c>
    </row>
    <row r="2844" spans="1:11" x14ac:dyDescent="0.25">
      <c r="A2844">
        <v>17</v>
      </c>
      <c r="B2844" t="s">
        <v>9</v>
      </c>
      <c r="C2844">
        <v>35.76</v>
      </c>
      <c r="D2844" t="s">
        <v>14</v>
      </c>
      <c r="E2844" t="s">
        <v>18</v>
      </c>
      <c r="F2844" t="s">
        <v>39</v>
      </c>
      <c r="G2844">
        <v>1</v>
      </c>
      <c r="H2844">
        <v>2</v>
      </c>
      <c r="I2844" s="13">
        <v>45691</v>
      </c>
      <c r="J2844" s="13" t="str">
        <f>TEXT(Table1[[#This Row],[Date]],"[$-en-US]mmm yyyy")</f>
        <v>Feb 2025</v>
      </c>
      <c r="K2844" s="13" t="str">
        <f>TEXT(Table1[[#This Row],[Date]],"[$-en-US]ddd")</f>
        <v>Mon</v>
      </c>
    </row>
    <row r="2845" spans="1:11" x14ac:dyDescent="0.25">
      <c r="A2845">
        <v>17</v>
      </c>
      <c r="B2845" t="s">
        <v>9</v>
      </c>
      <c r="C2845">
        <v>35.76</v>
      </c>
      <c r="D2845" t="s">
        <v>10</v>
      </c>
      <c r="E2845" t="s">
        <v>18</v>
      </c>
      <c r="F2845" t="s">
        <v>39</v>
      </c>
      <c r="G2845">
        <v>1</v>
      </c>
      <c r="H2845">
        <v>2</v>
      </c>
      <c r="I2845" s="13">
        <v>45691</v>
      </c>
      <c r="J2845" s="13" t="str">
        <f>TEXT(Table1[[#This Row],[Date]],"[$-en-US]mmm yyyy")</f>
        <v>Feb 2025</v>
      </c>
      <c r="K2845" s="13" t="str">
        <f>TEXT(Table1[[#This Row],[Date]],"[$-en-US]ddd")</f>
        <v>Mon</v>
      </c>
    </row>
    <row r="2846" spans="1:11" x14ac:dyDescent="0.25">
      <c r="A2846">
        <v>17</v>
      </c>
      <c r="B2846" t="s">
        <v>9</v>
      </c>
      <c r="C2846">
        <v>35.76</v>
      </c>
      <c r="D2846" t="s">
        <v>14</v>
      </c>
      <c r="E2846" t="s">
        <v>18</v>
      </c>
      <c r="F2846" t="s">
        <v>39</v>
      </c>
      <c r="G2846">
        <v>1</v>
      </c>
      <c r="H2846">
        <v>2</v>
      </c>
      <c r="I2846" s="13">
        <v>45691</v>
      </c>
      <c r="J2846" s="13" t="str">
        <f>TEXT(Table1[[#This Row],[Date]],"[$-en-US]mmm yyyy")</f>
        <v>Feb 2025</v>
      </c>
      <c r="K2846" s="13" t="str">
        <f>TEXT(Table1[[#This Row],[Date]],"[$-en-US]ddd")</f>
        <v>Mon</v>
      </c>
    </row>
    <row r="2847" spans="1:11" x14ac:dyDescent="0.25">
      <c r="A2847">
        <v>17</v>
      </c>
      <c r="B2847" t="s">
        <v>9</v>
      </c>
      <c r="C2847">
        <v>30.86</v>
      </c>
      <c r="D2847" t="s">
        <v>17</v>
      </c>
      <c r="E2847" t="s">
        <v>18</v>
      </c>
      <c r="F2847" t="s">
        <v>39</v>
      </c>
      <c r="G2847">
        <v>1</v>
      </c>
      <c r="H2847">
        <v>2</v>
      </c>
      <c r="I2847" s="13">
        <v>45691</v>
      </c>
      <c r="J2847" s="13" t="str">
        <f>TEXT(Table1[[#This Row],[Date]],"[$-en-US]mmm yyyy")</f>
        <v>Feb 2025</v>
      </c>
      <c r="K2847" s="13" t="str">
        <f>TEXT(Table1[[#This Row],[Date]],"[$-en-US]ddd")</f>
        <v>Mon</v>
      </c>
    </row>
    <row r="2848" spans="1:11" x14ac:dyDescent="0.25">
      <c r="A2848">
        <v>18</v>
      </c>
      <c r="B2848" t="s">
        <v>9</v>
      </c>
      <c r="C2848">
        <v>25.96</v>
      </c>
      <c r="D2848" t="s">
        <v>16</v>
      </c>
      <c r="E2848" t="s">
        <v>18</v>
      </c>
      <c r="F2848" t="s">
        <v>39</v>
      </c>
      <c r="G2848">
        <v>1</v>
      </c>
      <c r="H2848">
        <v>2</v>
      </c>
      <c r="I2848" s="13">
        <v>45691</v>
      </c>
      <c r="J2848" s="13" t="str">
        <f>TEXT(Table1[[#This Row],[Date]],"[$-en-US]mmm yyyy")</f>
        <v>Feb 2025</v>
      </c>
      <c r="K2848" s="13" t="str">
        <f>TEXT(Table1[[#This Row],[Date]],"[$-en-US]ddd")</f>
        <v>Mon</v>
      </c>
    </row>
    <row r="2849" spans="1:11" x14ac:dyDescent="0.25">
      <c r="A2849">
        <v>20</v>
      </c>
      <c r="B2849" t="s">
        <v>9</v>
      </c>
      <c r="C2849">
        <v>35.76</v>
      </c>
      <c r="D2849" t="s">
        <v>19</v>
      </c>
      <c r="E2849" t="s">
        <v>18</v>
      </c>
      <c r="F2849" t="s">
        <v>39</v>
      </c>
      <c r="G2849">
        <v>1</v>
      </c>
      <c r="H2849">
        <v>2</v>
      </c>
      <c r="I2849" s="13">
        <v>45691</v>
      </c>
      <c r="J2849" s="13" t="str">
        <f>TEXT(Table1[[#This Row],[Date]],"[$-en-US]mmm yyyy")</f>
        <v>Feb 2025</v>
      </c>
      <c r="K2849" s="13" t="str">
        <f>TEXT(Table1[[#This Row],[Date]],"[$-en-US]ddd")</f>
        <v>Mon</v>
      </c>
    </row>
    <row r="2850" spans="1:11" x14ac:dyDescent="0.25">
      <c r="A2850">
        <v>10</v>
      </c>
      <c r="B2850" t="s">
        <v>9</v>
      </c>
      <c r="C2850">
        <v>30.86</v>
      </c>
      <c r="D2850" t="s">
        <v>17</v>
      </c>
      <c r="E2850" t="s">
        <v>11</v>
      </c>
      <c r="F2850" t="s">
        <v>39</v>
      </c>
      <c r="G2850">
        <v>2</v>
      </c>
      <c r="H2850">
        <v>2</v>
      </c>
      <c r="I2850" s="13">
        <v>45692</v>
      </c>
      <c r="J2850" s="13" t="str">
        <f>TEXT(Table1[[#This Row],[Date]],"[$-en-US]mmm yyyy")</f>
        <v>Feb 2025</v>
      </c>
      <c r="K2850" s="13" t="str">
        <f>TEXT(Table1[[#This Row],[Date]],"[$-en-US]ddd")</f>
        <v>Tue</v>
      </c>
    </row>
    <row r="2851" spans="1:11" x14ac:dyDescent="0.25">
      <c r="A2851">
        <v>10</v>
      </c>
      <c r="B2851" t="s">
        <v>9</v>
      </c>
      <c r="C2851">
        <v>25.96</v>
      </c>
      <c r="D2851" t="s">
        <v>16</v>
      </c>
      <c r="E2851" t="s">
        <v>11</v>
      </c>
      <c r="F2851" t="s">
        <v>39</v>
      </c>
      <c r="G2851">
        <v>2</v>
      </c>
      <c r="H2851">
        <v>2</v>
      </c>
      <c r="I2851" s="13">
        <v>45692</v>
      </c>
      <c r="J2851" s="13" t="str">
        <f>TEXT(Table1[[#This Row],[Date]],"[$-en-US]mmm yyyy")</f>
        <v>Feb 2025</v>
      </c>
      <c r="K2851" s="13" t="str">
        <f>TEXT(Table1[[#This Row],[Date]],"[$-en-US]ddd")</f>
        <v>Tue</v>
      </c>
    </row>
    <row r="2852" spans="1:11" x14ac:dyDescent="0.25">
      <c r="A2852">
        <v>12</v>
      </c>
      <c r="B2852" t="s">
        <v>9</v>
      </c>
      <c r="C2852">
        <v>30.86</v>
      </c>
      <c r="D2852" t="s">
        <v>17</v>
      </c>
      <c r="E2852" t="s">
        <v>15</v>
      </c>
      <c r="F2852" t="s">
        <v>39</v>
      </c>
      <c r="G2852">
        <v>2</v>
      </c>
      <c r="H2852">
        <v>2</v>
      </c>
      <c r="I2852" s="13">
        <v>45692</v>
      </c>
      <c r="J2852" s="13" t="str">
        <f>TEXT(Table1[[#This Row],[Date]],"[$-en-US]mmm yyyy")</f>
        <v>Feb 2025</v>
      </c>
      <c r="K2852" s="13" t="str">
        <f>TEXT(Table1[[#This Row],[Date]],"[$-en-US]ddd")</f>
        <v>Tue</v>
      </c>
    </row>
    <row r="2853" spans="1:11" x14ac:dyDescent="0.25">
      <c r="A2853">
        <v>13</v>
      </c>
      <c r="B2853" t="s">
        <v>9</v>
      </c>
      <c r="C2853">
        <v>25.96</v>
      </c>
      <c r="D2853" t="s">
        <v>22</v>
      </c>
      <c r="E2853" t="s">
        <v>15</v>
      </c>
      <c r="F2853" t="s">
        <v>39</v>
      </c>
      <c r="G2853">
        <v>2</v>
      </c>
      <c r="H2853">
        <v>2</v>
      </c>
      <c r="I2853" s="13">
        <v>45692</v>
      </c>
      <c r="J2853" s="13" t="str">
        <f>TEXT(Table1[[#This Row],[Date]],"[$-en-US]mmm yyyy")</f>
        <v>Feb 2025</v>
      </c>
      <c r="K2853" s="13" t="str">
        <f>TEXT(Table1[[#This Row],[Date]],"[$-en-US]ddd")</f>
        <v>Tue</v>
      </c>
    </row>
    <row r="2854" spans="1:11" x14ac:dyDescent="0.25">
      <c r="A2854">
        <v>14</v>
      </c>
      <c r="B2854" t="s">
        <v>9</v>
      </c>
      <c r="C2854">
        <v>25.96</v>
      </c>
      <c r="D2854" t="s">
        <v>16</v>
      </c>
      <c r="E2854" t="s">
        <v>15</v>
      </c>
      <c r="F2854" t="s">
        <v>39</v>
      </c>
      <c r="G2854">
        <v>2</v>
      </c>
      <c r="H2854">
        <v>2</v>
      </c>
      <c r="I2854" s="13">
        <v>45692</v>
      </c>
      <c r="J2854" s="13" t="str">
        <f>TEXT(Table1[[#This Row],[Date]],"[$-en-US]mmm yyyy")</f>
        <v>Feb 2025</v>
      </c>
      <c r="K2854" s="13" t="str">
        <f>TEXT(Table1[[#This Row],[Date]],"[$-en-US]ddd")</f>
        <v>Tue</v>
      </c>
    </row>
    <row r="2855" spans="1:11" x14ac:dyDescent="0.25">
      <c r="A2855">
        <v>14</v>
      </c>
      <c r="B2855" t="s">
        <v>9</v>
      </c>
      <c r="C2855">
        <v>30.86</v>
      </c>
      <c r="D2855" t="s">
        <v>17</v>
      </c>
      <c r="E2855" t="s">
        <v>15</v>
      </c>
      <c r="F2855" t="s">
        <v>39</v>
      </c>
      <c r="G2855">
        <v>2</v>
      </c>
      <c r="H2855">
        <v>2</v>
      </c>
      <c r="I2855" s="13">
        <v>45692</v>
      </c>
      <c r="J2855" s="13" t="str">
        <f>TEXT(Table1[[#This Row],[Date]],"[$-en-US]mmm yyyy")</f>
        <v>Feb 2025</v>
      </c>
      <c r="K2855" s="13" t="str">
        <f>TEXT(Table1[[#This Row],[Date]],"[$-en-US]ddd")</f>
        <v>Tue</v>
      </c>
    </row>
    <row r="2856" spans="1:11" x14ac:dyDescent="0.25">
      <c r="A2856">
        <v>14</v>
      </c>
      <c r="B2856" t="s">
        <v>9</v>
      </c>
      <c r="C2856">
        <v>25.96</v>
      </c>
      <c r="D2856" t="s">
        <v>16</v>
      </c>
      <c r="E2856" t="s">
        <v>15</v>
      </c>
      <c r="F2856" t="s">
        <v>39</v>
      </c>
      <c r="G2856">
        <v>2</v>
      </c>
      <c r="H2856">
        <v>2</v>
      </c>
      <c r="I2856" s="13">
        <v>45692</v>
      </c>
      <c r="J2856" s="13" t="str">
        <f>TEXT(Table1[[#This Row],[Date]],"[$-en-US]mmm yyyy")</f>
        <v>Feb 2025</v>
      </c>
      <c r="K2856" s="13" t="str">
        <f>TEXT(Table1[[#This Row],[Date]],"[$-en-US]ddd")</f>
        <v>Tue</v>
      </c>
    </row>
    <row r="2857" spans="1:11" x14ac:dyDescent="0.25">
      <c r="A2857">
        <v>18</v>
      </c>
      <c r="B2857" t="s">
        <v>9</v>
      </c>
      <c r="C2857">
        <v>30.86</v>
      </c>
      <c r="D2857" t="s">
        <v>17</v>
      </c>
      <c r="E2857" t="s">
        <v>18</v>
      </c>
      <c r="F2857" t="s">
        <v>39</v>
      </c>
      <c r="G2857">
        <v>2</v>
      </c>
      <c r="H2857">
        <v>2</v>
      </c>
      <c r="I2857" s="13">
        <v>45692</v>
      </c>
      <c r="J2857" s="13" t="str">
        <f>TEXT(Table1[[#This Row],[Date]],"[$-en-US]mmm yyyy")</f>
        <v>Feb 2025</v>
      </c>
      <c r="K2857" s="13" t="str">
        <f>TEXT(Table1[[#This Row],[Date]],"[$-en-US]ddd")</f>
        <v>Tue</v>
      </c>
    </row>
    <row r="2858" spans="1:11" x14ac:dyDescent="0.25">
      <c r="A2858">
        <v>19</v>
      </c>
      <c r="B2858" t="s">
        <v>9</v>
      </c>
      <c r="C2858">
        <v>35.76</v>
      </c>
      <c r="D2858" t="s">
        <v>19</v>
      </c>
      <c r="E2858" t="s">
        <v>18</v>
      </c>
      <c r="F2858" t="s">
        <v>39</v>
      </c>
      <c r="G2858">
        <v>2</v>
      </c>
      <c r="H2858">
        <v>2</v>
      </c>
      <c r="I2858" s="13">
        <v>45692</v>
      </c>
      <c r="J2858" s="13" t="str">
        <f>TEXT(Table1[[#This Row],[Date]],"[$-en-US]mmm yyyy")</f>
        <v>Feb 2025</v>
      </c>
      <c r="K2858" s="13" t="str">
        <f>TEXT(Table1[[#This Row],[Date]],"[$-en-US]ddd")</f>
        <v>Tue</v>
      </c>
    </row>
    <row r="2859" spans="1:11" x14ac:dyDescent="0.25">
      <c r="A2859">
        <v>19</v>
      </c>
      <c r="B2859" t="s">
        <v>9</v>
      </c>
      <c r="C2859">
        <v>35.76</v>
      </c>
      <c r="D2859" t="s">
        <v>19</v>
      </c>
      <c r="E2859" t="s">
        <v>18</v>
      </c>
      <c r="F2859" t="s">
        <v>39</v>
      </c>
      <c r="G2859">
        <v>2</v>
      </c>
      <c r="H2859">
        <v>2</v>
      </c>
      <c r="I2859" s="13">
        <v>45692</v>
      </c>
      <c r="J2859" s="13" t="str">
        <f>TEXT(Table1[[#This Row],[Date]],"[$-en-US]mmm yyyy")</f>
        <v>Feb 2025</v>
      </c>
      <c r="K2859" s="13" t="str">
        <f>TEXT(Table1[[#This Row],[Date]],"[$-en-US]ddd")</f>
        <v>Tue</v>
      </c>
    </row>
    <row r="2860" spans="1:11" x14ac:dyDescent="0.25">
      <c r="A2860">
        <v>19</v>
      </c>
      <c r="B2860" t="s">
        <v>9</v>
      </c>
      <c r="C2860">
        <v>35.76</v>
      </c>
      <c r="D2860" t="s">
        <v>19</v>
      </c>
      <c r="E2860" t="s">
        <v>18</v>
      </c>
      <c r="F2860" t="s">
        <v>39</v>
      </c>
      <c r="G2860">
        <v>2</v>
      </c>
      <c r="H2860">
        <v>2</v>
      </c>
      <c r="I2860" s="13">
        <v>45692</v>
      </c>
      <c r="J2860" s="13" t="str">
        <f>TEXT(Table1[[#This Row],[Date]],"[$-en-US]mmm yyyy")</f>
        <v>Feb 2025</v>
      </c>
      <c r="K2860" s="13" t="str">
        <f>TEXT(Table1[[#This Row],[Date]],"[$-en-US]ddd")</f>
        <v>Tue</v>
      </c>
    </row>
    <row r="2861" spans="1:11" x14ac:dyDescent="0.25">
      <c r="A2861">
        <v>19</v>
      </c>
      <c r="B2861" t="s">
        <v>9</v>
      </c>
      <c r="C2861">
        <v>25.96</v>
      </c>
      <c r="D2861" t="s">
        <v>22</v>
      </c>
      <c r="E2861" t="s">
        <v>18</v>
      </c>
      <c r="F2861" t="s">
        <v>39</v>
      </c>
      <c r="G2861">
        <v>2</v>
      </c>
      <c r="H2861">
        <v>2</v>
      </c>
      <c r="I2861" s="13">
        <v>45692</v>
      </c>
      <c r="J2861" s="13" t="str">
        <f>TEXT(Table1[[#This Row],[Date]],"[$-en-US]mmm yyyy")</f>
        <v>Feb 2025</v>
      </c>
      <c r="K2861" s="13" t="str">
        <f>TEXT(Table1[[#This Row],[Date]],"[$-en-US]ddd")</f>
        <v>Tue</v>
      </c>
    </row>
    <row r="2862" spans="1:11" x14ac:dyDescent="0.25">
      <c r="A2862">
        <v>8</v>
      </c>
      <c r="B2862" t="s">
        <v>9</v>
      </c>
      <c r="C2862">
        <v>30.86</v>
      </c>
      <c r="D2862" t="s">
        <v>17</v>
      </c>
      <c r="E2862" t="s">
        <v>11</v>
      </c>
      <c r="F2862" t="s">
        <v>39</v>
      </c>
      <c r="G2862">
        <v>3</v>
      </c>
      <c r="H2862">
        <v>2</v>
      </c>
      <c r="I2862" s="13">
        <v>45693</v>
      </c>
      <c r="J2862" s="13" t="str">
        <f>TEXT(Table1[[#This Row],[Date]],"[$-en-US]mmm yyyy")</f>
        <v>Feb 2025</v>
      </c>
      <c r="K2862" s="13" t="str">
        <f>TEXT(Table1[[#This Row],[Date]],"[$-en-US]ddd")</f>
        <v>Wed</v>
      </c>
    </row>
    <row r="2863" spans="1:11" x14ac:dyDescent="0.25">
      <c r="A2863">
        <v>9</v>
      </c>
      <c r="B2863" t="s">
        <v>9</v>
      </c>
      <c r="C2863">
        <v>30.86</v>
      </c>
      <c r="D2863" t="s">
        <v>17</v>
      </c>
      <c r="E2863" t="s">
        <v>11</v>
      </c>
      <c r="F2863" t="s">
        <v>39</v>
      </c>
      <c r="G2863">
        <v>3</v>
      </c>
      <c r="H2863">
        <v>2</v>
      </c>
      <c r="I2863" s="13">
        <v>45693</v>
      </c>
      <c r="J2863" s="13" t="str">
        <f>TEXT(Table1[[#This Row],[Date]],"[$-en-US]mmm yyyy")</f>
        <v>Feb 2025</v>
      </c>
      <c r="K2863" s="13" t="str">
        <f>TEXT(Table1[[#This Row],[Date]],"[$-en-US]ddd")</f>
        <v>Wed</v>
      </c>
    </row>
    <row r="2864" spans="1:11" x14ac:dyDescent="0.25">
      <c r="A2864">
        <v>11</v>
      </c>
      <c r="B2864" t="s">
        <v>9</v>
      </c>
      <c r="C2864">
        <v>25.96</v>
      </c>
      <c r="D2864" t="s">
        <v>16</v>
      </c>
      <c r="E2864" t="s">
        <v>11</v>
      </c>
      <c r="F2864" t="s">
        <v>39</v>
      </c>
      <c r="G2864">
        <v>3</v>
      </c>
      <c r="H2864">
        <v>2</v>
      </c>
      <c r="I2864" s="13">
        <v>45693</v>
      </c>
      <c r="J2864" s="13" t="str">
        <f>TEXT(Table1[[#This Row],[Date]],"[$-en-US]mmm yyyy")</f>
        <v>Feb 2025</v>
      </c>
      <c r="K2864" s="13" t="str">
        <f>TEXT(Table1[[#This Row],[Date]],"[$-en-US]ddd")</f>
        <v>Wed</v>
      </c>
    </row>
    <row r="2865" spans="1:11" x14ac:dyDescent="0.25">
      <c r="A2865">
        <v>11</v>
      </c>
      <c r="B2865" t="s">
        <v>9</v>
      </c>
      <c r="C2865">
        <v>25.96</v>
      </c>
      <c r="D2865" t="s">
        <v>16</v>
      </c>
      <c r="E2865" t="s">
        <v>11</v>
      </c>
      <c r="F2865" t="s">
        <v>39</v>
      </c>
      <c r="G2865">
        <v>3</v>
      </c>
      <c r="H2865">
        <v>2</v>
      </c>
      <c r="I2865" s="13">
        <v>45693</v>
      </c>
      <c r="J2865" s="13" t="str">
        <f>TEXT(Table1[[#This Row],[Date]],"[$-en-US]mmm yyyy")</f>
        <v>Feb 2025</v>
      </c>
      <c r="K2865" s="13" t="str">
        <f>TEXT(Table1[[#This Row],[Date]],"[$-en-US]ddd")</f>
        <v>Wed</v>
      </c>
    </row>
    <row r="2866" spans="1:11" x14ac:dyDescent="0.25">
      <c r="A2866">
        <v>11</v>
      </c>
      <c r="B2866" t="s">
        <v>9</v>
      </c>
      <c r="C2866">
        <v>25.96</v>
      </c>
      <c r="D2866" t="s">
        <v>16</v>
      </c>
      <c r="E2866" t="s">
        <v>11</v>
      </c>
      <c r="F2866" t="s">
        <v>39</v>
      </c>
      <c r="G2866">
        <v>3</v>
      </c>
      <c r="H2866">
        <v>2</v>
      </c>
      <c r="I2866" s="13">
        <v>45693</v>
      </c>
      <c r="J2866" s="13" t="str">
        <f>TEXT(Table1[[#This Row],[Date]],"[$-en-US]mmm yyyy")</f>
        <v>Feb 2025</v>
      </c>
      <c r="K2866" s="13" t="str">
        <f>TEXT(Table1[[#This Row],[Date]],"[$-en-US]ddd")</f>
        <v>Wed</v>
      </c>
    </row>
    <row r="2867" spans="1:11" x14ac:dyDescent="0.25">
      <c r="A2867">
        <v>11</v>
      </c>
      <c r="B2867" t="s">
        <v>9</v>
      </c>
      <c r="C2867">
        <v>30.86</v>
      </c>
      <c r="D2867" t="s">
        <v>17</v>
      </c>
      <c r="E2867" t="s">
        <v>11</v>
      </c>
      <c r="F2867" t="s">
        <v>39</v>
      </c>
      <c r="G2867">
        <v>3</v>
      </c>
      <c r="H2867">
        <v>2</v>
      </c>
      <c r="I2867" s="13">
        <v>45693</v>
      </c>
      <c r="J2867" s="13" t="str">
        <f>TEXT(Table1[[#This Row],[Date]],"[$-en-US]mmm yyyy")</f>
        <v>Feb 2025</v>
      </c>
      <c r="K2867" s="13" t="str">
        <f>TEXT(Table1[[#This Row],[Date]],"[$-en-US]ddd")</f>
        <v>Wed</v>
      </c>
    </row>
    <row r="2868" spans="1:11" x14ac:dyDescent="0.25">
      <c r="A2868">
        <v>12</v>
      </c>
      <c r="B2868" t="s">
        <v>9</v>
      </c>
      <c r="C2868">
        <v>25.96</v>
      </c>
      <c r="D2868" t="s">
        <v>16</v>
      </c>
      <c r="E2868" t="s">
        <v>15</v>
      </c>
      <c r="F2868" t="s">
        <v>39</v>
      </c>
      <c r="G2868">
        <v>3</v>
      </c>
      <c r="H2868">
        <v>2</v>
      </c>
      <c r="I2868" s="13">
        <v>45693</v>
      </c>
      <c r="J2868" s="13" t="str">
        <f>TEXT(Table1[[#This Row],[Date]],"[$-en-US]mmm yyyy")</f>
        <v>Feb 2025</v>
      </c>
      <c r="K2868" s="13" t="str">
        <f>TEXT(Table1[[#This Row],[Date]],"[$-en-US]ddd")</f>
        <v>Wed</v>
      </c>
    </row>
    <row r="2869" spans="1:11" x14ac:dyDescent="0.25">
      <c r="A2869">
        <v>13</v>
      </c>
      <c r="B2869" t="s">
        <v>9</v>
      </c>
      <c r="C2869">
        <v>25.96</v>
      </c>
      <c r="D2869" t="s">
        <v>16</v>
      </c>
      <c r="E2869" t="s">
        <v>15</v>
      </c>
      <c r="F2869" t="s">
        <v>39</v>
      </c>
      <c r="G2869">
        <v>3</v>
      </c>
      <c r="H2869">
        <v>2</v>
      </c>
      <c r="I2869" s="13">
        <v>45693</v>
      </c>
      <c r="J2869" s="13" t="str">
        <f>TEXT(Table1[[#This Row],[Date]],"[$-en-US]mmm yyyy")</f>
        <v>Feb 2025</v>
      </c>
      <c r="K2869" s="13" t="str">
        <f>TEXT(Table1[[#This Row],[Date]],"[$-en-US]ddd")</f>
        <v>Wed</v>
      </c>
    </row>
    <row r="2870" spans="1:11" x14ac:dyDescent="0.25">
      <c r="A2870">
        <v>13</v>
      </c>
      <c r="B2870" t="s">
        <v>9</v>
      </c>
      <c r="C2870">
        <v>21.06</v>
      </c>
      <c r="D2870" t="s">
        <v>24</v>
      </c>
      <c r="E2870" t="s">
        <v>15</v>
      </c>
      <c r="F2870" t="s">
        <v>39</v>
      </c>
      <c r="G2870">
        <v>3</v>
      </c>
      <c r="H2870">
        <v>2</v>
      </c>
      <c r="I2870" s="13">
        <v>45693</v>
      </c>
      <c r="J2870" s="13" t="str">
        <f>TEXT(Table1[[#This Row],[Date]],"[$-en-US]mmm yyyy")</f>
        <v>Feb 2025</v>
      </c>
      <c r="K2870" s="13" t="str">
        <f>TEXT(Table1[[#This Row],[Date]],"[$-en-US]ddd")</f>
        <v>Wed</v>
      </c>
    </row>
    <row r="2871" spans="1:11" x14ac:dyDescent="0.25">
      <c r="A2871">
        <v>13</v>
      </c>
      <c r="B2871" t="s">
        <v>9</v>
      </c>
      <c r="C2871">
        <v>21.06</v>
      </c>
      <c r="D2871" t="s">
        <v>24</v>
      </c>
      <c r="E2871" t="s">
        <v>15</v>
      </c>
      <c r="F2871" t="s">
        <v>39</v>
      </c>
      <c r="G2871">
        <v>3</v>
      </c>
      <c r="H2871">
        <v>2</v>
      </c>
      <c r="I2871" s="13">
        <v>45693</v>
      </c>
      <c r="J2871" s="13" t="str">
        <f>TEXT(Table1[[#This Row],[Date]],"[$-en-US]mmm yyyy")</f>
        <v>Feb 2025</v>
      </c>
      <c r="K2871" s="13" t="str">
        <f>TEXT(Table1[[#This Row],[Date]],"[$-en-US]ddd")</f>
        <v>Wed</v>
      </c>
    </row>
    <row r="2872" spans="1:11" x14ac:dyDescent="0.25">
      <c r="A2872">
        <v>14</v>
      </c>
      <c r="B2872" t="s">
        <v>9</v>
      </c>
      <c r="C2872">
        <v>35.76</v>
      </c>
      <c r="D2872" t="s">
        <v>27</v>
      </c>
      <c r="E2872" t="s">
        <v>15</v>
      </c>
      <c r="F2872" t="s">
        <v>39</v>
      </c>
      <c r="G2872">
        <v>3</v>
      </c>
      <c r="H2872">
        <v>2</v>
      </c>
      <c r="I2872" s="13">
        <v>45693</v>
      </c>
      <c r="J2872" s="13" t="str">
        <f>TEXT(Table1[[#This Row],[Date]],"[$-en-US]mmm yyyy")</f>
        <v>Feb 2025</v>
      </c>
      <c r="K2872" s="13" t="str">
        <f>TEXT(Table1[[#This Row],[Date]],"[$-en-US]ddd")</f>
        <v>Wed</v>
      </c>
    </row>
    <row r="2873" spans="1:11" x14ac:dyDescent="0.25">
      <c r="A2873">
        <v>15</v>
      </c>
      <c r="B2873" t="s">
        <v>9</v>
      </c>
      <c r="C2873">
        <v>35.76</v>
      </c>
      <c r="D2873" t="s">
        <v>27</v>
      </c>
      <c r="E2873" t="s">
        <v>15</v>
      </c>
      <c r="F2873" t="s">
        <v>39</v>
      </c>
      <c r="G2873">
        <v>3</v>
      </c>
      <c r="H2873">
        <v>2</v>
      </c>
      <c r="I2873" s="13">
        <v>45693</v>
      </c>
      <c r="J2873" s="13" t="str">
        <f>TEXT(Table1[[#This Row],[Date]],"[$-en-US]mmm yyyy")</f>
        <v>Feb 2025</v>
      </c>
      <c r="K2873" s="13" t="str">
        <f>TEXT(Table1[[#This Row],[Date]],"[$-en-US]ddd")</f>
        <v>Wed</v>
      </c>
    </row>
    <row r="2874" spans="1:11" x14ac:dyDescent="0.25">
      <c r="A2874">
        <v>16</v>
      </c>
      <c r="B2874" t="s">
        <v>9</v>
      </c>
      <c r="C2874">
        <v>35.76</v>
      </c>
      <c r="D2874" t="s">
        <v>14</v>
      </c>
      <c r="E2874" t="s">
        <v>15</v>
      </c>
      <c r="F2874" t="s">
        <v>39</v>
      </c>
      <c r="G2874">
        <v>3</v>
      </c>
      <c r="H2874">
        <v>2</v>
      </c>
      <c r="I2874" s="13">
        <v>45693</v>
      </c>
      <c r="J2874" s="13" t="str">
        <f>TEXT(Table1[[#This Row],[Date]],"[$-en-US]mmm yyyy")</f>
        <v>Feb 2025</v>
      </c>
      <c r="K2874" s="13" t="str">
        <f>TEXT(Table1[[#This Row],[Date]],"[$-en-US]ddd")</f>
        <v>Wed</v>
      </c>
    </row>
    <row r="2875" spans="1:11" x14ac:dyDescent="0.25">
      <c r="A2875">
        <v>16</v>
      </c>
      <c r="B2875" t="s">
        <v>9</v>
      </c>
      <c r="C2875">
        <v>35.76</v>
      </c>
      <c r="D2875" t="s">
        <v>10</v>
      </c>
      <c r="E2875" t="s">
        <v>15</v>
      </c>
      <c r="F2875" t="s">
        <v>39</v>
      </c>
      <c r="G2875">
        <v>3</v>
      </c>
      <c r="H2875">
        <v>2</v>
      </c>
      <c r="I2875" s="13">
        <v>45693</v>
      </c>
      <c r="J2875" s="13" t="str">
        <f>TEXT(Table1[[#This Row],[Date]],"[$-en-US]mmm yyyy")</f>
        <v>Feb 2025</v>
      </c>
      <c r="K2875" s="13" t="str">
        <f>TEXT(Table1[[#This Row],[Date]],"[$-en-US]ddd")</f>
        <v>Wed</v>
      </c>
    </row>
    <row r="2876" spans="1:11" x14ac:dyDescent="0.25">
      <c r="A2876">
        <v>16</v>
      </c>
      <c r="B2876" t="s">
        <v>9</v>
      </c>
      <c r="C2876">
        <v>35.76</v>
      </c>
      <c r="D2876" t="s">
        <v>10</v>
      </c>
      <c r="E2876" t="s">
        <v>15</v>
      </c>
      <c r="F2876" t="s">
        <v>39</v>
      </c>
      <c r="G2876">
        <v>3</v>
      </c>
      <c r="H2876">
        <v>2</v>
      </c>
      <c r="I2876" s="13">
        <v>45693</v>
      </c>
      <c r="J2876" s="13" t="str">
        <f>TEXT(Table1[[#This Row],[Date]],"[$-en-US]mmm yyyy")</f>
        <v>Feb 2025</v>
      </c>
      <c r="K2876" s="13" t="str">
        <f>TEXT(Table1[[#This Row],[Date]],"[$-en-US]ddd")</f>
        <v>Wed</v>
      </c>
    </row>
    <row r="2877" spans="1:11" x14ac:dyDescent="0.25">
      <c r="A2877">
        <v>16</v>
      </c>
      <c r="B2877" t="s">
        <v>9</v>
      </c>
      <c r="C2877">
        <v>35.76</v>
      </c>
      <c r="D2877" t="s">
        <v>19</v>
      </c>
      <c r="E2877" t="s">
        <v>15</v>
      </c>
      <c r="F2877" t="s">
        <v>39</v>
      </c>
      <c r="G2877">
        <v>3</v>
      </c>
      <c r="H2877">
        <v>2</v>
      </c>
      <c r="I2877" s="13">
        <v>45693</v>
      </c>
      <c r="J2877" s="13" t="str">
        <f>TEXT(Table1[[#This Row],[Date]],"[$-en-US]mmm yyyy")</f>
        <v>Feb 2025</v>
      </c>
      <c r="K2877" s="13" t="str">
        <f>TEXT(Table1[[#This Row],[Date]],"[$-en-US]ddd")</f>
        <v>Wed</v>
      </c>
    </row>
    <row r="2878" spans="1:11" x14ac:dyDescent="0.25">
      <c r="A2878">
        <v>16</v>
      </c>
      <c r="B2878" t="s">
        <v>9</v>
      </c>
      <c r="C2878">
        <v>35.76</v>
      </c>
      <c r="D2878" t="s">
        <v>14</v>
      </c>
      <c r="E2878" t="s">
        <v>15</v>
      </c>
      <c r="F2878" t="s">
        <v>39</v>
      </c>
      <c r="G2878">
        <v>3</v>
      </c>
      <c r="H2878">
        <v>2</v>
      </c>
      <c r="I2878" s="13">
        <v>45693</v>
      </c>
      <c r="J2878" s="13" t="str">
        <f>TEXT(Table1[[#This Row],[Date]],"[$-en-US]mmm yyyy")</f>
        <v>Feb 2025</v>
      </c>
      <c r="K2878" s="13" t="str">
        <f>TEXT(Table1[[#This Row],[Date]],"[$-en-US]ddd")</f>
        <v>Wed</v>
      </c>
    </row>
    <row r="2879" spans="1:11" x14ac:dyDescent="0.25">
      <c r="A2879">
        <v>18</v>
      </c>
      <c r="B2879" t="s">
        <v>9</v>
      </c>
      <c r="C2879">
        <v>35.76</v>
      </c>
      <c r="D2879" t="s">
        <v>27</v>
      </c>
      <c r="E2879" t="s">
        <v>18</v>
      </c>
      <c r="F2879" t="s">
        <v>39</v>
      </c>
      <c r="G2879">
        <v>3</v>
      </c>
      <c r="H2879">
        <v>2</v>
      </c>
      <c r="I2879" s="13">
        <v>45693</v>
      </c>
      <c r="J2879" s="13" t="str">
        <f>TEXT(Table1[[#This Row],[Date]],"[$-en-US]mmm yyyy")</f>
        <v>Feb 2025</v>
      </c>
      <c r="K2879" s="13" t="str">
        <f>TEXT(Table1[[#This Row],[Date]],"[$-en-US]ddd")</f>
        <v>Wed</v>
      </c>
    </row>
    <row r="2880" spans="1:11" x14ac:dyDescent="0.25">
      <c r="A2880">
        <v>18</v>
      </c>
      <c r="B2880" t="s">
        <v>9</v>
      </c>
      <c r="C2880">
        <v>35.76</v>
      </c>
      <c r="D2880" t="s">
        <v>27</v>
      </c>
      <c r="E2880" t="s">
        <v>18</v>
      </c>
      <c r="F2880" t="s">
        <v>39</v>
      </c>
      <c r="G2880">
        <v>3</v>
      </c>
      <c r="H2880">
        <v>2</v>
      </c>
      <c r="I2880" s="13">
        <v>45693</v>
      </c>
      <c r="J2880" s="13" t="str">
        <f>TEXT(Table1[[#This Row],[Date]],"[$-en-US]mmm yyyy")</f>
        <v>Feb 2025</v>
      </c>
      <c r="K2880" s="13" t="str">
        <f>TEXT(Table1[[#This Row],[Date]],"[$-en-US]ddd")</f>
        <v>Wed</v>
      </c>
    </row>
    <row r="2881" spans="1:11" x14ac:dyDescent="0.25">
      <c r="A2881">
        <v>18</v>
      </c>
      <c r="B2881" t="s">
        <v>9</v>
      </c>
      <c r="C2881">
        <v>35.76</v>
      </c>
      <c r="D2881" t="s">
        <v>19</v>
      </c>
      <c r="E2881" t="s">
        <v>18</v>
      </c>
      <c r="F2881" t="s">
        <v>39</v>
      </c>
      <c r="G2881">
        <v>3</v>
      </c>
      <c r="H2881">
        <v>2</v>
      </c>
      <c r="I2881" s="13">
        <v>45693</v>
      </c>
      <c r="J2881" s="13" t="str">
        <f>TEXT(Table1[[#This Row],[Date]],"[$-en-US]mmm yyyy")</f>
        <v>Feb 2025</v>
      </c>
      <c r="K2881" s="13" t="str">
        <f>TEXT(Table1[[#This Row],[Date]],"[$-en-US]ddd")</f>
        <v>Wed</v>
      </c>
    </row>
    <row r="2882" spans="1:11" x14ac:dyDescent="0.25">
      <c r="A2882">
        <v>18</v>
      </c>
      <c r="B2882" t="s">
        <v>9</v>
      </c>
      <c r="C2882">
        <v>30.86</v>
      </c>
      <c r="D2882" t="s">
        <v>17</v>
      </c>
      <c r="E2882" t="s">
        <v>18</v>
      </c>
      <c r="F2882" t="s">
        <v>39</v>
      </c>
      <c r="G2882">
        <v>3</v>
      </c>
      <c r="H2882">
        <v>2</v>
      </c>
      <c r="I2882" s="13">
        <v>45693</v>
      </c>
      <c r="J2882" s="13" t="str">
        <f>TEXT(Table1[[#This Row],[Date]],"[$-en-US]mmm yyyy")</f>
        <v>Feb 2025</v>
      </c>
      <c r="K2882" s="13" t="str">
        <f>TEXT(Table1[[#This Row],[Date]],"[$-en-US]ddd")</f>
        <v>Wed</v>
      </c>
    </row>
    <row r="2883" spans="1:11" x14ac:dyDescent="0.25">
      <c r="A2883">
        <v>18</v>
      </c>
      <c r="B2883" t="s">
        <v>9</v>
      </c>
      <c r="C2883">
        <v>35.76</v>
      </c>
      <c r="D2883" t="s">
        <v>27</v>
      </c>
      <c r="E2883" t="s">
        <v>18</v>
      </c>
      <c r="F2883" t="s">
        <v>39</v>
      </c>
      <c r="G2883">
        <v>3</v>
      </c>
      <c r="H2883">
        <v>2</v>
      </c>
      <c r="I2883" s="13">
        <v>45693</v>
      </c>
      <c r="J2883" s="13" t="str">
        <f>TEXT(Table1[[#This Row],[Date]],"[$-en-US]mmm yyyy")</f>
        <v>Feb 2025</v>
      </c>
      <c r="K2883" s="13" t="str">
        <f>TEXT(Table1[[#This Row],[Date]],"[$-en-US]ddd")</f>
        <v>Wed</v>
      </c>
    </row>
    <row r="2884" spans="1:11" x14ac:dyDescent="0.25">
      <c r="A2884">
        <v>19</v>
      </c>
      <c r="B2884" t="s">
        <v>9</v>
      </c>
      <c r="C2884">
        <v>35.76</v>
      </c>
      <c r="D2884" t="s">
        <v>14</v>
      </c>
      <c r="E2884" t="s">
        <v>18</v>
      </c>
      <c r="F2884" t="s">
        <v>39</v>
      </c>
      <c r="G2884">
        <v>3</v>
      </c>
      <c r="H2884">
        <v>2</v>
      </c>
      <c r="I2884" s="13">
        <v>45693</v>
      </c>
      <c r="J2884" s="13" t="str">
        <f>TEXT(Table1[[#This Row],[Date]],"[$-en-US]mmm yyyy")</f>
        <v>Feb 2025</v>
      </c>
      <c r="K2884" s="13" t="str">
        <f>TEXT(Table1[[#This Row],[Date]],"[$-en-US]ddd")</f>
        <v>Wed</v>
      </c>
    </row>
    <row r="2885" spans="1:11" x14ac:dyDescent="0.25">
      <c r="A2885">
        <v>20</v>
      </c>
      <c r="B2885" t="s">
        <v>9</v>
      </c>
      <c r="C2885">
        <v>35.76</v>
      </c>
      <c r="D2885" t="s">
        <v>19</v>
      </c>
      <c r="E2885" t="s">
        <v>18</v>
      </c>
      <c r="F2885" t="s">
        <v>39</v>
      </c>
      <c r="G2885">
        <v>3</v>
      </c>
      <c r="H2885">
        <v>2</v>
      </c>
      <c r="I2885" s="13">
        <v>45693</v>
      </c>
      <c r="J2885" s="13" t="str">
        <f>TEXT(Table1[[#This Row],[Date]],"[$-en-US]mmm yyyy")</f>
        <v>Feb 2025</v>
      </c>
      <c r="K2885" s="13" t="str">
        <f>TEXT(Table1[[#This Row],[Date]],"[$-en-US]ddd")</f>
        <v>Wed</v>
      </c>
    </row>
    <row r="2886" spans="1:11" x14ac:dyDescent="0.25">
      <c r="A2886">
        <v>7</v>
      </c>
      <c r="B2886" t="s">
        <v>9</v>
      </c>
      <c r="C2886">
        <v>30.86</v>
      </c>
      <c r="D2886" t="s">
        <v>17</v>
      </c>
      <c r="E2886" t="s">
        <v>11</v>
      </c>
      <c r="F2886" t="s">
        <v>39</v>
      </c>
      <c r="G2886">
        <v>4</v>
      </c>
      <c r="H2886">
        <v>2</v>
      </c>
      <c r="I2886" s="13">
        <v>45694</v>
      </c>
      <c r="J2886" s="13" t="str">
        <f>TEXT(Table1[[#This Row],[Date]],"[$-en-US]mmm yyyy")</f>
        <v>Feb 2025</v>
      </c>
      <c r="K2886" s="13" t="str">
        <f>TEXT(Table1[[#This Row],[Date]],"[$-en-US]ddd")</f>
        <v>Thu</v>
      </c>
    </row>
    <row r="2887" spans="1:11" x14ac:dyDescent="0.25">
      <c r="A2887">
        <v>13</v>
      </c>
      <c r="B2887" t="s">
        <v>9</v>
      </c>
      <c r="C2887">
        <v>25.96</v>
      </c>
      <c r="D2887" t="s">
        <v>16</v>
      </c>
      <c r="E2887" t="s">
        <v>15</v>
      </c>
      <c r="F2887" t="s">
        <v>39</v>
      </c>
      <c r="G2887">
        <v>4</v>
      </c>
      <c r="H2887">
        <v>2</v>
      </c>
      <c r="I2887" s="13">
        <v>45694</v>
      </c>
      <c r="J2887" s="13" t="str">
        <f>TEXT(Table1[[#This Row],[Date]],"[$-en-US]mmm yyyy")</f>
        <v>Feb 2025</v>
      </c>
      <c r="K2887" s="13" t="str">
        <f>TEXT(Table1[[#This Row],[Date]],"[$-en-US]ddd")</f>
        <v>Thu</v>
      </c>
    </row>
    <row r="2888" spans="1:11" x14ac:dyDescent="0.25">
      <c r="A2888">
        <v>14</v>
      </c>
      <c r="B2888" t="s">
        <v>9</v>
      </c>
      <c r="C2888">
        <v>30.86</v>
      </c>
      <c r="D2888" t="s">
        <v>17</v>
      </c>
      <c r="E2888" t="s">
        <v>15</v>
      </c>
      <c r="F2888" t="s">
        <v>39</v>
      </c>
      <c r="G2888">
        <v>4</v>
      </c>
      <c r="H2888">
        <v>2</v>
      </c>
      <c r="I2888" s="13">
        <v>45694</v>
      </c>
      <c r="J2888" s="13" t="str">
        <f>TEXT(Table1[[#This Row],[Date]],"[$-en-US]mmm yyyy")</f>
        <v>Feb 2025</v>
      </c>
      <c r="K2888" s="13" t="str">
        <f>TEXT(Table1[[#This Row],[Date]],"[$-en-US]ddd")</f>
        <v>Thu</v>
      </c>
    </row>
    <row r="2889" spans="1:11" x14ac:dyDescent="0.25">
      <c r="A2889">
        <v>14</v>
      </c>
      <c r="B2889" t="s">
        <v>9</v>
      </c>
      <c r="C2889">
        <v>35.76</v>
      </c>
      <c r="D2889" t="s">
        <v>27</v>
      </c>
      <c r="E2889" t="s">
        <v>15</v>
      </c>
      <c r="F2889" t="s">
        <v>39</v>
      </c>
      <c r="G2889">
        <v>4</v>
      </c>
      <c r="H2889">
        <v>2</v>
      </c>
      <c r="I2889" s="13">
        <v>45694</v>
      </c>
      <c r="J2889" s="13" t="str">
        <f>TEXT(Table1[[#This Row],[Date]],"[$-en-US]mmm yyyy")</f>
        <v>Feb 2025</v>
      </c>
      <c r="K2889" s="13" t="str">
        <f>TEXT(Table1[[#This Row],[Date]],"[$-en-US]ddd")</f>
        <v>Thu</v>
      </c>
    </row>
    <row r="2890" spans="1:11" x14ac:dyDescent="0.25">
      <c r="A2890">
        <v>16</v>
      </c>
      <c r="B2890" t="s">
        <v>9</v>
      </c>
      <c r="C2890">
        <v>35.76</v>
      </c>
      <c r="D2890" t="s">
        <v>19</v>
      </c>
      <c r="E2890" t="s">
        <v>15</v>
      </c>
      <c r="F2890" t="s">
        <v>39</v>
      </c>
      <c r="G2890">
        <v>4</v>
      </c>
      <c r="H2890">
        <v>2</v>
      </c>
      <c r="I2890" s="13">
        <v>45694</v>
      </c>
      <c r="J2890" s="13" t="str">
        <f>TEXT(Table1[[#This Row],[Date]],"[$-en-US]mmm yyyy")</f>
        <v>Feb 2025</v>
      </c>
      <c r="K2890" s="13" t="str">
        <f>TEXT(Table1[[#This Row],[Date]],"[$-en-US]ddd")</f>
        <v>Thu</v>
      </c>
    </row>
    <row r="2891" spans="1:11" x14ac:dyDescent="0.25">
      <c r="A2891">
        <v>17</v>
      </c>
      <c r="B2891" t="s">
        <v>9</v>
      </c>
      <c r="C2891">
        <v>35.76</v>
      </c>
      <c r="D2891" t="s">
        <v>19</v>
      </c>
      <c r="E2891" t="s">
        <v>18</v>
      </c>
      <c r="F2891" t="s">
        <v>39</v>
      </c>
      <c r="G2891">
        <v>4</v>
      </c>
      <c r="H2891">
        <v>2</v>
      </c>
      <c r="I2891" s="13">
        <v>45694</v>
      </c>
      <c r="J2891" s="13" t="str">
        <f>TEXT(Table1[[#This Row],[Date]],"[$-en-US]mmm yyyy")</f>
        <v>Feb 2025</v>
      </c>
      <c r="K2891" s="13" t="str">
        <f>TEXT(Table1[[#This Row],[Date]],"[$-en-US]ddd")</f>
        <v>Thu</v>
      </c>
    </row>
    <row r="2892" spans="1:11" x14ac:dyDescent="0.25">
      <c r="A2892">
        <v>17</v>
      </c>
      <c r="B2892" t="s">
        <v>9</v>
      </c>
      <c r="C2892">
        <v>35.76</v>
      </c>
      <c r="D2892" t="s">
        <v>19</v>
      </c>
      <c r="E2892" t="s">
        <v>18</v>
      </c>
      <c r="F2892" t="s">
        <v>39</v>
      </c>
      <c r="G2892">
        <v>4</v>
      </c>
      <c r="H2892">
        <v>2</v>
      </c>
      <c r="I2892" s="13">
        <v>45694</v>
      </c>
      <c r="J2892" s="13" t="str">
        <f>TEXT(Table1[[#This Row],[Date]],"[$-en-US]mmm yyyy")</f>
        <v>Feb 2025</v>
      </c>
      <c r="K2892" s="13" t="str">
        <f>TEXT(Table1[[#This Row],[Date]],"[$-en-US]ddd")</f>
        <v>Thu</v>
      </c>
    </row>
    <row r="2893" spans="1:11" x14ac:dyDescent="0.25">
      <c r="A2893">
        <v>19</v>
      </c>
      <c r="B2893" t="s">
        <v>9</v>
      </c>
      <c r="C2893">
        <v>35.76</v>
      </c>
      <c r="D2893" t="s">
        <v>27</v>
      </c>
      <c r="E2893" t="s">
        <v>18</v>
      </c>
      <c r="F2893" t="s">
        <v>39</v>
      </c>
      <c r="G2893">
        <v>4</v>
      </c>
      <c r="H2893">
        <v>2</v>
      </c>
      <c r="I2893" s="13">
        <v>45694</v>
      </c>
      <c r="J2893" s="13" t="str">
        <f>TEXT(Table1[[#This Row],[Date]],"[$-en-US]mmm yyyy")</f>
        <v>Feb 2025</v>
      </c>
      <c r="K2893" s="13" t="str">
        <f>TEXT(Table1[[#This Row],[Date]],"[$-en-US]ddd")</f>
        <v>Thu</v>
      </c>
    </row>
    <row r="2894" spans="1:11" x14ac:dyDescent="0.25">
      <c r="A2894">
        <v>19</v>
      </c>
      <c r="B2894" t="s">
        <v>9</v>
      </c>
      <c r="C2894">
        <v>21.06</v>
      </c>
      <c r="D2894" t="s">
        <v>24</v>
      </c>
      <c r="E2894" t="s">
        <v>18</v>
      </c>
      <c r="F2894" t="s">
        <v>39</v>
      </c>
      <c r="G2894">
        <v>4</v>
      </c>
      <c r="H2894">
        <v>2</v>
      </c>
      <c r="I2894" s="13">
        <v>45694</v>
      </c>
      <c r="J2894" s="13" t="str">
        <f>TEXT(Table1[[#This Row],[Date]],"[$-en-US]mmm yyyy")</f>
        <v>Feb 2025</v>
      </c>
      <c r="K2894" s="13" t="str">
        <f>TEXT(Table1[[#This Row],[Date]],"[$-en-US]ddd")</f>
        <v>Thu</v>
      </c>
    </row>
    <row r="2895" spans="1:11" x14ac:dyDescent="0.25">
      <c r="A2895">
        <v>20</v>
      </c>
      <c r="B2895" t="s">
        <v>9</v>
      </c>
      <c r="C2895">
        <v>35.76</v>
      </c>
      <c r="D2895" t="s">
        <v>19</v>
      </c>
      <c r="E2895" t="s">
        <v>18</v>
      </c>
      <c r="F2895" t="s">
        <v>39</v>
      </c>
      <c r="G2895">
        <v>4</v>
      </c>
      <c r="H2895">
        <v>2</v>
      </c>
      <c r="I2895" s="13">
        <v>45694</v>
      </c>
      <c r="J2895" s="13" t="str">
        <f>TEXT(Table1[[#This Row],[Date]],"[$-en-US]mmm yyyy")</f>
        <v>Feb 2025</v>
      </c>
      <c r="K2895" s="13" t="str">
        <f>TEXT(Table1[[#This Row],[Date]],"[$-en-US]ddd")</f>
        <v>Thu</v>
      </c>
    </row>
    <row r="2896" spans="1:11" x14ac:dyDescent="0.25">
      <c r="A2896">
        <v>20</v>
      </c>
      <c r="B2896" t="s">
        <v>9</v>
      </c>
      <c r="C2896">
        <v>35.76</v>
      </c>
      <c r="D2896" t="s">
        <v>19</v>
      </c>
      <c r="E2896" t="s">
        <v>18</v>
      </c>
      <c r="F2896" t="s">
        <v>39</v>
      </c>
      <c r="G2896">
        <v>4</v>
      </c>
      <c r="H2896">
        <v>2</v>
      </c>
      <c r="I2896" s="13">
        <v>45694</v>
      </c>
      <c r="J2896" s="13" t="str">
        <f>TEXT(Table1[[#This Row],[Date]],"[$-en-US]mmm yyyy")</f>
        <v>Feb 2025</v>
      </c>
      <c r="K2896" s="13" t="str">
        <f>TEXT(Table1[[#This Row],[Date]],"[$-en-US]ddd")</f>
        <v>Thu</v>
      </c>
    </row>
    <row r="2897" spans="1:11" x14ac:dyDescent="0.25">
      <c r="A2897">
        <v>20</v>
      </c>
      <c r="B2897" t="s">
        <v>9</v>
      </c>
      <c r="C2897">
        <v>35.76</v>
      </c>
      <c r="D2897" t="s">
        <v>10</v>
      </c>
      <c r="E2897" t="s">
        <v>18</v>
      </c>
      <c r="F2897" t="s">
        <v>39</v>
      </c>
      <c r="G2897">
        <v>4</v>
      </c>
      <c r="H2897">
        <v>2</v>
      </c>
      <c r="I2897" s="13">
        <v>45694</v>
      </c>
      <c r="J2897" s="13" t="str">
        <f>TEXT(Table1[[#This Row],[Date]],"[$-en-US]mmm yyyy")</f>
        <v>Feb 2025</v>
      </c>
      <c r="K2897" s="13" t="str">
        <f>TEXT(Table1[[#This Row],[Date]],"[$-en-US]ddd")</f>
        <v>Thu</v>
      </c>
    </row>
    <row r="2898" spans="1:11" x14ac:dyDescent="0.25">
      <c r="A2898">
        <v>8</v>
      </c>
      <c r="B2898" t="s">
        <v>9</v>
      </c>
      <c r="C2898">
        <v>30.86</v>
      </c>
      <c r="D2898" t="s">
        <v>17</v>
      </c>
      <c r="E2898" t="s">
        <v>11</v>
      </c>
      <c r="F2898" t="s">
        <v>39</v>
      </c>
      <c r="G2898">
        <v>5</v>
      </c>
      <c r="H2898">
        <v>2</v>
      </c>
      <c r="I2898" s="13">
        <v>45695</v>
      </c>
      <c r="J2898" s="13" t="str">
        <f>TEXT(Table1[[#This Row],[Date]],"[$-en-US]mmm yyyy")</f>
        <v>Feb 2025</v>
      </c>
      <c r="K2898" s="13" t="str">
        <f>TEXT(Table1[[#This Row],[Date]],"[$-en-US]ddd")</f>
        <v>Fri</v>
      </c>
    </row>
    <row r="2899" spans="1:11" x14ac:dyDescent="0.25">
      <c r="A2899">
        <v>9</v>
      </c>
      <c r="B2899" t="s">
        <v>9</v>
      </c>
      <c r="C2899">
        <v>30.86</v>
      </c>
      <c r="D2899" t="s">
        <v>17</v>
      </c>
      <c r="E2899" t="s">
        <v>11</v>
      </c>
      <c r="F2899" t="s">
        <v>39</v>
      </c>
      <c r="G2899">
        <v>5</v>
      </c>
      <c r="H2899">
        <v>2</v>
      </c>
      <c r="I2899" s="13">
        <v>45695</v>
      </c>
      <c r="J2899" s="13" t="str">
        <f>TEXT(Table1[[#This Row],[Date]],"[$-en-US]mmm yyyy")</f>
        <v>Feb 2025</v>
      </c>
      <c r="K2899" s="13" t="str">
        <f>TEXT(Table1[[#This Row],[Date]],"[$-en-US]ddd")</f>
        <v>Fri</v>
      </c>
    </row>
    <row r="2900" spans="1:11" x14ac:dyDescent="0.25">
      <c r="A2900">
        <v>10</v>
      </c>
      <c r="B2900" t="s">
        <v>9</v>
      </c>
      <c r="C2900">
        <v>25.96</v>
      </c>
      <c r="D2900" t="s">
        <v>16</v>
      </c>
      <c r="E2900" t="s">
        <v>11</v>
      </c>
      <c r="F2900" t="s">
        <v>39</v>
      </c>
      <c r="G2900">
        <v>5</v>
      </c>
      <c r="H2900">
        <v>2</v>
      </c>
      <c r="I2900" s="13">
        <v>45695</v>
      </c>
      <c r="J2900" s="13" t="str">
        <f>TEXT(Table1[[#This Row],[Date]],"[$-en-US]mmm yyyy")</f>
        <v>Feb 2025</v>
      </c>
      <c r="K2900" s="13" t="str">
        <f>TEXT(Table1[[#This Row],[Date]],"[$-en-US]ddd")</f>
        <v>Fri</v>
      </c>
    </row>
    <row r="2901" spans="1:11" x14ac:dyDescent="0.25">
      <c r="A2901">
        <v>12</v>
      </c>
      <c r="B2901" t="s">
        <v>9</v>
      </c>
      <c r="C2901">
        <v>35.76</v>
      </c>
      <c r="D2901" t="s">
        <v>19</v>
      </c>
      <c r="E2901" t="s">
        <v>15</v>
      </c>
      <c r="F2901" t="s">
        <v>39</v>
      </c>
      <c r="G2901">
        <v>5</v>
      </c>
      <c r="H2901">
        <v>2</v>
      </c>
      <c r="I2901" s="13">
        <v>45695</v>
      </c>
      <c r="J2901" s="13" t="str">
        <f>TEXT(Table1[[#This Row],[Date]],"[$-en-US]mmm yyyy")</f>
        <v>Feb 2025</v>
      </c>
      <c r="K2901" s="13" t="str">
        <f>TEXT(Table1[[#This Row],[Date]],"[$-en-US]ddd")</f>
        <v>Fri</v>
      </c>
    </row>
    <row r="2902" spans="1:11" x14ac:dyDescent="0.25">
      <c r="A2902">
        <v>12</v>
      </c>
      <c r="B2902" t="s">
        <v>9</v>
      </c>
      <c r="C2902">
        <v>30.86</v>
      </c>
      <c r="D2902" t="s">
        <v>17</v>
      </c>
      <c r="E2902" t="s">
        <v>15</v>
      </c>
      <c r="F2902" t="s">
        <v>39</v>
      </c>
      <c r="G2902">
        <v>5</v>
      </c>
      <c r="H2902">
        <v>2</v>
      </c>
      <c r="I2902" s="13">
        <v>45695</v>
      </c>
      <c r="J2902" s="13" t="str">
        <f>TEXT(Table1[[#This Row],[Date]],"[$-en-US]mmm yyyy")</f>
        <v>Feb 2025</v>
      </c>
      <c r="K2902" s="13" t="str">
        <f>TEXT(Table1[[#This Row],[Date]],"[$-en-US]ddd")</f>
        <v>Fri</v>
      </c>
    </row>
    <row r="2903" spans="1:11" x14ac:dyDescent="0.25">
      <c r="A2903">
        <v>12</v>
      </c>
      <c r="B2903" t="s">
        <v>9</v>
      </c>
      <c r="C2903">
        <v>25.96</v>
      </c>
      <c r="D2903" t="s">
        <v>16</v>
      </c>
      <c r="E2903" t="s">
        <v>15</v>
      </c>
      <c r="F2903" t="s">
        <v>39</v>
      </c>
      <c r="G2903">
        <v>5</v>
      </c>
      <c r="H2903">
        <v>2</v>
      </c>
      <c r="I2903" s="13">
        <v>45695</v>
      </c>
      <c r="J2903" s="13" t="str">
        <f>TEXT(Table1[[#This Row],[Date]],"[$-en-US]mmm yyyy")</f>
        <v>Feb 2025</v>
      </c>
      <c r="K2903" s="13" t="str">
        <f>TEXT(Table1[[#This Row],[Date]],"[$-en-US]ddd")</f>
        <v>Fri</v>
      </c>
    </row>
    <row r="2904" spans="1:11" x14ac:dyDescent="0.25">
      <c r="A2904">
        <v>16</v>
      </c>
      <c r="B2904" t="s">
        <v>9</v>
      </c>
      <c r="C2904">
        <v>25.96</v>
      </c>
      <c r="D2904" t="s">
        <v>22</v>
      </c>
      <c r="E2904" t="s">
        <v>15</v>
      </c>
      <c r="F2904" t="s">
        <v>39</v>
      </c>
      <c r="G2904">
        <v>5</v>
      </c>
      <c r="H2904">
        <v>2</v>
      </c>
      <c r="I2904" s="13">
        <v>45695</v>
      </c>
      <c r="J2904" s="13" t="str">
        <f>TEXT(Table1[[#This Row],[Date]],"[$-en-US]mmm yyyy")</f>
        <v>Feb 2025</v>
      </c>
      <c r="K2904" s="13" t="str">
        <f>TEXT(Table1[[#This Row],[Date]],"[$-en-US]ddd")</f>
        <v>Fri</v>
      </c>
    </row>
    <row r="2905" spans="1:11" x14ac:dyDescent="0.25">
      <c r="A2905">
        <v>16</v>
      </c>
      <c r="B2905" t="s">
        <v>9</v>
      </c>
      <c r="C2905">
        <v>35.76</v>
      </c>
      <c r="D2905" t="s">
        <v>10</v>
      </c>
      <c r="E2905" t="s">
        <v>15</v>
      </c>
      <c r="F2905" t="s">
        <v>39</v>
      </c>
      <c r="G2905">
        <v>5</v>
      </c>
      <c r="H2905">
        <v>2</v>
      </c>
      <c r="I2905" s="13">
        <v>45695</v>
      </c>
      <c r="J2905" s="13" t="str">
        <f>TEXT(Table1[[#This Row],[Date]],"[$-en-US]mmm yyyy")</f>
        <v>Feb 2025</v>
      </c>
      <c r="K2905" s="13" t="str">
        <f>TEXT(Table1[[#This Row],[Date]],"[$-en-US]ddd")</f>
        <v>Fri</v>
      </c>
    </row>
    <row r="2906" spans="1:11" x14ac:dyDescent="0.25">
      <c r="A2906">
        <v>16</v>
      </c>
      <c r="B2906" t="s">
        <v>9</v>
      </c>
      <c r="C2906">
        <v>35.76</v>
      </c>
      <c r="D2906" t="s">
        <v>14</v>
      </c>
      <c r="E2906" t="s">
        <v>15</v>
      </c>
      <c r="F2906" t="s">
        <v>39</v>
      </c>
      <c r="G2906">
        <v>5</v>
      </c>
      <c r="H2906">
        <v>2</v>
      </c>
      <c r="I2906" s="13">
        <v>45695</v>
      </c>
      <c r="J2906" s="13" t="str">
        <f>TEXT(Table1[[#This Row],[Date]],"[$-en-US]mmm yyyy")</f>
        <v>Feb 2025</v>
      </c>
      <c r="K2906" s="13" t="str">
        <f>TEXT(Table1[[#This Row],[Date]],"[$-en-US]ddd")</f>
        <v>Fri</v>
      </c>
    </row>
    <row r="2907" spans="1:11" x14ac:dyDescent="0.25">
      <c r="A2907">
        <v>16</v>
      </c>
      <c r="B2907" t="s">
        <v>9</v>
      </c>
      <c r="C2907">
        <v>35.76</v>
      </c>
      <c r="D2907" t="s">
        <v>10</v>
      </c>
      <c r="E2907" t="s">
        <v>15</v>
      </c>
      <c r="F2907" t="s">
        <v>39</v>
      </c>
      <c r="G2907">
        <v>5</v>
      </c>
      <c r="H2907">
        <v>2</v>
      </c>
      <c r="I2907" s="13">
        <v>45695</v>
      </c>
      <c r="J2907" s="13" t="str">
        <f>TEXT(Table1[[#This Row],[Date]],"[$-en-US]mmm yyyy")</f>
        <v>Feb 2025</v>
      </c>
      <c r="K2907" s="13" t="str">
        <f>TEXT(Table1[[#This Row],[Date]],"[$-en-US]ddd")</f>
        <v>Fri</v>
      </c>
    </row>
    <row r="2908" spans="1:11" x14ac:dyDescent="0.25">
      <c r="A2908">
        <v>18</v>
      </c>
      <c r="B2908" t="s">
        <v>9</v>
      </c>
      <c r="C2908">
        <v>35.76</v>
      </c>
      <c r="D2908" t="s">
        <v>19</v>
      </c>
      <c r="E2908" t="s">
        <v>18</v>
      </c>
      <c r="F2908" t="s">
        <v>39</v>
      </c>
      <c r="G2908">
        <v>5</v>
      </c>
      <c r="H2908">
        <v>2</v>
      </c>
      <c r="I2908" s="13">
        <v>45695</v>
      </c>
      <c r="J2908" s="13" t="str">
        <f>TEXT(Table1[[#This Row],[Date]],"[$-en-US]mmm yyyy")</f>
        <v>Feb 2025</v>
      </c>
      <c r="K2908" s="13" t="str">
        <f>TEXT(Table1[[#This Row],[Date]],"[$-en-US]ddd")</f>
        <v>Fri</v>
      </c>
    </row>
    <row r="2909" spans="1:11" x14ac:dyDescent="0.25">
      <c r="A2909">
        <v>18</v>
      </c>
      <c r="B2909" t="s">
        <v>9</v>
      </c>
      <c r="C2909">
        <v>35.76</v>
      </c>
      <c r="D2909" t="s">
        <v>19</v>
      </c>
      <c r="E2909" t="s">
        <v>18</v>
      </c>
      <c r="F2909" t="s">
        <v>39</v>
      </c>
      <c r="G2909">
        <v>5</v>
      </c>
      <c r="H2909">
        <v>2</v>
      </c>
      <c r="I2909" s="13">
        <v>45695</v>
      </c>
      <c r="J2909" s="13" t="str">
        <f>TEXT(Table1[[#This Row],[Date]],"[$-en-US]mmm yyyy")</f>
        <v>Feb 2025</v>
      </c>
      <c r="K2909" s="13" t="str">
        <f>TEXT(Table1[[#This Row],[Date]],"[$-en-US]ddd")</f>
        <v>Fri</v>
      </c>
    </row>
    <row r="2910" spans="1:11" x14ac:dyDescent="0.25">
      <c r="A2910">
        <v>18</v>
      </c>
      <c r="B2910" t="s">
        <v>9</v>
      </c>
      <c r="C2910">
        <v>25.96</v>
      </c>
      <c r="D2910" t="s">
        <v>22</v>
      </c>
      <c r="E2910" t="s">
        <v>18</v>
      </c>
      <c r="F2910" t="s">
        <v>39</v>
      </c>
      <c r="G2910">
        <v>5</v>
      </c>
      <c r="H2910">
        <v>2</v>
      </c>
      <c r="I2910" s="13">
        <v>45695</v>
      </c>
      <c r="J2910" s="13" t="str">
        <f>TEXT(Table1[[#This Row],[Date]],"[$-en-US]mmm yyyy")</f>
        <v>Feb 2025</v>
      </c>
      <c r="K2910" s="13" t="str">
        <f>TEXT(Table1[[#This Row],[Date]],"[$-en-US]ddd")</f>
        <v>Fri</v>
      </c>
    </row>
    <row r="2911" spans="1:11" x14ac:dyDescent="0.25">
      <c r="A2911">
        <v>18</v>
      </c>
      <c r="B2911" t="s">
        <v>9</v>
      </c>
      <c r="C2911">
        <v>35.76</v>
      </c>
      <c r="D2911" t="s">
        <v>19</v>
      </c>
      <c r="E2911" t="s">
        <v>18</v>
      </c>
      <c r="F2911" t="s">
        <v>39</v>
      </c>
      <c r="G2911">
        <v>5</v>
      </c>
      <c r="H2911">
        <v>2</v>
      </c>
      <c r="I2911" s="13">
        <v>45695</v>
      </c>
      <c r="J2911" s="13" t="str">
        <f>TEXT(Table1[[#This Row],[Date]],"[$-en-US]mmm yyyy")</f>
        <v>Feb 2025</v>
      </c>
      <c r="K2911" s="13" t="str">
        <f>TEXT(Table1[[#This Row],[Date]],"[$-en-US]ddd")</f>
        <v>Fri</v>
      </c>
    </row>
    <row r="2912" spans="1:11" x14ac:dyDescent="0.25">
      <c r="A2912">
        <v>20</v>
      </c>
      <c r="B2912" t="s">
        <v>9</v>
      </c>
      <c r="C2912">
        <v>35.76</v>
      </c>
      <c r="D2912" t="s">
        <v>19</v>
      </c>
      <c r="E2912" t="s">
        <v>18</v>
      </c>
      <c r="F2912" t="s">
        <v>39</v>
      </c>
      <c r="G2912">
        <v>5</v>
      </c>
      <c r="H2912">
        <v>2</v>
      </c>
      <c r="I2912" s="13">
        <v>45695</v>
      </c>
      <c r="J2912" s="13" t="str">
        <f>TEXT(Table1[[#This Row],[Date]],"[$-en-US]mmm yyyy")</f>
        <v>Feb 2025</v>
      </c>
      <c r="K2912" s="13" t="str">
        <f>TEXT(Table1[[#This Row],[Date]],"[$-en-US]ddd")</f>
        <v>Fri</v>
      </c>
    </row>
    <row r="2913" spans="1:11" x14ac:dyDescent="0.25">
      <c r="A2913">
        <v>20</v>
      </c>
      <c r="B2913" t="s">
        <v>9</v>
      </c>
      <c r="C2913">
        <v>25.96</v>
      </c>
      <c r="D2913" t="s">
        <v>22</v>
      </c>
      <c r="E2913" t="s">
        <v>18</v>
      </c>
      <c r="F2913" t="s">
        <v>39</v>
      </c>
      <c r="G2913">
        <v>5</v>
      </c>
      <c r="H2913">
        <v>2</v>
      </c>
      <c r="I2913" s="13">
        <v>45695</v>
      </c>
      <c r="J2913" s="13" t="str">
        <f>TEXT(Table1[[#This Row],[Date]],"[$-en-US]mmm yyyy")</f>
        <v>Feb 2025</v>
      </c>
      <c r="K2913" s="13" t="str">
        <f>TEXT(Table1[[#This Row],[Date]],"[$-en-US]ddd")</f>
        <v>Fri</v>
      </c>
    </row>
    <row r="2914" spans="1:11" x14ac:dyDescent="0.25">
      <c r="A2914">
        <v>9</v>
      </c>
      <c r="B2914" t="s">
        <v>9</v>
      </c>
      <c r="C2914">
        <v>25.96</v>
      </c>
      <c r="D2914" t="s">
        <v>16</v>
      </c>
      <c r="E2914" t="s">
        <v>11</v>
      </c>
      <c r="F2914" t="s">
        <v>39</v>
      </c>
      <c r="G2914">
        <v>6</v>
      </c>
      <c r="H2914">
        <v>2</v>
      </c>
      <c r="I2914" s="13">
        <v>45696</v>
      </c>
      <c r="J2914" s="13" t="str">
        <f>TEXT(Table1[[#This Row],[Date]],"[$-en-US]mmm yyyy")</f>
        <v>Feb 2025</v>
      </c>
      <c r="K2914" s="13" t="str">
        <f>TEXT(Table1[[#This Row],[Date]],"[$-en-US]ddd")</f>
        <v>Sat</v>
      </c>
    </row>
    <row r="2915" spans="1:11" x14ac:dyDescent="0.25">
      <c r="A2915">
        <v>10</v>
      </c>
      <c r="B2915" t="s">
        <v>9</v>
      </c>
      <c r="C2915">
        <v>30.86</v>
      </c>
      <c r="D2915" t="s">
        <v>17</v>
      </c>
      <c r="E2915" t="s">
        <v>11</v>
      </c>
      <c r="F2915" t="s">
        <v>39</v>
      </c>
      <c r="G2915">
        <v>6</v>
      </c>
      <c r="H2915">
        <v>2</v>
      </c>
      <c r="I2915" s="13">
        <v>45696</v>
      </c>
      <c r="J2915" s="13" t="str">
        <f>TEXT(Table1[[#This Row],[Date]],"[$-en-US]mmm yyyy")</f>
        <v>Feb 2025</v>
      </c>
      <c r="K2915" s="13" t="str">
        <f>TEXT(Table1[[#This Row],[Date]],"[$-en-US]ddd")</f>
        <v>Sat</v>
      </c>
    </row>
    <row r="2916" spans="1:11" x14ac:dyDescent="0.25">
      <c r="A2916">
        <v>11</v>
      </c>
      <c r="B2916" t="s">
        <v>9</v>
      </c>
      <c r="C2916">
        <v>25.96</v>
      </c>
      <c r="D2916" t="s">
        <v>22</v>
      </c>
      <c r="E2916" t="s">
        <v>11</v>
      </c>
      <c r="F2916" t="s">
        <v>39</v>
      </c>
      <c r="G2916">
        <v>6</v>
      </c>
      <c r="H2916">
        <v>2</v>
      </c>
      <c r="I2916" s="13">
        <v>45696</v>
      </c>
      <c r="J2916" s="13" t="str">
        <f>TEXT(Table1[[#This Row],[Date]],"[$-en-US]mmm yyyy")</f>
        <v>Feb 2025</v>
      </c>
      <c r="K2916" s="13" t="str">
        <f>TEXT(Table1[[#This Row],[Date]],"[$-en-US]ddd")</f>
        <v>Sat</v>
      </c>
    </row>
    <row r="2917" spans="1:11" x14ac:dyDescent="0.25">
      <c r="A2917">
        <v>11</v>
      </c>
      <c r="B2917" t="s">
        <v>9</v>
      </c>
      <c r="C2917">
        <v>25.96</v>
      </c>
      <c r="D2917" t="s">
        <v>16</v>
      </c>
      <c r="E2917" t="s">
        <v>11</v>
      </c>
      <c r="F2917" t="s">
        <v>39</v>
      </c>
      <c r="G2917">
        <v>6</v>
      </c>
      <c r="H2917">
        <v>2</v>
      </c>
      <c r="I2917" s="13">
        <v>45696</v>
      </c>
      <c r="J2917" s="13" t="str">
        <f>TEXT(Table1[[#This Row],[Date]],"[$-en-US]mmm yyyy")</f>
        <v>Feb 2025</v>
      </c>
      <c r="K2917" s="13" t="str">
        <f>TEXT(Table1[[#This Row],[Date]],"[$-en-US]ddd")</f>
        <v>Sat</v>
      </c>
    </row>
    <row r="2918" spans="1:11" x14ac:dyDescent="0.25">
      <c r="A2918">
        <v>12</v>
      </c>
      <c r="B2918" t="s">
        <v>9</v>
      </c>
      <c r="C2918">
        <v>25.96</v>
      </c>
      <c r="D2918" t="s">
        <v>16</v>
      </c>
      <c r="E2918" t="s">
        <v>15</v>
      </c>
      <c r="F2918" t="s">
        <v>39</v>
      </c>
      <c r="G2918">
        <v>6</v>
      </c>
      <c r="H2918">
        <v>2</v>
      </c>
      <c r="I2918" s="13">
        <v>45696</v>
      </c>
      <c r="J2918" s="13" t="str">
        <f>TEXT(Table1[[#This Row],[Date]],"[$-en-US]mmm yyyy")</f>
        <v>Feb 2025</v>
      </c>
      <c r="K2918" s="13" t="str">
        <f>TEXT(Table1[[#This Row],[Date]],"[$-en-US]ddd")</f>
        <v>Sat</v>
      </c>
    </row>
    <row r="2919" spans="1:11" x14ac:dyDescent="0.25">
      <c r="A2919">
        <v>13</v>
      </c>
      <c r="B2919" t="s">
        <v>9</v>
      </c>
      <c r="C2919">
        <v>25.96</v>
      </c>
      <c r="D2919" t="s">
        <v>16</v>
      </c>
      <c r="E2919" t="s">
        <v>15</v>
      </c>
      <c r="F2919" t="s">
        <v>39</v>
      </c>
      <c r="G2919">
        <v>6</v>
      </c>
      <c r="H2919">
        <v>2</v>
      </c>
      <c r="I2919" s="13">
        <v>45696</v>
      </c>
      <c r="J2919" s="13" t="str">
        <f>TEXT(Table1[[#This Row],[Date]],"[$-en-US]mmm yyyy")</f>
        <v>Feb 2025</v>
      </c>
      <c r="K2919" s="13" t="str">
        <f>TEXT(Table1[[#This Row],[Date]],"[$-en-US]ddd")</f>
        <v>Sat</v>
      </c>
    </row>
    <row r="2920" spans="1:11" x14ac:dyDescent="0.25">
      <c r="A2920">
        <v>15</v>
      </c>
      <c r="B2920" t="s">
        <v>9</v>
      </c>
      <c r="C2920">
        <v>25.96</v>
      </c>
      <c r="D2920" t="s">
        <v>16</v>
      </c>
      <c r="E2920" t="s">
        <v>15</v>
      </c>
      <c r="F2920" t="s">
        <v>39</v>
      </c>
      <c r="G2920">
        <v>6</v>
      </c>
      <c r="H2920">
        <v>2</v>
      </c>
      <c r="I2920" s="13">
        <v>45696</v>
      </c>
      <c r="J2920" s="13" t="str">
        <f>TEXT(Table1[[#This Row],[Date]],"[$-en-US]mmm yyyy")</f>
        <v>Feb 2025</v>
      </c>
      <c r="K2920" s="13" t="str">
        <f>TEXT(Table1[[#This Row],[Date]],"[$-en-US]ddd")</f>
        <v>Sat</v>
      </c>
    </row>
    <row r="2921" spans="1:11" x14ac:dyDescent="0.25">
      <c r="A2921">
        <v>15</v>
      </c>
      <c r="B2921" t="s">
        <v>9</v>
      </c>
      <c r="C2921">
        <v>25.96</v>
      </c>
      <c r="D2921" t="s">
        <v>16</v>
      </c>
      <c r="E2921" t="s">
        <v>15</v>
      </c>
      <c r="F2921" t="s">
        <v>39</v>
      </c>
      <c r="G2921">
        <v>6</v>
      </c>
      <c r="H2921">
        <v>2</v>
      </c>
      <c r="I2921" s="13">
        <v>45696</v>
      </c>
      <c r="J2921" s="13" t="str">
        <f>TEXT(Table1[[#This Row],[Date]],"[$-en-US]mmm yyyy")</f>
        <v>Feb 2025</v>
      </c>
      <c r="K2921" s="13" t="str">
        <f>TEXT(Table1[[#This Row],[Date]],"[$-en-US]ddd")</f>
        <v>Sat</v>
      </c>
    </row>
    <row r="2922" spans="1:11" x14ac:dyDescent="0.25">
      <c r="A2922">
        <v>8</v>
      </c>
      <c r="B2922" t="s">
        <v>9</v>
      </c>
      <c r="C2922">
        <v>35.76</v>
      </c>
      <c r="D2922" t="s">
        <v>19</v>
      </c>
      <c r="E2922" t="s">
        <v>11</v>
      </c>
      <c r="F2922" t="s">
        <v>39</v>
      </c>
      <c r="G2922">
        <v>7</v>
      </c>
      <c r="H2922">
        <v>2</v>
      </c>
      <c r="I2922" s="13">
        <v>45697</v>
      </c>
      <c r="J2922" s="13" t="str">
        <f>TEXT(Table1[[#This Row],[Date]],"[$-en-US]mmm yyyy")</f>
        <v>Feb 2025</v>
      </c>
      <c r="K2922" s="13" t="str">
        <f>TEXT(Table1[[#This Row],[Date]],"[$-en-US]ddd")</f>
        <v>Sun</v>
      </c>
    </row>
    <row r="2923" spans="1:11" x14ac:dyDescent="0.25">
      <c r="A2923">
        <v>10</v>
      </c>
      <c r="B2923" t="s">
        <v>9</v>
      </c>
      <c r="C2923">
        <v>30.86</v>
      </c>
      <c r="D2923" t="s">
        <v>17</v>
      </c>
      <c r="E2923" t="s">
        <v>11</v>
      </c>
      <c r="F2923" t="s">
        <v>39</v>
      </c>
      <c r="G2923">
        <v>7</v>
      </c>
      <c r="H2923">
        <v>2</v>
      </c>
      <c r="I2923" s="13">
        <v>45697</v>
      </c>
      <c r="J2923" s="13" t="str">
        <f>TEXT(Table1[[#This Row],[Date]],"[$-en-US]mmm yyyy")</f>
        <v>Feb 2025</v>
      </c>
      <c r="K2923" s="13" t="str">
        <f>TEXT(Table1[[#This Row],[Date]],"[$-en-US]ddd")</f>
        <v>Sun</v>
      </c>
    </row>
    <row r="2924" spans="1:11" x14ac:dyDescent="0.25">
      <c r="A2924">
        <v>10</v>
      </c>
      <c r="B2924" t="s">
        <v>9</v>
      </c>
      <c r="C2924">
        <v>25.96</v>
      </c>
      <c r="D2924" t="s">
        <v>16</v>
      </c>
      <c r="E2924" t="s">
        <v>11</v>
      </c>
      <c r="F2924" t="s">
        <v>39</v>
      </c>
      <c r="G2924">
        <v>7</v>
      </c>
      <c r="H2924">
        <v>2</v>
      </c>
      <c r="I2924" s="13">
        <v>45697</v>
      </c>
      <c r="J2924" s="13" t="str">
        <f>TEXT(Table1[[#This Row],[Date]],"[$-en-US]mmm yyyy")</f>
        <v>Feb 2025</v>
      </c>
      <c r="K2924" s="13" t="str">
        <f>TEXT(Table1[[#This Row],[Date]],"[$-en-US]ddd")</f>
        <v>Sun</v>
      </c>
    </row>
    <row r="2925" spans="1:11" x14ac:dyDescent="0.25">
      <c r="A2925">
        <v>12</v>
      </c>
      <c r="B2925" t="s">
        <v>9</v>
      </c>
      <c r="C2925">
        <v>35.76</v>
      </c>
      <c r="D2925" t="s">
        <v>10</v>
      </c>
      <c r="E2925" t="s">
        <v>15</v>
      </c>
      <c r="F2925" t="s">
        <v>39</v>
      </c>
      <c r="G2925">
        <v>7</v>
      </c>
      <c r="H2925">
        <v>2</v>
      </c>
      <c r="I2925" s="13">
        <v>45697</v>
      </c>
      <c r="J2925" s="13" t="str">
        <f>TEXT(Table1[[#This Row],[Date]],"[$-en-US]mmm yyyy")</f>
        <v>Feb 2025</v>
      </c>
      <c r="K2925" s="13" t="str">
        <f>TEXT(Table1[[#This Row],[Date]],"[$-en-US]ddd")</f>
        <v>Sun</v>
      </c>
    </row>
    <row r="2926" spans="1:11" x14ac:dyDescent="0.25">
      <c r="A2926">
        <v>15</v>
      </c>
      <c r="B2926" t="s">
        <v>9</v>
      </c>
      <c r="C2926">
        <v>35.76</v>
      </c>
      <c r="D2926" t="s">
        <v>19</v>
      </c>
      <c r="E2926" t="s">
        <v>15</v>
      </c>
      <c r="F2926" t="s">
        <v>39</v>
      </c>
      <c r="G2926">
        <v>7</v>
      </c>
      <c r="H2926">
        <v>2</v>
      </c>
      <c r="I2926" s="13">
        <v>45697</v>
      </c>
      <c r="J2926" s="13" t="str">
        <f>TEXT(Table1[[#This Row],[Date]],"[$-en-US]mmm yyyy")</f>
        <v>Feb 2025</v>
      </c>
      <c r="K2926" s="13" t="str">
        <f>TEXT(Table1[[#This Row],[Date]],"[$-en-US]ddd")</f>
        <v>Sun</v>
      </c>
    </row>
    <row r="2927" spans="1:11" x14ac:dyDescent="0.25">
      <c r="A2927">
        <v>15</v>
      </c>
      <c r="B2927" t="s">
        <v>9</v>
      </c>
      <c r="C2927">
        <v>35.76</v>
      </c>
      <c r="D2927" t="s">
        <v>10</v>
      </c>
      <c r="E2927" t="s">
        <v>15</v>
      </c>
      <c r="F2927" t="s">
        <v>39</v>
      </c>
      <c r="G2927">
        <v>7</v>
      </c>
      <c r="H2927">
        <v>2</v>
      </c>
      <c r="I2927" s="13">
        <v>45697</v>
      </c>
      <c r="J2927" s="13" t="str">
        <f>TEXT(Table1[[#This Row],[Date]],"[$-en-US]mmm yyyy")</f>
        <v>Feb 2025</v>
      </c>
      <c r="K2927" s="13" t="str">
        <f>TEXT(Table1[[#This Row],[Date]],"[$-en-US]ddd")</f>
        <v>Sun</v>
      </c>
    </row>
    <row r="2928" spans="1:11" x14ac:dyDescent="0.25">
      <c r="A2928">
        <v>15</v>
      </c>
      <c r="B2928" t="s">
        <v>9</v>
      </c>
      <c r="C2928">
        <v>35.76</v>
      </c>
      <c r="D2928" t="s">
        <v>14</v>
      </c>
      <c r="E2928" t="s">
        <v>15</v>
      </c>
      <c r="F2928" t="s">
        <v>39</v>
      </c>
      <c r="G2928">
        <v>7</v>
      </c>
      <c r="H2928">
        <v>2</v>
      </c>
      <c r="I2928" s="13">
        <v>45697</v>
      </c>
      <c r="J2928" s="13" t="str">
        <f>TEXT(Table1[[#This Row],[Date]],"[$-en-US]mmm yyyy")</f>
        <v>Feb 2025</v>
      </c>
      <c r="K2928" s="13" t="str">
        <f>TEXT(Table1[[#This Row],[Date]],"[$-en-US]ddd")</f>
        <v>Sun</v>
      </c>
    </row>
    <row r="2929" spans="1:11" x14ac:dyDescent="0.25">
      <c r="A2929">
        <v>15</v>
      </c>
      <c r="B2929" t="s">
        <v>9</v>
      </c>
      <c r="C2929">
        <v>35.76</v>
      </c>
      <c r="D2929" t="s">
        <v>19</v>
      </c>
      <c r="E2929" t="s">
        <v>15</v>
      </c>
      <c r="F2929" t="s">
        <v>39</v>
      </c>
      <c r="G2929">
        <v>7</v>
      </c>
      <c r="H2929">
        <v>2</v>
      </c>
      <c r="I2929" s="13">
        <v>45697</v>
      </c>
      <c r="J2929" s="13" t="str">
        <f>TEXT(Table1[[#This Row],[Date]],"[$-en-US]mmm yyyy")</f>
        <v>Feb 2025</v>
      </c>
      <c r="K2929" s="13" t="str">
        <f>TEXT(Table1[[#This Row],[Date]],"[$-en-US]ddd")</f>
        <v>Sun</v>
      </c>
    </row>
    <row r="2930" spans="1:11" x14ac:dyDescent="0.25">
      <c r="A2930">
        <v>16</v>
      </c>
      <c r="B2930" t="s">
        <v>9</v>
      </c>
      <c r="C2930">
        <v>25.96</v>
      </c>
      <c r="D2930" t="s">
        <v>22</v>
      </c>
      <c r="E2930" t="s">
        <v>15</v>
      </c>
      <c r="F2930" t="s">
        <v>39</v>
      </c>
      <c r="G2930">
        <v>7</v>
      </c>
      <c r="H2930">
        <v>2</v>
      </c>
      <c r="I2930" s="13">
        <v>45697</v>
      </c>
      <c r="J2930" s="13" t="str">
        <f>TEXT(Table1[[#This Row],[Date]],"[$-en-US]mmm yyyy")</f>
        <v>Feb 2025</v>
      </c>
      <c r="K2930" s="13" t="str">
        <f>TEXT(Table1[[#This Row],[Date]],"[$-en-US]ddd")</f>
        <v>Sun</v>
      </c>
    </row>
    <row r="2931" spans="1:11" x14ac:dyDescent="0.25">
      <c r="A2931">
        <v>7</v>
      </c>
      <c r="B2931" t="s">
        <v>9</v>
      </c>
      <c r="C2931">
        <v>25.96</v>
      </c>
      <c r="D2931" t="s">
        <v>16</v>
      </c>
      <c r="E2931" t="s">
        <v>11</v>
      </c>
      <c r="F2931" t="s">
        <v>39</v>
      </c>
      <c r="G2931">
        <v>1</v>
      </c>
      <c r="H2931">
        <v>2</v>
      </c>
      <c r="I2931" s="13">
        <v>45698</v>
      </c>
      <c r="J2931" s="13" t="str">
        <f>TEXT(Table1[[#This Row],[Date]],"[$-en-US]mmm yyyy")</f>
        <v>Feb 2025</v>
      </c>
      <c r="K2931" s="13" t="str">
        <f>TEXT(Table1[[#This Row],[Date]],"[$-en-US]ddd")</f>
        <v>Mon</v>
      </c>
    </row>
    <row r="2932" spans="1:11" x14ac:dyDescent="0.25">
      <c r="A2932">
        <v>8</v>
      </c>
      <c r="B2932" t="s">
        <v>9</v>
      </c>
      <c r="C2932">
        <v>25.96</v>
      </c>
      <c r="D2932" t="s">
        <v>16</v>
      </c>
      <c r="E2932" t="s">
        <v>11</v>
      </c>
      <c r="F2932" t="s">
        <v>39</v>
      </c>
      <c r="G2932">
        <v>1</v>
      </c>
      <c r="H2932">
        <v>2</v>
      </c>
      <c r="I2932" s="13">
        <v>45698</v>
      </c>
      <c r="J2932" s="13" t="str">
        <f>TEXT(Table1[[#This Row],[Date]],"[$-en-US]mmm yyyy")</f>
        <v>Feb 2025</v>
      </c>
      <c r="K2932" s="13" t="str">
        <f>TEXT(Table1[[#This Row],[Date]],"[$-en-US]ddd")</f>
        <v>Mon</v>
      </c>
    </row>
    <row r="2933" spans="1:11" x14ac:dyDescent="0.25">
      <c r="A2933">
        <v>8</v>
      </c>
      <c r="B2933" t="s">
        <v>9</v>
      </c>
      <c r="C2933">
        <v>25.96</v>
      </c>
      <c r="D2933" t="s">
        <v>16</v>
      </c>
      <c r="E2933" t="s">
        <v>11</v>
      </c>
      <c r="F2933" t="s">
        <v>39</v>
      </c>
      <c r="G2933">
        <v>1</v>
      </c>
      <c r="H2933">
        <v>2</v>
      </c>
      <c r="I2933" s="13">
        <v>45698</v>
      </c>
      <c r="J2933" s="13" t="str">
        <f>TEXT(Table1[[#This Row],[Date]],"[$-en-US]mmm yyyy")</f>
        <v>Feb 2025</v>
      </c>
      <c r="K2933" s="13" t="str">
        <f>TEXT(Table1[[#This Row],[Date]],"[$-en-US]ddd")</f>
        <v>Mon</v>
      </c>
    </row>
    <row r="2934" spans="1:11" x14ac:dyDescent="0.25">
      <c r="A2934">
        <v>11</v>
      </c>
      <c r="B2934" t="s">
        <v>9</v>
      </c>
      <c r="C2934">
        <v>30.86</v>
      </c>
      <c r="D2934" t="s">
        <v>17</v>
      </c>
      <c r="E2934" t="s">
        <v>11</v>
      </c>
      <c r="F2934" t="s">
        <v>39</v>
      </c>
      <c r="G2934">
        <v>1</v>
      </c>
      <c r="H2934">
        <v>2</v>
      </c>
      <c r="I2934" s="13">
        <v>45698</v>
      </c>
      <c r="J2934" s="13" t="str">
        <f>TEXT(Table1[[#This Row],[Date]],"[$-en-US]mmm yyyy")</f>
        <v>Feb 2025</v>
      </c>
      <c r="K2934" s="13" t="str">
        <f>TEXT(Table1[[#This Row],[Date]],"[$-en-US]ddd")</f>
        <v>Mon</v>
      </c>
    </row>
    <row r="2935" spans="1:11" x14ac:dyDescent="0.25">
      <c r="A2935">
        <v>13</v>
      </c>
      <c r="B2935" t="s">
        <v>9</v>
      </c>
      <c r="C2935">
        <v>25.96</v>
      </c>
      <c r="D2935" t="s">
        <v>16</v>
      </c>
      <c r="E2935" t="s">
        <v>15</v>
      </c>
      <c r="F2935" t="s">
        <v>39</v>
      </c>
      <c r="G2935">
        <v>1</v>
      </c>
      <c r="H2935">
        <v>2</v>
      </c>
      <c r="I2935" s="13">
        <v>45698</v>
      </c>
      <c r="J2935" s="13" t="str">
        <f>TEXT(Table1[[#This Row],[Date]],"[$-en-US]mmm yyyy")</f>
        <v>Feb 2025</v>
      </c>
      <c r="K2935" s="13" t="str">
        <f>TEXT(Table1[[#This Row],[Date]],"[$-en-US]ddd")</f>
        <v>Mon</v>
      </c>
    </row>
    <row r="2936" spans="1:11" x14ac:dyDescent="0.25">
      <c r="A2936">
        <v>13</v>
      </c>
      <c r="B2936" t="s">
        <v>9</v>
      </c>
      <c r="C2936">
        <v>35.76</v>
      </c>
      <c r="D2936" t="s">
        <v>19</v>
      </c>
      <c r="E2936" t="s">
        <v>15</v>
      </c>
      <c r="F2936" t="s">
        <v>39</v>
      </c>
      <c r="G2936">
        <v>1</v>
      </c>
      <c r="H2936">
        <v>2</v>
      </c>
      <c r="I2936" s="13">
        <v>45698</v>
      </c>
      <c r="J2936" s="13" t="str">
        <f>TEXT(Table1[[#This Row],[Date]],"[$-en-US]mmm yyyy")</f>
        <v>Feb 2025</v>
      </c>
      <c r="K2936" s="13" t="str">
        <f>TEXT(Table1[[#This Row],[Date]],"[$-en-US]ddd")</f>
        <v>Mon</v>
      </c>
    </row>
    <row r="2937" spans="1:11" x14ac:dyDescent="0.25">
      <c r="A2937">
        <v>13</v>
      </c>
      <c r="B2937" t="s">
        <v>9</v>
      </c>
      <c r="C2937">
        <v>30.86</v>
      </c>
      <c r="D2937" t="s">
        <v>17</v>
      </c>
      <c r="E2937" t="s">
        <v>15</v>
      </c>
      <c r="F2937" t="s">
        <v>39</v>
      </c>
      <c r="G2937">
        <v>1</v>
      </c>
      <c r="H2937">
        <v>2</v>
      </c>
      <c r="I2937" s="13">
        <v>45698</v>
      </c>
      <c r="J2937" s="13" t="str">
        <f>TEXT(Table1[[#This Row],[Date]],"[$-en-US]mmm yyyy")</f>
        <v>Feb 2025</v>
      </c>
      <c r="K2937" s="13" t="str">
        <f>TEXT(Table1[[#This Row],[Date]],"[$-en-US]ddd")</f>
        <v>Mon</v>
      </c>
    </row>
    <row r="2938" spans="1:11" x14ac:dyDescent="0.25">
      <c r="A2938">
        <v>13</v>
      </c>
      <c r="B2938" t="s">
        <v>9</v>
      </c>
      <c r="C2938">
        <v>25.96</v>
      </c>
      <c r="D2938" t="s">
        <v>16</v>
      </c>
      <c r="E2938" t="s">
        <v>15</v>
      </c>
      <c r="F2938" t="s">
        <v>39</v>
      </c>
      <c r="G2938">
        <v>1</v>
      </c>
      <c r="H2938">
        <v>2</v>
      </c>
      <c r="I2938" s="13">
        <v>45698</v>
      </c>
      <c r="J2938" s="13" t="str">
        <f>TEXT(Table1[[#This Row],[Date]],"[$-en-US]mmm yyyy")</f>
        <v>Feb 2025</v>
      </c>
      <c r="K2938" s="13" t="str">
        <f>TEXT(Table1[[#This Row],[Date]],"[$-en-US]ddd")</f>
        <v>Mon</v>
      </c>
    </row>
    <row r="2939" spans="1:11" x14ac:dyDescent="0.25">
      <c r="A2939">
        <v>14</v>
      </c>
      <c r="B2939" t="s">
        <v>9</v>
      </c>
      <c r="C2939">
        <v>35.76</v>
      </c>
      <c r="D2939" t="s">
        <v>10</v>
      </c>
      <c r="E2939" t="s">
        <v>15</v>
      </c>
      <c r="F2939" t="s">
        <v>39</v>
      </c>
      <c r="G2939">
        <v>1</v>
      </c>
      <c r="H2939">
        <v>2</v>
      </c>
      <c r="I2939" s="13">
        <v>45698</v>
      </c>
      <c r="J2939" s="13" t="str">
        <f>TEXT(Table1[[#This Row],[Date]],"[$-en-US]mmm yyyy")</f>
        <v>Feb 2025</v>
      </c>
      <c r="K2939" s="13" t="str">
        <f>TEXT(Table1[[#This Row],[Date]],"[$-en-US]ddd")</f>
        <v>Mon</v>
      </c>
    </row>
    <row r="2940" spans="1:11" x14ac:dyDescent="0.25">
      <c r="A2940">
        <v>14</v>
      </c>
      <c r="B2940" t="s">
        <v>9</v>
      </c>
      <c r="C2940">
        <v>25.96</v>
      </c>
      <c r="D2940" t="s">
        <v>16</v>
      </c>
      <c r="E2940" t="s">
        <v>15</v>
      </c>
      <c r="F2940" t="s">
        <v>39</v>
      </c>
      <c r="G2940">
        <v>1</v>
      </c>
      <c r="H2940">
        <v>2</v>
      </c>
      <c r="I2940" s="13">
        <v>45698</v>
      </c>
      <c r="J2940" s="13" t="str">
        <f>TEXT(Table1[[#This Row],[Date]],"[$-en-US]mmm yyyy")</f>
        <v>Feb 2025</v>
      </c>
      <c r="K2940" s="13" t="str">
        <f>TEXT(Table1[[#This Row],[Date]],"[$-en-US]ddd")</f>
        <v>Mon</v>
      </c>
    </row>
    <row r="2941" spans="1:11" x14ac:dyDescent="0.25">
      <c r="A2941">
        <v>14</v>
      </c>
      <c r="B2941" t="s">
        <v>9</v>
      </c>
      <c r="C2941">
        <v>35.76</v>
      </c>
      <c r="D2941" t="s">
        <v>19</v>
      </c>
      <c r="E2941" t="s">
        <v>15</v>
      </c>
      <c r="F2941" t="s">
        <v>39</v>
      </c>
      <c r="G2941">
        <v>1</v>
      </c>
      <c r="H2941">
        <v>2</v>
      </c>
      <c r="I2941" s="13">
        <v>45698</v>
      </c>
      <c r="J2941" s="13" t="str">
        <f>TEXT(Table1[[#This Row],[Date]],"[$-en-US]mmm yyyy")</f>
        <v>Feb 2025</v>
      </c>
      <c r="K2941" s="13" t="str">
        <f>TEXT(Table1[[#This Row],[Date]],"[$-en-US]ddd")</f>
        <v>Mon</v>
      </c>
    </row>
    <row r="2942" spans="1:11" x14ac:dyDescent="0.25">
      <c r="A2942">
        <v>14</v>
      </c>
      <c r="B2942" t="s">
        <v>9</v>
      </c>
      <c r="C2942">
        <v>35.76</v>
      </c>
      <c r="D2942" t="s">
        <v>19</v>
      </c>
      <c r="E2942" t="s">
        <v>15</v>
      </c>
      <c r="F2942" t="s">
        <v>39</v>
      </c>
      <c r="G2942">
        <v>1</v>
      </c>
      <c r="H2942">
        <v>2</v>
      </c>
      <c r="I2942" s="13">
        <v>45698</v>
      </c>
      <c r="J2942" s="13" t="str">
        <f>TEXT(Table1[[#This Row],[Date]],"[$-en-US]mmm yyyy")</f>
        <v>Feb 2025</v>
      </c>
      <c r="K2942" s="13" t="str">
        <f>TEXT(Table1[[#This Row],[Date]],"[$-en-US]ddd")</f>
        <v>Mon</v>
      </c>
    </row>
    <row r="2943" spans="1:11" x14ac:dyDescent="0.25">
      <c r="A2943">
        <v>15</v>
      </c>
      <c r="B2943" t="s">
        <v>9</v>
      </c>
      <c r="C2943">
        <v>35.76</v>
      </c>
      <c r="D2943" t="s">
        <v>27</v>
      </c>
      <c r="E2943" t="s">
        <v>15</v>
      </c>
      <c r="F2943" t="s">
        <v>39</v>
      </c>
      <c r="G2943">
        <v>1</v>
      </c>
      <c r="H2943">
        <v>2</v>
      </c>
      <c r="I2943" s="13">
        <v>45698</v>
      </c>
      <c r="J2943" s="13" t="str">
        <f>TEXT(Table1[[#This Row],[Date]],"[$-en-US]mmm yyyy")</f>
        <v>Feb 2025</v>
      </c>
      <c r="K2943" s="13" t="str">
        <f>TEXT(Table1[[#This Row],[Date]],"[$-en-US]ddd")</f>
        <v>Mon</v>
      </c>
    </row>
    <row r="2944" spans="1:11" x14ac:dyDescent="0.25">
      <c r="A2944">
        <v>15</v>
      </c>
      <c r="B2944" t="s">
        <v>9</v>
      </c>
      <c r="C2944">
        <v>30.86</v>
      </c>
      <c r="D2944" t="s">
        <v>17</v>
      </c>
      <c r="E2944" t="s">
        <v>15</v>
      </c>
      <c r="F2944" t="s">
        <v>39</v>
      </c>
      <c r="G2944">
        <v>1</v>
      </c>
      <c r="H2944">
        <v>2</v>
      </c>
      <c r="I2944" s="13">
        <v>45698</v>
      </c>
      <c r="J2944" s="13" t="str">
        <f>TEXT(Table1[[#This Row],[Date]],"[$-en-US]mmm yyyy")</f>
        <v>Feb 2025</v>
      </c>
      <c r="K2944" s="13" t="str">
        <f>TEXT(Table1[[#This Row],[Date]],"[$-en-US]ddd")</f>
        <v>Mon</v>
      </c>
    </row>
    <row r="2945" spans="1:11" x14ac:dyDescent="0.25">
      <c r="A2945">
        <v>15</v>
      </c>
      <c r="B2945" t="s">
        <v>9</v>
      </c>
      <c r="C2945">
        <v>35.76</v>
      </c>
      <c r="D2945" t="s">
        <v>10</v>
      </c>
      <c r="E2945" t="s">
        <v>15</v>
      </c>
      <c r="F2945" t="s">
        <v>39</v>
      </c>
      <c r="G2945">
        <v>1</v>
      </c>
      <c r="H2945">
        <v>2</v>
      </c>
      <c r="I2945" s="13">
        <v>45698</v>
      </c>
      <c r="J2945" s="13" t="str">
        <f>TEXT(Table1[[#This Row],[Date]],"[$-en-US]mmm yyyy")</f>
        <v>Feb 2025</v>
      </c>
      <c r="K2945" s="13" t="str">
        <f>TEXT(Table1[[#This Row],[Date]],"[$-en-US]ddd")</f>
        <v>Mon</v>
      </c>
    </row>
    <row r="2946" spans="1:11" x14ac:dyDescent="0.25">
      <c r="A2946">
        <v>15</v>
      </c>
      <c r="B2946" t="s">
        <v>9</v>
      </c>
      <c r="C2946">
        <v>35.76</v>
      </c>
      <c r="D2946" t="s">
        <v>14</v>
      </c>
      <c r="E2946" t="s">
        <v>15</v>
      </c>
      <c r="F2946" t="s">
        <v>39</v>
      </c>
      <c r="G2946">
        <v>1</v>
      </c>
      <c r="H2946">
        <v>2</v>
      </c>
      <c r="I2946" s="13">
        <v>45698</v>
      </c>
      <c r="J2946" s="13" t="str">
        <f>TEXT(Table1[[#This Row],[Date]],"[$-en-US]mmm yyyy")</f>
        <v>Feb 2025</v>
      </c>
      <c r="K2946" s="13" t="str">
        <f>TEXT(Table1[[#This Row],[Date]],"[$-en-US]ddd")</f>
        <v>Mon</v>
      </c>
    </row>
    <row r="2947" spans="1:11" x14ac:dyDescent="0.25">
      <c r="A2947">
        <v>16</v>
      </c>
      <c r="B2947" t="s">
        <v>9</v>
      </c>
      <c r="C2947">
        <v>35.76</v>
      </c>
      <c r="D2947" t="s">
        <v>19</v>
      </c>
      <c r="E2947" t="s">
        <v>15</v>
      </c>
      <c r="F2947" t="s">
        <v>39</v>
      </c>
      <c r="G2947">
        <v>1</v>
      </c>
      <c r="H2947">
        <v>2</v>
      </c>
      <c r="I2947" s="13">
        <v>45698</v>
      </c>
      <c r="J2947" s="13" t="str">
        <f>TEXT(Table1[[#This Row],[Date]],"[$-en-US]mmm yyyy")</f>
        <v>Feb 2025</v>
      </c>
      <c r="K2947" s="13" t="str">
        <f>TEXT(Table1[[#This Row],[Date]],"[$-en-US]ddd")</f>
        <v>Mon</v>
      </c>
    </row>
    <row r="2948" spans="1:11" x14ac:dyDescent="0.25">
      <c r="A2948">
        <v>17</v>
      </c>
      <c r="B2948" t="s">
        <v>9</v>
      </c>
      <c r="C2948">
        <v>25.96</v>
      </c>
      <c r="D2948" t="s">
        <v>16</v>
      </c>
      <c r="E2948" t="s">
        <v>18</v>
      </c>
      <c r="F2948" t="s">
        <v>39</v>
      </c>
      <c r="G2948">
        <v>1</v>
      </c>
      <c r="H2948">
        <v>2</v>
      </c>
      <c r="I2948" s="13">
        <v>45698</v>
      </c>
      <c r="J2948" s="13" t="str">
        <f>TEXT(Table1[[#This Row],[Date]],"[$-en-US]mmm yyyy")</f>
        <v>Feb 2025</v>
      </c>
      <c r="K2948" s="13" t="str">
        <f>TEXT(Table1[[#This Row],[Date]],"[$-en-US]ddd")</f>
        <v>Mon</v>
      </c>
    </row>
    <row r="2949" spans="1:11" x14ac:dyDescent="0.25">
      <c r="A2949">
        <v>18</v>
      </c>
      <c r="B2949" t="s">
        <v>9</v>
      </c>
      <c r="C2949">
        <v>30.86</v>
      </c>
      <c r="D2949" t="s">
        <v>17</v>
      </c>
      <c r="E2949" t="s">
        <v>18</v>
      </c>
      <c r="F2949" t="s">
        <v>39</v>
      </c>
      <c r="G2949">
        <v>1</v>
      </c>
      <c r="H2949">
        <v>2</v>
      </c>
      <c r="I2949" s="13">
        <v>45698</v>
      </c>
      <c r="J2949" s="13" t="str">
        <f>TEXT(Table1[[#This Row],[Date]],"[$-en-US]mmm yyyy")</f>
        <v>Feb 2025</v>
      </c>
      <c r="K2949" s="13" t="str">
        <f>TEXT(Table1[[#This Row],[Date]],"[$-en-US]ddd")</f>
        <v>Mon</v>
      </c>
    </row>
    <row r="2950" spans="1:11" x14ac:dyDescent="0.25">
      <c r="A2950">
        <v>19</v>
      </c>
      <c r="B2950" t="s">
        <v>9</v>
      </c>
      <c r="C2950">
        <v>35.76</v>
      </c>
      <c r="D2950" t="s">
        <v>10</v>
      </c>
      <c r="E2950" t="s">
        <v>18</v>
      </c>
      <c r="F2950" t="s">
        <v>39</v>
      </c>
      <c r="G2950">
        <v>1</v>
      </c>
      <c r="H2950">
        <v>2</v>
      </c>
      <c r="I2950" s="13">
        <v>45698</v>
      </c>
      <c r="J2950" s="13" t="str">
        <f>TEXT(Table1[[#This Row],[Date]],"[$-en-US]mmm yyyy")</f>
        <v>Feb 2025</v>
      </c>
      <c r="K2950" s="13" t="str">
        <f>TEXT(Table1[[#This Row],[Date]],"[$-en-US]ddd")</f>
        <v>Mon</v>
      </c>
    </row>
    <row r="2951" spans="1:11" x14ac:dyDescent="0.25">
      <c r="A2951">
        <v>19</v>
      </c>
      <c r="B2951" t="s">
        <v>9</v>
      </c>
      <c r="C2951">
        <v>35.76</v>
      </c>
      <c r="D2951" t="s">
        <v>10</v>
      </c>
      <c r="E2951" t="s">
        <v>18</v>
      </c>
      <c r="F2951" t="s">
        <v>39</v>
      </c>
      <c r="G2951">
        <v>1</v>
      </c>
      <c r="H2951">
        <v>2</v>
      </c>
      <c r="I2951" s="13">
        <v>45698</v>
      </c>
      <c r="J2951" s="13" t="str">
        <f>TEXT(Table1[[#This Row],[Date]],"[$-en-US]mmm yyyy")</f>
        <v>Feb 2025</v>
      </c>
      <c r="K2951" s="13" t="str">
        <f>TEXT(Table1[[#This Row],[Date]],"[$-en-US]ddd")</f>
        <v>Mon</v>
      </c>
    </row>
    <row r="2952" spans="1:11" x14ac:dyDescent="0.25">
      <c r="A2952">
        <v>10</v>
      </c>
      <c r="B2952" t="s">
        <v>9</v>
      </c>
      <c r="C2952">
        <v>25.96</v>
      </c>
      <c r="D2952" t="s">
        <v>16</v>
      </c>
      <c r="E2952" t="s">
        <v>11</v>
      </c>
      <c r="F2952" t="s">
        <v>39</v>
      </c>
      <c r="G2952">
        <v>2</v>
      </c>
      <c r="H2952">
        <v>2</v>
      </c>
      <c r="I2952" s="13">
        <v>45699</v>
      </c>
      <c r="J2952" s="13" t="str">
        <f>TEXT(Table1[[#This Row],[Date]],"[$-en-US]mmm yyyy")</f>
        <v>Feb 2025</v>
      </c>
      <c r="K2952" s="13" t="str">
        <f>TEXT(Table1[[#This Row],[Date]],"[$-en-US]ddd")</f>
        <v>Tue</v>
      </c>
    </row>
    <row r="2953" spans="1:11" x14ac:dyDescent="0.25">
      <c r="A2953">
        <v>11</v>
      </c>
      <c r="B2953" t="s">
        <v>9</v>
      </c>
      <c r="C2953">
        <v>25.96</v>
      </c>
      <c r="D2953" t="s">
        <v>16</v>
      </c>
      <c r="E2953" t="s">
        <v>11</v>
      </c>
      <c r="F2953" t="s">
        <v>39</v>
      </c>
      <c r="G2953">
        <v>2</v>
      </c>
      <c r="H2953">
        <v>2</v>
      </c>
      <c r="I2953" s="13">
        <v>45699</v>
      </c>
      <c r="J2953" s="13" t="str">
        <f>TEXT(Table1[[#This Row],[Date]],"[$-en-US]mmm yyyy")</f>
        <v>Feb 2025</v>
      </c>
      <c r="K2953" s="13" t="str">
        <f>TEXT(Table1[[#This Row],[Date]],"[$-en-US]ddd")</f>
        <v>Tue</v>
      </c>
    </row>
    <row r="2954" spans="1:11" x14ac:dyDescent="0.25">
      <c r="A2954">
        <v>11</v>
      </c>
      <c r="B2954" t="s">
        <v>9</v>
      </c>
      <c r="C2954">
        <v>30.86</v>
      </c>
      <c r="D2954" t="s">
        <v>17</v>
      </c>
      <c r="E2954" t="s">
        <v>11</v>
      </c>
      <c r="F2954" t="s">
        <v>39</v>
      </c>
      <c r="G2954">
        <v>2</v>
      </c>
      <c r="H2954">
        <v>2</v>
      </c>
      <c r="I2954" s="13">
        <v>45699</v>
      </c>
      <c r="J2954" s="13" t="str">
        <f>TEXT(Table1[[#This Row],[Date]],"[$-en-US]mmm yyyy")</f>
        <v>Feb 2025</v>
      </c>
      <c r="K2954" s="13" t="str">
        <f>TEXT(Table1[[#This Row],[Date]],"[$-en-US]ddd")</f>
        <v>Tue</v>
      </c>
    </row>
    <row r="2955" spans="1:11" x14ac:dyDescent="0.25">
      <c r="A2955">
        <v>11</v>
      </c>
      <c r="B2955" t="s">
        <v>9</v>
      </c>
      <c r="C2955">
        <v>35.76</v>
      </c>
      <c r="D2955" t="s">
        <v>19</v>
      </c>
      <c r="E2955" t="s">
        <v>11</v>
      </c>
      <c r="F2955" t="s">
        <v>39</v>
      </c>
      <c r="G2955">
        <v>2</v>
      </c>
      <c r="H2955">
        <v>2</v>
      </c>
      <c r="I2955" s="13">
        <v>45699</v>
      </c>
      <c r="J2955" s="13" t="str">
        <f>TEXT(Table1[[#This Row],[Date]],"[$-en-US]mmm yyyy")</f>
        <v>Feb 2025</v>
      </c>
      <c r="K2955" s="13" t="str">
        <f>TEXT(Table1[[#This Row],[Date]],"[$-en-US]ddd")</f>
        <v>Tue</v>
      </c>
    </row>
    <row r="2956" spans="1:11" x14ac:dyDescent="0.25">
      <c r="A2956">
        <v>15</v>
      </c>
      <c r="B2956" t="s">
        <v>9</v>
      </c>
      <c r="C2956">
        <v>35.76</v>
      </c>
      <c r="D2956" t="s">
        <v>14</v>
      </c>
      <c r="E2956" t="s">
        <v>15</v>
      </c>
      <c r="F2956" t="s">
        <v>39</v>
      </c>
      <c r="G2956">
        <v>2</v>
      </c>
      <c r="H2956">
        <v>2</v>
      </c>
      <c r="I2956" s="13">
        <v>45699</v>
      </c>
      <c r="J2956" s="13" t="str">
        <f>TEXT(Table1[[#This Row],[Date]],"[$-en-US]mmm yyyy")</f>
        <v>Feb 2025</v>
      </c>
      <c r="K2956" s="13" t="str">
        <f>TEXT(Table1[[#This Row],[Date]],"[$-en-US]ddd")</f>
        <v>Tue</v>
      </c>
    </row>
    <row r="2957" spans="1:11" x14ac:dyDescent="0.25">
      <c r="A2957">
        <v>16</v>
      </c>
      <c r="B2957" t="s">
        <v>9</v>
      </c>
      <c r="C2957">
        <v>30.86</v>
      </c>
      <c r="D2957" t="s">
        <v>17</v>
      </c>
      <c r="E2957" t="s">
        <v>15</v>
      </c>
      <c r="F2957" t="s">
        <v>39</v>
      </c>
      <c r="G2957">
        <v>2</v>
      </c>
      <c r="H2957">
        <v>2</v>
      </c>
      <c r="I2957" s="13">
        <v>45699</v>
      </c>
      <c r="J2957" s="13" t="str">
        <f>TEXT(Table1[[#This Row],[Date]],"[$-en-US]mmm yyyy")</f>
        <v>Feb 2025</v>
      </c>
      <c r="K2957" s="13" t="str">
        <f>TEXT(Table1[[#This Row],[Date]],"[$-en-US]ddd")</f>
        <v>Tue</v>
      </c>
    </row>
    <row r="2958" spans="1:11" x14ac:dyDescent="0.25">
      <c r="A2958">
        <v>16</v>
      </c>
      <c r="B2958" t="s">
        <v>9</v>
      </c>
      <c r="C2958">
        <v>21.06</v>
      </c>
      <c r="D2958" t="s">
        <v>24</v>
      </c>
      <c r="E2958" t="s">
        <v>15</v>
      </c>
      <c r="F2958" t="s">
        <v>39</v>
      </c>
      <c r="G2958">
        <v>2</v>
      </c>
      <c r="H2958">
        <v>2</v>
      </c>
      <c r="I2958" s="13">
        <v>45699</v>
      </c>
      <c r="J2958" s="13" t="str">
        <f>TEXT(Table1[[#This Row],[Date]],"[$-en-US]mmm yyyy")</f>
        <v>Feb 2025</v>
      </c>
      <c r="K2958" s="13" t="str">
        <f>TEXT(Table1[[#This Row],[Date]],"[$-en-US]ddd")</f>
        <v>Tue</v>
      </c>
    </row>
    <row r="2959" spans="1:11" x14ac:dyDescent="0.25">
      <c r="A2959">
        <v>17</v>
      </c>
      <c r="B2959" t="s">
        <v>9</v>
      </c>
      <c r="C2959">
        <v>35.76</v>
      </c>
      <c r="D2959" t="s">
        <v>10</v>
      </c>
      <c r="E2959" t="s">
        <v>18</v>
      </c>
      <c r="F2959" t="s">
        <v>39</v>
      </c>
      <c r="G2959">
        <v>2</v>
      </c>
      <c r="H2959">
        <v>2</v>
      </c>
      <c r="I2959" s="13">
        <v>45699</v>
      </c>
      <c r="J2959" s="13" t="str">
        <f>TEXT(Table1[[#This Row],[Date]],"[$-en-US]mmm yyyy")</f>
        <v>Feb 2025</v>
      </c>
      <c r="K2959" s="13" t="str">
        <f>TEXT(Table1[[#This Row],[Date]],"[$-en-US]ddd")</f>
        <v>Tue</v>
      </c>
    </row>
    <row r="2960" spans="1:11" x14ac:dyDescent="0.25">
      <c r="A2960">
        <v>17</v>
      </c>
      <c r="B2960" t="s">
        <v>9</v>
      </c>
      <c r="C2960">
        <v>30.86</v>
      </c>
      <c r="D2960" t="s">
        <v>17</v>
      </c>
      <c r="E2960" t="s">
        <v>18</v>
      </c>
      <c r="F2960" t="s">
        <v>39</v>
      </c>
      <c r="G2960">
        <v>2</v>
      </c>
      <c r="H2960">
        <v>2</v>
      </c>
      <c r="I2960" s="13">
        <v>45699</v>
      </c>
      <c r="J2960" s="13" t="str">
        <f>TEXT(Table1[[#This Row],[Date]],"[$-en-US]mmm yyyy")</f>
        <v>Feb 2025</v>
      </c>
      <c r="K2960" s="13" t="str">
        <f>TEXT(Table1[[#This Row],[Date]],"[$-en-US]ddd")</f>
        <v>Tue</v>
      </c>
    </row>
    <row r="2961" spans="1:11" x14ac:dyDescent="0.25">
      <c r="A2961">
        <v>17</v>
      </c>
      <c r="B2961" t="s">
        <v>9</v>
      </c>
      <c r="C2961">
        <v>30.86</v>
      </c>
      <c r="D2961" t="s">
        <v>17</v>
      </c>
      <c r="E2961" t="s">
        <v>18</v>
      </c>
      <c r="F2961" t="s">
        <v>39</v>
      </c>
      <c r="G2961">
        <v>2</v>
      </c>
      <c r="H2961">
        <v>2</v>
      </c>
      <c r="I2961" s="13">
        <v>45699</v>
      </c>
      <c r="J2961" s="13" t="str">
        <f>TEXT(Table1[[#This Row],[Date]],"[$-en-US]mmm yyyy")</f>
        <v>Feb 2025</v>
      </c>
      <c r="K2961" s="13" t="str">
        <f>TEXT(Table1[[#This Row],[Date]],"[$-en-US]ddd")</f>
        <v>Tue</v>
      </c>
    </row>
    <row r="2962" spans="1:11" x14ac:dyDescent="0.25">
      <c r="A2962">
        <v>17</v>
      </c>
      <c r="B2962" t="s">
        <v>9</v>
      </c>
      <c r="C2962">
        <v>25.96</v>
      </c>
      <c r="D2962" t="s">
        <v>16</v>
      </c>
      <c r="E2962" t="s">
        <v>18</v>
      </c>
      <c r="F2962" t="s">
        <v>39</v>
      </c>
      <c r="G2962">
        <v>2</v>
      </c>
      <c r="H2962">
        <v>2</v>
      </c>
      <c r="I2962" s="13">
        <v>45699</v>
      </c>
      <c r="J2962" s="13" t="str">
        <f>TEXT(Table1[[#This Row],[Date]],"[$-en-US]mmm yyyy")</f>
        <v>Feb 2025</v>
      </c>
      <c r="K2962" s="13" t="str">
        <f>TEXT(Table1[[#This Row],[Date]],"[$-en-US]ddd")</f>
        <v>Tue</v>
      </c>
    </row>
    <row r="2963" spans="1:11" x14ac:dyDescent="0.25">
      <c r="A2963">
        <v>17</v>
      </c>
      <c r="B2963" t="s">
        <v>9</v>
      </c>
      <c r="C2963">
        <v>30.86</v>
      </c>
      <c r="D2963" t="s">
        <v>17</v>
      </c>
      <c r="E2963" t="s">
        <v>18</v>
      </c>
      <c r="F2963" t="s">
        <v>39</v>
      </c>
      <c r="G2963">
        <v>2</v>
      </c>
      <c r="H2963">
        <v>2</v>
      </c>
      <c r="I2963" s="13">
        <v>45699</v>
      </c>
      <c r="J2963" s="13" t="str">
        <f>TEXT(Table1[[#This Row],[Date]],"[$-en-US]mmm yyyy")</f>
        <v>Feb 2025</v>
      </c>
      <c r="K2963" s="13" t="str">
        <f>TEXT(Table1[[#This Row],[Date]],"[$-en-US]ddd")</f>
        <v>Tue</v>
      </c>
    </row>
    <row r="2964" spans="1:11" x14ac:dyDescent="0.25">
      <c r="A2964">
        <v>19</v>
      </c>
      <c r="B2964" t="s">
        <v>9</v>
      </c>
      <c r="C2964">
        <v>35.76</v>
      </c>
      <c r="D2964" t="s">
        <v>10</v>
      </c>
      <c r="E2964" t="s">
        <v>18</v>
      </c>
      <c r="F2964" t="s">
        <v>39</v>
      </c>
      <c r="G2964">
        <v>2</v>
      </c>
      <c r="H2964">
        <v>2</v>
      </c>
      <c r="I2964" s="13">
        <v>45699</v>
      </c>
      <c r="J2964" s="13" t="str">
        <f>TEXT(Table1[[#This Row],[Date]],"[$-en-US]mmm yyyy")</f>
        <v>Feb 2025</v>
      </c>
      <c r="K2964" s="13" t="str">
        <f>TEXT(Table1[[#This Row],[Date]],"[$-en-US]ddd")</f>
        <v>Tue</v>
      </c>
    </row>
    <row r="2965" spans="1:11" x14ac:dyDescent="0.25">
      <c r="A2965">
        <v>19</v>
      </c>
      <c r="B2965" t="s">
        <v>9</v>
      </c>
      <c r="C2965">
        <v>35.76</v>
      </c>
      <c r="D2965" t="s">
        <v>19</v>
      </c>
      <c r="E2965" t="s">
        <v>18</v>
      </c>
      <c r="F2965" t="s">
        <v>39</v>
      </c>
      <c r="G2965">
        <v>2</v>
      </c>
      <c r="H2965">
        <v>2</v>
      </c>
      <c r="I2965" s="13">
        <v>45699</v>
      </c>
      <c r="J2965" s="13" t="str">
        <f>TEXT(Table1[[#This Row],[Date]],"[$-en-US]mmm yyyy")</f>
        <v>Feb 2025</v>
      </c>
      <c r="K2965" s="13" t="str">
        <f>TEXT(Table1[[#This Row],[Date]],"[$-en-US]ddd")</f>
        <v>Tue</v>
      </c>
    </row>
    <row r="2966" spans="1:11" x14ac:dyDescent="0.25">
      <c r="A2966">
        <v>7</v>
      </c>
      <c r="B2966" t="s">
        <v>9</v>
      </c>
      <c r="C2966">
        <v>35.76</v>
      </c>
      <c r="D2966" t="s">
        <v>27</v>
      </c>
      <c r="E2966" t="s">
        <v>11</v>
      </c>
      <c r="F2966" t="s">
        <v>39</v>
      </c>
      <c r="G2966">
        <v>3</v>
      </c>
      <c r="H2966">
        <v>2</v>
      </c>
      <c r="I2966" s="13">
        <v>45700</v>
      </c>
      <c r="J2966" s="13" t="str">
        <f>TEXT(Table1[[#This Row],[Date]],"[$-en-US]mmm yyyy")</f>
        <v>Feb 2025</v>
      </c>
      <c r="K2966" s="13" t="str">
        <f>TEXT(Table1[[#This Row],[Date]],"[$-en-US]ddd")</f>
        <v>Wed</v>
      </c>
    </row>
    <row r="2967" spans="1:11" x14ac:dyDescent="0.25">
      <c r="A2967">
        <v>7</v>
      </c>
      <c r="B2967" t="s">
        <v>9</v>
      </c>
      <c r="C2967">
        <v>25.96</v>
      </c>
      <c r="D2967" t="s">
        <v>16</v>
      </c>
      <c r="E2967" t="s">
        <v>11</v>
      </c>
      <c r="F2967" t="s">
        <v>39</v>
      </c>
      <c r="G2967">
        <v>3</v>
      </c>
      <c r="H2967">
        <v>2</v>
      </c>
      <c r="I2967" s="13">
        <v>45700</v>
      </c>
      <c r="J2967" s="13" t="str">
        <f>TEXT(Table1[[#This Row],[Date]],"[$-en-US]mmm yyyy")</f>
        <v>Feb 2025</v>
      </c>
      <c r="K2967" s="13" t="str">
        <f>TEXT(Table1[[#This Row],[Date]],"[$-en-US]ddd")</f>
        <v>Wed</v>
      </c>
    </row>
    <row r="2968" spans="1:11" x14ac:dyDescent="0.25">
      <c r="A2968">
        <v>8</v>
      </c>
      <c r="B2968" t="s">
        <v>9</v>
      </c>
      <c r="C2968">
        <v>35.76</v>
      </c>
      <c r="D2968" t="s">
        <v>19</v>
      </c>
      <c r="E2968" t="s">
        <v>11</v>
      </c>
      <c r="F2968" t="s">
        <v>39</v>
      </c>
      <c r="G2968">
        <v>3</v>
      </c>
      <c r="H2968">
        <v>2</v>
      </c>
      <c r="I2968" s="13">
        <v>45700</v>
      </c>
      <c r="J2968" s="13" t="str">
        <f>TEXT(Table1[[#This Row],[Date]],"[$-en-US]mmm yyyy")</f>
        <v>Feb 2025</v>
      </c>
      <c r="K2968" s="13" t="str">
        <f>TEXT(Table1[[#This Row],[Date]],"[$-en-US]ddd")</f>
        <v>Wed</v>
      </c>
    </row>
    <row r="2969" spans="1:11" x14ac:dyDescent="0.25">
      <c r="A2969">
        <v>9</v>
      </c>
      <c r="B2969" t="s">
        <v>9</v>
      </c>
      <c r="C2969">
        <v>30.86</v>
      </c>
      <c r="D2969" t="s">
        <v>17</v>
      </c>
      <c r="E2969" t="s">
        <v>11</v>
      </c>
      <c r="F2969" t="s">
        <v>39</v>
      </c>
      <c r="G2969">
        <v>3</v>
      </c>
      <c r="H2969">
        <v>2</v>
      </c>
      <c r="I2969" s="13">
        <v>45700</v>
      </c>
      <c r="J2969" s="13" t="str">
        <f>TEXT(Table1[[#This Row],[Date]],"[$-en-US]mmm yyyy")</f>
        <v>Feb 2025</v>
      </c>
      <c r="K2969" s="13" t="str">
        <f>TEXT(Table1[[#This Row],[Date]],"[$-en-US]ddd")</f>
        <v>Wed</v>
      </c>
    </row>
    <row r="2970" spans="1:11" x14ac:dyDescent="0.25">
      <c r="A2970">
        <v>10</v>
      </c>
      <c r="B2970" t="s">
        <v>9</v>
      </c>
      <c r="C2970">
        <v>25.96</v>
      </c>
      <c r="D2970" t="s">
        <v>16</v>
      </c>
      <c r="E2970" t="s">
        <v>11</v>
      </c>
      <c r="F2970" t="s">
        <v>39</v>
      </c>
      <c r="G2970">
        <v>3</v>
      </c>
      <c r="H2970">
        <v>2</v>
      </c>
      <c r="I2970" s="13">
        <v>45700</v>
      </c>
      <c r="J2970" s="13" t="str">
        <f>TEXT(Table1[[#This Row],[Date]],"[$-en-US]mmm yyyy")</f>
        <v>Feb 2025</v>
      </c>
      <c r="K2970" s="13" t="str">
        <f>TEXT(Table1[[#This Row],[Date]],"[$-en-US]ddd")</f>
        <v>Wed</v>
      </c>
    </row>
    <row r="2971" spans="1:11" x14ac:dyDescent="0.25">
      <c r="A2971">
        <v>12</v>
      </c>
      <c r="B2971" t="s">
        <v>9</v>
      </c>
      <c r="C2971">
        <v>25.96</v>
      </c>
      <c r="D2971" t="s">
        <v>16</v>
      </c>
      <c r="E2971" t="s">
        <v>15</v>
      </c>
      <c r="F2971" t="s">
        <v>39</v>
      </c>
      <c r="G2971">
        <v>3</v>
      </c>
      <c r="H2971">
        <v>2</v>
      </c>
      <c r="I2971" s="13">
        <v>45700</v>
      </c>
      <c r="J2971" s="13" t="str">
        <f>TEXT(Table1[[#This Row],[Date]],"[$-en-US]mmm yyyy")</f>
        <v>Feb 2025</v>
      </c>
      <c r="K2971" s="13" t="str">
        <f>TEXT(Table1[[#This Row],[Date]],"[$-en-US]ddd")</f>
        <v>Wed</v>
      </c>
    </row>
    <row r="2972" spans="1:11" x14ac:dyDescent="0.25">
      <c r="A2972">
        <v>13</v>
      </c>
      <c r="B2972" t="s">
        <v>9</v>
      </c>
      <c r="C2972">
        <v>25.96</v>
      </c>
      <c r="D2972" t="s">
        <v>16</v>
      </c>
      <c r="E2972" t="s">
        <v>15</v>
      </c>
      <c r="F2972" t="s">
        <v>39</v>
      </c>
      <c r="G2972">
        <v>3</v>
      </c>
      <c r="H2972">
        <v>2</v>
      </c>
      <c r="I2972" s="13">
        <v>45700</v>
      </c>
      <c r="J2972" s="13" t="str">
        <f>TEXT(Table1[[#This Row],[Date]],"[$-en-US]mmm yyyy")</f>
        <v>Feb 2025</v>
      </c>
      <c r="K2972" s="13" t="str">
        <f>TEXT(Table1[[#This Row],[Date]],"[$-en-US]ddd")</f>
        <v>Wed</v>
      </c>
    </row>
    <row r="2973" spans="1:11" x14ac:dyDescent="0.25">
      <c r="A2973">
        <v>13</v>
      </c>
      <c r="B2973" t="s">
        <v>9</v>
      </c>
      <c r="C2973">
        <v>35.76</v>
      </c>
      <c r="D2973" t="s">
        <v>14</v>
      </c>
      <c r="E2973" t="s">
        <v>15</v>
      </c>
      <c r="F2973" t="s">
        <v>39</v>
      </c>
      <c r="G2973">
        <v>3</v>
      </c>
      <c r="H2973">
        <v>2</v>
      </c>
      <c r="I2973" s="13">
        <v>45700</v>
      </c>
      <c r="J2973" s="13" t="str">
        <f>TEXT(Table1[[#This Row],[Date]],"[$-en-US]mmm yyyy")</f>
        <v>Feb 2025</v>
      </c>
      <c r="K2973" s="13" t="str">
        <f>TEXT(Table1[[#This Row],[Date]],"[$-en-US]ddd")</f>
        <v>Wed</v>
      </c>
    </row>
    <row r="2974" spans="1:11" x14ac:dyDescent="0.25">
      <c r="A2974">
        <v>15</v>
      </c>
      <c r="B2974" t="s">
        <v>9</v>
      </c>
      <c r="C2974">
        <v>35.76</v>
      </c>
      <c r="D2974" t="s">
        <v>14</v>
      </c>
      <c r="E2974" t="s">
        <v>15</v>
      </c>
      <c r="F2974" t="s">
        <v>39</v>
      </c>
      <c r="G2974">
        <v>3</v>
      </c>
      <c r="H2974">
        <v>2</v>
      </c>
      <c r="I2974" s="13">
        <v>45700</v>
      </c>
      <c r="J2974" s="13" t="str">
        <f>TEXT(Table1[[#This Row],[Date]],"[$-en-US]mmm yyyy")</f>
        <v>Feb 2025</v>
      </c>
      <c r="K2974" s="13" t="str">
        <f>TEXT(Table1[[#This Row],[Date]],"[$-en-US]ddd")</f>
        <v>Wed</v>
      </c>
    </row>
    <row r="2975" spans="1:11" x14ac:dyDescent="0.25">
      <c r="A2975">
        <v>15</v>
      </c>
      <c r="B2975" t="s">
        <v>9</v>
      </c>
      <c r="C2975">
        <v>35.76</v>
      </c>
      <c r="D2975" t="s">
        <v>10</v>
      </c>
      <c r="E2975" t="s">
        <v>15</v>
      </c>
      <c r="F2975" t="s">
        <v>39</v>
      </c>
      <c r="G2975">
        <v>3</v>
      </c>
      <c r="H2975">
        <v>2</v>
      </c>
      <c r="I2975" s="13">
        <v>45700</v>
      </c>
      <c r="J2975" s="13" t="str">
        <f>TEXT(Table1[[#This Row],[Date]],"[$-en-US]mmm yyyy")</f>
        <v>Feb 2025</v>
      </c>
      <c r="K2975" s="13" t="str">
        <f>TEXT(Table1[[#This Row],[Date]],"[$-en-US]ddd")</f>
        <v>Wed</v>
      </c>
    </row>
    <row r="2976" spans="1:11" x14ac:dyDescent="0.25">
      <c r="A2976">
        <v>15</v>
      </c>
      <c r="B2976" t="s">
        <v>9</v>
      </c>
      <c r="C2976">
        <v>35.76</v>
      </c>
      <c r="D2976" t="s">
        <v>14</v>
      </c>
      <c r="E2976" t="s">
        <v>15</v>
      </c>
      <c r="F2976" t="s">
        <v>39</v>
      </c>
      <c r="G2976">
        <v>3</v>
      </c>
      <c r="H2976">
        <v>2</v>
      </c>
      <c r="I2976" s="13">
        <v>45700</v>
      </c>
      <c r="J2976" s="13" t="str">
        <f>TEXT(Table1[[#This Row],[Date]],"[$-en-US]mmm yyyy")</f>
        <v>Feb 2025</v>
      </c>
      <c r="K2976" s="13" t="str">
        <f>TEXT(Table1[[#This Row],[Date]],"[$-en-US]ddd")</f>
        <v>Wed</v>
      </c>
    </row>
    <row r="2977" spans="1:11" x14ac:dyDescent="0.25">
      <c r="A2977">
        <v>16</v>
      </c>
      <c r="B2977" t="s">
        <v>9</v>
      </c>
      <c r="C2977">
        <v>25.96</v>
      </c>
      <c r="D2977" t="s">
        <v>16</v>
      </c>
      <c r="E2977" t="s">
        <v>15</v>
      </c>
      <c r="F2977" t="s">
        <v>39</v>
      </c>
      <c r="G2977">
        <v>3</v>
      </c>
      <c r="H2977">
        <v>2</v>
      </c>
      <c r="I2977" s="13">
        <v>45700</v>
      </c>
      <c r="J2977" s="13" t="str">
        <f>TEXT(Table1[[#This Row],[Date]],"[$-en-US]mmm yyyy")</f>
        <v>Feb 2025</v>
      </c>
      <c r="K2977" s="13" t="str">
        <f>TEXT(Table1[[#This Row],[Date]],"[$-en-US]ddd")</f>
        <v>Wed</v>
      </c>
    </row>
    <row r="2978" spans="1:11" x14ac:dyDescent="0.25">
      <c r="A2978">
        <v>16</v>
      </c>
      <c r="B2978" t="s">
        <v>9</v>
      </c>
      <c r="C2978">
        <v>25.96</v>
      </c>
      <c r="D2978" t="s">
        <v>16</v>
      </c>
      <c r="E2978" t="s">
        <v>15</v>
      </c>
      <c r="F2978" t="s">
        <v>39</v>
      </c>
      <c r="G2978">
        <v>3</v>
      </c>
      <c r="H2978">
        <v>2</v>
      </c>
      <c r="I2978" s="13">
        <v>45700</v>
      </c>
      <c r="J2978" s="13" t="str">
        <f>TEXT(Table1[[#This Row],[Date]],"[$-en-US]mmm yyyy")</f>
        <v>Feb 2025</v>
      </c>
      <c r="K2978" s="13" t="str">
        <f>TEXT(Table1[[#This Row],[Date]],"[$-en-US]ddd")</f>
        <v>Wed</v>
      </c>
    </row>
    <row r="2979" spans="1:11" x14ac:dyDescent="0.25">
      <c r="A2979">
        <v>17</v>
      </c>
      <c r="B2979" t="s">
        <v>9</v>
      </c>
      <c r="C2979">
        <v>35.76</v>
      </c>
      <c r="D2979" t="s">
        <v>27</v>
      </c>
      <c r="E2979" t="s">
        <v>18</v>
      </c>
      <c r="F2979" t="s">
        <v>39</v>
      </c>
      <c r="G2979">
        <v>3</v>
      </c>
      <c r="H2979">
        <v>2</v>
      </c>
      <c r="I2979" s="13">
        <v>45700</v>
      </c>
      <c r="J2979" s="13" t="str">
        <f>TEXT(Table1[[#This Row],[Date]],"[$-en-US]mmm yyyy")</f>
        <v>Feb 2025</v>
      </c>
      <c r="K2979" s="13" t="str">
        <f>TEXT(Table1[[#This Row],[Date]],"[$-en-US]ddd")</f>
        <v>Wed</v>
      </c>
    </row>
    <row r="2980" spans="1:11" x14ac:dyDescent="0.25">
      <c r="A2980">
        <v>17</v>
      </c>
      <c r="B2980" t="s">
        <v>9</v>
      </c>
      <c r="C2980">
        <v>25.96</v>
      </c>
      <c r="D2980" t="s">
        <v>16</v>
      </c>
      <c r="E2980" t="s">
        <v>18</v>
      </c>
      <c r="F2980" t="s">
        <v>39</v>
      </c>
      <c r="G2980">
        <v>3</v>
      </c>
      <c r="H2980">
        <v>2</v>
      </c>
      <c r="I2980" s="13">
        <v>45700</v>
      </c>
      <c r="J2980" s="13" t="str">
        <f>TEXT(Table1[[#This Row],[Date]],"[$-en-US]mmm yyyy")</f>
        <v>Feb 2025</v>
      </c>
      <c r="K2980" s="13" t="str">
        <f>TEXT(Table1[[#This Row],[Date]],"[$-en-US]ddd")</f>
        <v>Wed</v>
      </c>
    </row>
    <row r="2981" spans="1:11" x14ac:dyDescent="0.25">
      <c r="A2981">
        <v>20</v>
      </c>
      <c r="B2981" t="s">
        <v>9</v>
      </c>
      <c r="C2981">
        <v>35.76</v>
      </c>
      <c r="D2981" t="s">
        <v>10</v>
      </c>
      <c r="E2981" t="s">
        <v>18</v>
      </c>
      <c r="F2981" t="s">
        <v>39</v>
      </c>
      <c r="G2981">
        <v>3</v>
      </c>
      <c r="H2981">
        <v>2</v>
      </c>
      <c r="I2981" s="13">
        <v>45700</v>
      </c>
      <c r="J2981" s="13" t="str">
        <f>TEXT(Table1[[#This Row],[Date]],"[$-en-US]mmm yyyy")</f>
        <v>Feb 2025</v>
      </c>
      <c r="K2981" s="13" t="str">
        <f>TEXT(Table1[[#This Row],[Date]],"[$-en-US]ddd")</f>
        <v>Wed</v>
      </c>
    </row>
    <row r="2982" spans="1:11" x14ac:dyDescent="0.25">
      <c r="A2982">
        <v>20</v>
      </c>
      <c r="B2982" t="s">
        <v>9</v>
      </c>
      <c r="C2982">
        <v>35.76</v>
      </c>
      <c r="D2982" t="s">
        <v>19</v>
      </c>
      <c r="E2982" t="s">
        <v>18</v>
      </c>
      <c r="F2982" t="s">
        <v>39</v>
      </c>
      <c r="G2982">
        <v>3</v>
      </c>
      <c r="H2982">
        <v>2</v>
      </c>
      <c r="I2982" s="13">
        <v>45700</v>
      </c>
      <c r="J2982" s="13" t="str">
        <f>TEXT(Table1[[#This Row],[Date]],"[$-en-US]mmm yyyy")</f>
        <v>Feb 2025</v>
      </c>
      <c r="K2982" s="13" t="str">
        <f>TEXT(Table1[[#This Row],[Date]],"[$-en-US]ddd")</f>
        <v>Wed</v>
      </c>
    </row>
    <row r="2983" spans="1:11" x14ac:dyDescent="0.25">
      <c r="A2983">
        <v>21</v>
      </c>
      <c r="B2983" t="s">
        <v>9</v>
      </c>
      <c r="C2983">
        <v>35.76</v>
      </c>
      <c r="D2983" t="s">
        <v>27</v>
      </c>
      <c r="E2983" t="s">
        <v>18</v>
      </c>
      <c r="F2983" t="s">
        <v>39</v>
      </c>
      <c r="G2983">
        <v>3</v>
      </c>
      <c r="H2983">
        <v>2</v>
      </c>
      <c r="I2983" s="13">
        <v>45700</v>
      </c>
      <c r="J2983" s="13" t="str">
        <f>TEXT(Table1[[#This Row],[Date]],"[$-en-US]mmm yyyy")</f>
        <v>Feb 2025</v>
      </c>
      <c r="K2983" s="13" t="str">
        <f>TEXT(Table1[[#This Row],[Date]],"[$-en-US]ddd")</f>
        <v>Wed</v>
      </c>
    </row>
    <row r="2984" spans="1:11" x14ac:dyDescent="0.25">
      <c r="A2984">
        <v>7</v>
      </c>
      <c r="B2984" t="s">
        <v>9</v>
      </c>
      <c r="C2984">
        <v>30.86</v>
      </c>
      <c r="D2984" t="s">
        <v>17</v>
      </c>
      <c r="E2984" t="s">
        <v>11</v>
      </c>
      <c r="F2984" t="s">
        <v>39</v>
      </c>
      <c r="G2984">
        <v>4</v>
      </c>
      <c r="H2984">
        <v>2</v>
      </c>
      <c r="I2984" s="13">
        <v>45701</v>
      </c>
      <c r="J2984" s="13" t="str">
        <f>TEXT(Table1[[#This Row],[Date]],"[$-en-US]mmm yyyy")</f>
        <v>Feb 2025</v>
      </c>
      <c r="K2984" s="13" t="str">
        <f>TEXT(Table1[[#This Row],[Date]],"[$-en-US]ddd")</f>
        <v>Thu</v>
      </c>
    </row>
    <row r="2985" spans="1:11" x14ac:dyDescent="0.25">
      <c r="A2985">
        <v>8</v>
      </c>
      <c r="B2985" t="s">
        <v>9</v>
      </c>
      <c r="C2985">
        <v>25.96</v>
      </c>
      <c r="D2985" t="s">
        <v>16</v>
      </c>
      <c r="E2985" t="s">
        <v>11</v>
      </c>
      <c r="F2985" t="s">
        <v>39</v>
      </c>
      <c r="G2985">
        <v>4</v>
      </c>
      <c r="H2985">
        <v>2</v>
      </c>
      <c r="I2985" s="13">
        <v>45701</v>
      </c>
      <c r="J2985" s="13" t="str">
        <f>TEXT(Table1[[#This Row],[Date]],"[$-en-US]mmm yyyy")</f>
        <v>Feb 2025</v>
      </c>
      <c r="K2985" s="13" t="str">
        <f>TEXT(Table1[[#This Row],[Date]],"[$-en-US]ddd")</f>
        <v>Thu</v>
      </c>
    </row>
    <row r="2986" spans="1:11" x14ac:dyDescent="0.25">
      <c r="A2986">
        <v>9</v>
      </c>
      <c r="B2986" t="s">
        <v>9</v>
      </c>
      <c r="C2986">
        <v>21.06</v>
      </c>
      <c r="D2986" t="s">
        <v>24</v>
      </c>
      <c r="E2986" t="s">
        <v>11</v>
      </c>
      <c r="F2986" t="s">
        <v>39</v>
      </c>
      <c r="G2986">
        <v>4</v>
      </c>
      <c r="H2986">
        <v>2</v>
      </c>
      <c r="I2986" s="13">
        <v>45701</v>
      </c>
      <c r="J2986" s="13" t="str">
        <f>TEXT(Table1[[#This Row],[Date]],"[$-en-US]mmm yyyy")</f>
        <v>Feb 2025</v>
      </c>
      <c r="K2986" s="13" t="str">
        <f>TEXT(Table1[[#This Row],[Date]],"[$-en-US]ddd")</f>
        <v>Thu</v>
      </c>
    </row>
    <row r="2987" spans="1:11" x14ac:dyDescent="0.25">
      <c r="A2987">
        <v>9</v>
      </c>
      <c r="B2987" t="s">
        <v>9</v>
      </c>
      <c r="C2987">
        <v>35.76</v>
      </c>
      <c r="D2987" t="s">
        <v>19</v>
      </c>
      <c r="E2987" t="s">
        <v>11</v>
      </c>
      <c r="F2987" t="s">
        <v>39</v>
      </c>
      <c r="G2987">
        <v>4</v>
      </c>
      <c r="H2987">
        <v>2</v>
      </c>
      <c r="I2987" s="13">
        <v>45701</v>
      </c>
      <c r="J2987" s="13" t="str">
        <f>TEXT(Table1[[#This Row],[Date]],"[$-en-US]mmm yyyy")</f>
        <v>Feb 2025</v>
      </c>
      <c r="K2987" s="13" t="str">
        <f>TEXT(Table1[[#This Row],[Date]],"[$-en-US]ddd")</f>
        <v>Thu</v>
      </c>
    </row>
    <row r="2988" spans="1:11" x14ac:dyDescent="0.25">
      <c r="A2988">
        <v>10</v>
      </c>
      <c r="B2988" t="s">
        <v>9</v>
      </c>
      <c r="C2988">
        <v>30.86</v>
      </c>
      <c r="D2988" t="s">
        <v>17</v>
      </c>
      <c r="E2988" t="s">
        <v>11</v>
      </c>
      <c r="F2988" t="s">
        <v>39</v>
      </c>
      <c r="G2988">
        <v>4</v>
      </c>
      <c r="H2988">
        <v>2</v>
      </c>
      <c r="I2988" s="13">
        <v>45701</v>
      </c>
      <c r="J2988" s="13" t="str">
        <f>TEXT(Table1[[#This Row],[Date]],"[$-en-US]mmm yyyy")</f>
        <v>Feb 2025</v>
      </c>
      <c r="K2988" s="13" t="str">
        <f>TEXT(Table1[[#This Row],[Date]],"[$-en-US]ddd")</f>
        <v>Thu</v>
      </c>
    </row>
    <row r="2989" spans="1:11" x14ac:dyDescent="0.25">
      <c r="A2989">
        <v>10</v>
      </c>
      <c r="B2989" t="s">
        <v>9</v>
      </c>
      <c r="C2989">
        <v>30.86</v>
      </c>
      <c r="D2989" t="s">
        <v>17</v>
      </c>
      <c r="E2989" t="s">
        <v>11</v>
      </c>
      <c r="F2989" t="s">
        <v>39</v>
      </c>
      <c r="G2989">
        <v>4</v>
      </c>
      <c r="H2989">
        <v>2</v>
      </c>
      <c r="I2989" s="13">
        <v>45701</v>
      </c>
      <c r="J2989" s="13" t="str">
        <f>TEXT(Table1[[#This Row],[Date]],"[$-en-US]mmm yyyy")</f>
        <v>Feb 2025</v>
      </c>
      <c r="K2989" s="13" t="str">
        <f>TEXT(Table1[[#This Row],[Date]],"[$-en-US]ddd")</f>
        <v>Thu</v>
      </c>
    </row>
    <row r="2990" spans="1:11" x14ac:dyDescent="0.25">
      <c r="A2990">
        <v>16</v>
      </c>
      <c r="B2990" t="s">
        <v>9</v>
      </c>
      <c r="C2990">
        <v>25.96</v>
      </c>
      <c r="D2990" t="s">
        <v>16</v>
      </c>
      <c r="E2990" t="s">
        <v>15</v>
      </c>
      <c r="F2990" t="s">
        <v>39</v>
      </c>
      <c r="G2990">
        <v>4</v>
      </c>
      <c r="H2990">
        <v>2</v>
      </c>
      <c r="I2990" s="13">
        <v>45701</v>
      </c>
      <c r="J2990" s="13" t="str">
        <f>TEXT(Table1[[#This Row],[Date]],"[$-en-US]mmm yyyy")</f>
        <v>Feb 2025</v>
      </c>
      <c r="K2990" s="13" t="str">
        <f>TEXT(Table1[[#This Row],[Date]],"[$-en-US]ddd")</f>
        <v>Thu</v>
      </c>
    </row>
    <row r="2991" spans="1:11" x14ac:dyDescent="0.25">
      <c r="A2991">
        <v>16</v>
      </c>
      <c r="B2991" t="s">
        <v>9</v>
      </c>
      <c r="C2991">
        <v>25.96</v>
      </c>
      <c r="D2991" t="s">
        <v>16</v>
      </c>
      <c r="E2991" t="s">
        <v>15</v>
      </c>
      <c r="F2991" t="s">
        <v>39</v>
      </c>
      <c r="G2991">
        <v>4</v>
      </c>
      <c r="H2991">
        <v>2</v>
      </c>
      <c r="I2991" s="13">
        <v>45701</v>
      </c>
      <c r="J2991" s="13" t="str">
        <f>TEXT(Table1[[#This Row],[Date]],"[$-en-US]mmm yyyy")</f>
        <v>Feb 2025</v>
      </c>
      <c r="K2991" s="13" t="str">
        <f>TEXT(Table1[[#This Row],[Date]],"[$-en-US]ddd")</f>
        <v>Thu</v>
      </c>
    </row>
    <row r="2992" spans="1:11" x14ac:dyDescent="0.25">
      <c r="A2992">
        <v>17</v>
      </c>
      <c r="B2992" t="s">
        <v>9</v>
      </c>
      <c r="C2992">
        <v>30.86</v>
      </c>
      <c r="D2992" t="s">
        <v>17</v>
      </c>
      <c r="E2992" t="s">
        <v>18</v>
      </c>
      <c r="F2992" t="s">
        <v>39</v>
      </c>
      <c r="G2992">
        <v>4</v>
      </c>
      <c r="H2992">
        <v>2</v>
      </c>
      <c r="I2992" s="13">
        <v>45701</v>
      </c>
      <c r="J2992" s="13" t="str">
        <f>TEXT(Table1[[#This Row],[Date]],"[$-en-US]mmm yyyy")</f>
        <v>Feb 2025</v>
      </c>
      <c r="K2992" s="13" t="str">
        <f>TEXT(Table1[[#This Row],[Date]],"[$-en-US]ddd")</f>
        <v>Thu</v>
      </c>
    </row>
    <row r="2993" spans="1:11" x14ac:dyDescent="0.25">
      <c r="A2993">
        <v>17</v>
      </c>
      <c r="B2993" t="s">
        <v>9</v>
      </c>
      <c r="C2993">
        <v>30.86</v>
      </c>
      <c r="D2993" t="s">
        <v>17</v>
      </c>
      <c r="E2993" t="s">
        <v>18</v>
      </c>
      <c r="F2993" t="s">
        <v>39</v>
      </c>
      <c r="G2993">
        <v>4</v>
      </c>
      <c r="H2993">
        <v>2</v>
      </c>
      <c r="I2993" s="13">
        <v>45701</v>
      </c>
      <c r="J2993" s="13" t="str">
        <f>TEXT(Table1[[#This Row],[Date]],"[$-en-US]mmm yyyy")</f>
        <v>Feb 2025</v>
      </c>
      <c r="K2993" s="13" t="str">
        <f>TEXT(Table1[[#This Row],[Date]],"[$-en-US]ddd")</f>
        <v>Thu</v>
      </c>
    </row>
    <row r="2994" spans="1:11" x14ac:dyDescent="0.25">
      <c r="A2994">
        <v>18</v>
      </c>
      <c r="B2994" t="s">
        <v>9</v>
      </c>
      <c r="C2994">
        <v>35.76</v>
      </c>
      <c r="D2994" t="s">
        <v>10</v>
      </c>
      <c r="E2994" t="s">
        <v>18</v>
      </c>
      <c r="F2994" t="s">
        <v>39</v>
      </c>
      <c r="G2994">
        <v>4</v>
      </c>
      <c r="H2994">
        <v>2</v>
      </c>
      <c r="I2994" s="13">
        <v>45701</v>
      </c>
      <c r="J2994" s="13" t="str">
        <f>TEXT(Table1[[#This Row],[Date]],"[$-en-US]mmm yyyy")</f>
        <v>Feb 2025</v>
      </c>
      <c r="K2994" s="13" t="str">
        <f>TEXT(Table1[[#This Row],[Date]],"[$-en-US]ddd")</f>
        <v>Thu</v>
      </c>
    </row>
    <row r="2995" spans="1:11" x14ac:dyDescent="0.25">
      <c r="A2995">
        <v>18</v>
      </c>
      <c r="B2995" t="s">
        <v>9</v>
      </c>
      <c r="C2995">
        <v>35.76</v>
      </c>
      <c r="D2995" t="s">
        <v>27</v>
      </c>
      <c r="E2995" t="s">
        <v>18</v>
      </c>
      <c r="F2995" t="s">
        <v>39</v>
      </c>
      <c r="G2995">
        <v>4</v>
      </c>
      <c r="H2995">
        <v>2</v>
      </c>
      <c r="I2995" s="13">
        <v>45701</v>
      </c>
      <c r="J2995" s="13" t="str">
        <f>TEXT(Table1[[#This Row],[Date]],"[$-en-US]mmm yyyy")</f>
        <v>Feb 2025</v>
      </c>
      <c r="K2995" s="13" t="str">
        <f>TEXT(Table1[[#This Row],[Date]],"[$-en-US]ddd")</f>
        <v>Thu</v>
      </c>
    </row>
    <row r="2996" spans="1:11" x14ac:dyDescent="0.25">
      <c r="A2996">
        <v>19</v>
      </c>
      <c r="B2996" t="s">
        <v>9</v>
      </c>
      <c r="C2996">
        <v>35.76</v>
      </c>
      <c r="D2996" t="s">
        <v>10</v>
      </c>
      <c r="E2996" t="s">
        <v>18</v>
      </c>
      <c r="F2996" t="s">
        <v>39</v>
      </c>
      <c r="G2996">
        <v>4</v>
      </c>
      <c r="H2996">
        <v>2</v>
      </c>
      <c r="I2996" s="13">
        <v>45701</v>
      </c>
      <c r="J2996" s="13" t="str">
        <f>TEXT(Table1[[#This Row],[Date]],"[$-en-US]mmm yyyy")</f>
        <v>Feb 2025</v>
      </c>
      <c r="K2996" s="13" t="str">
        <f>TEXT(Table1[[#This Row],[Date]],"[$-en-US]ddd")</f>
        <v>Thu</v>
      </c>
    </row>
    <row r="2997" spans="1:11" x14ac:dyDescent="0.25">
      <c r="A2997">
        <v>11</v>
      </c>
      <c r="B2997" t="s">
        <v>9</v>
      </c>
      <c r="C2997">
        <v>25.96</v>
      </c>
      <c r="D2997" t="s">
        <v>16</v>
      </c>
      <c r="E2997" t="s">
        <v>11</v>
      </c>
      <c r="F2997" t="s">
        <v>39</v>
      </c>
      <c r="G2997">
        <v>5</v>
      </c>
      <c r="H2997">
        <v>2</v>
      </c>
      <c r="I2997" s="13">
        <v>45702</v>
      </c>
      <c r="J2997" s="13" t="str">
        <f>TEXT(Table1[[#This Row],[Date]],"[$-en-US]mmm yyyy")</f>
        <v>Feb 2025</v>
      </c>
      <c r="K2997" s="13" t="str">
        <f>TEXT(Table1[[#This Row],[Date]],"[$-en-US]ddd")</f>
        <v>Fri</v>
      </c>
    </row>
    <row r="2998" spans="1:11" x14ac:dyDescent="0.25">
      <c r="A2998">
        <v>14</v>
      </c>
      <c r="B2998" t="s">
        <v>9</v>
      </c>
      <c r="C2998">
        <v>35.76</v>
      </c>
      <c r="D2998" t="s">
        <v>14</v>
      </c>
      <c r="E2998" t="s">
        <v>15</v>
      </c>
      <c r="F2998" t="s">
        <v>39</v>
      </c>
      <c r="G2998">
        <v>5</v>
      </c>
      <c r="H2998">
        <v>2</v>
      </c>
      <c r="I2998" s="13">
        <v>45702</v>
      </c>
      <c r="J2998" s="13" t="str">
        <f>TEXT(Table1[[#This Row],[Date]],"[$-en-US]mmm yyyy")</f>
        <v>Feb 2025</v>
      </c>
      <c r="K2998" s="13" t="str">
        <f>TEXT(Table1[[#This Row],[Date]],"[$-en-US]ddd")</f>
        <v>Fri</v>
      </c>
    </row>
    <row r="2999" spans="1:11" x14ac:dyDescent="0.25">
      <c r="A2999">
        <v>14</v>
      </c>
      <c r="B2999" t="s">
        <v>9</v>
      </c>
      <c r="C2999">
        <v>25.96</v>
      </c>
      <c r="D2999" t="s">
        <v>16</v>
      </c>
      <c r="E2999" t="s">
        <v>15</v>
      </c>
      <c r="F2999" t="s">
        <v>39</v>
      </c>
      <c r="G2999">
        <v>5</v>
      </c>
      <c r="H2999">
        <v>2</v>
      </c>
      <c r="I2999" s="13">
        <v>45702</v>
      </c>
      <c r="J2999" s="13" t="str">
        <f>TEXT(Table1[[#This Row],[Date]],"[$-en-US]mmm yyyy")</f>
        <v>Feb 2025</v>
      </c>
      <c r="K2999" s="13" t="str">
        <f>TEXT(Table1[[#This Row],[Date]],"[$-en-US]ddd")</f>
        <v>Fri</v>
      </c>
    </row>
    <row r="3000" spans="1:11" x14ac:dyDescent="0.25">
      <c r="A3000">
        <v>14</v>
      </c>
      <c r="B3000" t="s">
        <v>9</v>
      </c>
      <c r="C3000">
        <v>21.06</v>
      </c>
      <c r="D3000" t="s">
        <v>24</v>
      </c>
      <c r="E3000" t="s">
        <v>15</v>
      </c>
      <c r="F3000" t="s">
        <v>39</v>
      </c>
      <c r="G3000">
        <v>5</v>
      </c>
      <c r="H3000">
        <v>2</v>
      </c>
      <c r="I3000" s="13">
        <v>45702</v>
      </c>
      <c r="J3000" s="13" t="str">
        <f>TEXT(Table1[[#This Row],[Date]],"[$-en-US]mmm yyyy")</f>
        <v>Feb 2025</v>
      </c>
      <c r="K3000" s="13" t="str">
        <f>TEXT(Table1[[#This Row],[Date]],"[$-en-US]ddd")</f>
        <v>Fri</v>
      </c>
    </row>
    <row r="3001" spans="1:11" x14ac:dyDescent="0.25">
      <c r="A3001">
        <v>14</v>
      </c>
      <c r="B3001" t="s">
        <v>9</v>
      </c>
      <c r="C3001">
        <v>30.86</v>
      </c>
      <c r="D3001" t="s">
        <v>17</v>
      </c>
      <c r="E3001" t="s">
        <v>15</v>
      </c>
      <c r="F3001" t="s">
        <v>39</v>
      </c>
      <c r="G3001">
        <v>5</v>
      </c>
      <c r="H3001">
        <v>2</v>
      </c>
      <c r="I3001" s="13">
        <v>45702</v>
      </c>
      <c r="J3001" s="13" t="str">
        <f>TEXT(Table1[[#This Row],[Date]],"[$-en-US]mmm yyyy")</f>
        <v>Feb 2025</v>
      </c>
      <c r="K3001" s="13" t="str">
        <f>TEXT(Table1[[#This Row],[Date]],"[$-en-US]ddd")</f>
        <v>Fri</v>
      </c>
    </row>
    <row r="3002" spans="1:11" x14ac:dyDescent="0.25">
      <c r="A3002">
        <v>15</v>
      </c>
      <c r="B3002" t="s">
        <v>9</v>
      </c>
      <c r="C3002">
        <v>35.76</v>
      </c>
      <c r="D3002" t="s">
        <v>27</v>
      </c>
      <c r="E3002" t="s">
        <v>15</v>
      </c>
      <c r="F3002" t="s">
        <v>39</v>
      </c>
      <c r="G3002">
        <v>5</v>
      </c>
      <c r="H3002">
        <v>2</v>
      </c>
      <c r="I3002" s="13">
        <v>45702</v>
      </c>
      <c r="J3002" s="13" t="str">
        <f>TEXT(Table1[[#This Row],[Date]],"[$-en-US]mmm yyyy")</f>
        <v>Feb 2025</v>
      </c>
      <c r="K3002" s="13" t="str">
        <f>TEXT(Table1[[#This Row],[Date]],"[$-en-US]ddd")</f>
        <v>Fri</v>
      </c>
    </row>
    <row r="3003" spans="1:11" x14ac:dyDescent="0.25">
      <c r="A3003">
        <v>15</v>
      </c>
      <c r="B3003" t="s">
        <v>9</v>
      </c>
      <c r="C3003">
        <v>35.76</v>
      </c>
      <c r="D3003" t="s">
        <v>27</v>
      </c>
      <c r="E3003" t="s">
        <v>15</v>
      </c>
      <c r="F3003" t="s">
        <v>39</v>
      </c>
      <c r="G3003">
        <v>5</v>
      </c>
      <c r="H3003">
        <v>2</v>
      </c>
      <c r="I3003" s="13">
        <v>45702</v>
      </c>
      <c r="J3003" s="13" t="str">
        <f>TEXT(Table1[[#This Row],[Date]],"[$-en-US]mmm yyyy")</f>
        <v>Feb 2025</v>
      </c>
      <c r="K3003" s="13" t="str">
        <f>TEXT(Table1[[#This Row],[Date]],"[$-en-US]ddd")</f>
        <v>Fri</v>
      </c>
    </row>
    <row r="3004" spans="1:11" x14ac:dyDescent="0.25">
      <c r="A3004">
        <v>15</v>
      </c>
      <c r="B3004" t="s">
        <v>9</v>
      </c>
      <c r="C3004">
        <v>35.76</v>
      </c>
      <c r="D3004" t="s">
        <v>10</v>
      </c>
      <c r="E3004" t="s">
        <v>15</v>
      </c>
      <c r="F3004" t="s">
        <v>39</v>
      </c>
      <c r="G3004">
        <v>5</v>
      </c>
      <c r="H3004">
        <v>2</v>
      </c>
      <c r="I3004" s="13">
        <v>45702</v>
      </c>
      <c r="J3004" s="13" t="str">
        <f>TEXT(Table1[[#This Row],[Date]],"[$-en-US]mmm yyyy")</f>
        <v>Feb 2025</v>
      </c>
      <c r="K3004" s="13" t="str">
        <f>TEXT(Table1[[#This Row],[Date]],"[$-en-US]ddd")</f>
        <v>Fri</v>
      </c>
    </row>
    <row r="3005" spans="1:11" x14ac:dyDescent="0.25">
      <c r="A3005">
        <v>15</v>
      </c>
      <c r="B3005" t="s">
        <v>9</v>
      </c>
      <c r="C3005">
        <v>35.76</v>
      </c>
      <c r="D3005" t="s">
        <v>14</v>
      </c>
      <c r="E3005" t="s">
        <v>15</v>
      </c>
      <c r="F3005" t="s">
        <v>39</v>
      </c>
      <c r="G3005">
        <v>5</v>
      </c>
      <c r="H3005">
        <v>2</v>
      </c>
      <c r="I3005" s="13">
        <v>45702</v>
      </c>
      <c r="J3005" s="13" t="str">
        <f>TEXT(Table1[[#This Row],[Date]],"[$-en-US]mmm yyyy")</f>
        <v>Feb 2025</v>
      </c>
      <c r="K3005" s="13" t="str">
        <f>TEXT(Table1[[#This Row],[Date]],"[$-en-US]ddd")</f>
        <v>Fri</v>
      </c>
    </row>
    <row r="3006" spans="1:11" x14ac:dyDescent="0.25">
      <c r="A3006">
        <v>15</v>
      </c>
      <c r="B3006" t="s">
        <v>9</v>
      </c>
      <c r="C3006">
        <v>35.76</v>
      </c>
      <c r="D3006" t="s">
        <v>27</v>
      </c>
      <c r="E3006" t="s">
        <v>15</v>
      </c>
      <c r="F3006" t="s">
        <v>39</v>
      </c>
      <c r="G3006">
        <v>5</v>
      </c>
      <c r="H3006">
        <v>2</v>
      </c>
      <c r="I3006" s="13">
        <v>45702</v>
      </c>
      <c r="J3006" s="13" t="str">
        <f>TEXT(Table1[[#This Row],[Date]],"[$-en-US]mmm yyyy")</f>
        <v>Feb 2025</v>
      </c>
      <c r="K3006" s="13" t="str">
        <f>TEXT(Table1[[#This Row],[Date]],"[$-en-US]ddd")</f>
        <v>Fri</v>
      </c>
    </row>
    <row r="3007" spans="1:11" x14ac:dyDescent="0.25">
      <c r="A3007">
        <v>17</v>
      </c>
      <c r="B3007" t="s">
        <v>9</v>
      </c>
      <c r="C3007">
        <v>25.96</v>
      </c>
      <c r="D3007" t="s">
        <v>16</v>
      </c>
      <c r="E3007" t="s">
        <v>18</v>
      </c>
      <c r="F3007" t="s">
        <v>39</v>
      </c>
      <c r="G3007">
        <v>5</v>
      </c>
      <c r="H3007">
        <v>2</v>
      </c>
      <c r="I3007" s="13">
        <v>45702</v>
      </c>
      <c r="J3007" s="13" t="str">
        <f>TEXT(Table1[[#This Row],[Date]],"[$-en-US]mmm yyyy")</f>
        <v>Feb 2025</v>
      </c>
      <c r="K3007" s="13" t="str">
        <f>TEXT(Table1[[#This Row],[Date]],"[$-en-US]ddd")</f>
        <v>Fri</v>
      </c>
    </row>
    <row r="3008" spans="1:11" x14ac:dyDescent="0.25">
      <c r="A3008">
        <v>17</v>
      </c>
      <c r="B3008" t="s">
        <v>9</v>
      </c>
      <c r="C3008">
        <v>35.76</v>
      </c>
      <c r="D3008" t="s">
        <v>19</v>
      </c>
      <c r="E3008" t="s">
        <v>18</v>
      </c>
      <c r="F3008" t="s">
        <v>39</v>
      </c>
      <c r="G3008">
        <v>5</v>
      </c>
      <c r="H3008">
        <v>2</v>
      </c>
      <c r="I3008" s="13">
        <v>45702</v>
      </c>
      <c r="J3008" s="13" t="str">
        <f>TEXT(Table1[[#This Row],[Date]],"[$-en-US]mmm yyyy")</f>
        <v>Feb 2025</v>
      </c>
      <c r="K3008" s="13" t="str">
        <f>TEXT(Table1[[#This Row],[Date]],"[$-en-US]ddd")</f>
        <v>Fri</v>
      </c>
    </row>
    <row r="3009" spans="1:11" x14ac:dyDescent="0.25">
      <c r="A3009">
        <v>17</v>
      </c>
      <c r="B3009" t="s">
        <v>9</v>
      </c>
      <c r="C3009">
        <v>21.06</v>
      </c>
      <c r="D3009" t="s">
        <v>24</v>
      </c>
      <c r="E3009" t="s">
        <v>18</v>
      </c>
      <c r="F3009" t="s">
        <v>39</v>
      </c>
      <c r="G3009">
        <v>5</v>
      </c>
      <c r="H3009">
        <v>2</v>
      </c>
      <c r="I3009" s="13">
        <v>45702</v>
      </c>
      <c r="J3009" s="13" t="str">
        <f>TEXT(Table1[[#This Row],[Date]],"[$-en-US]mmm yyyy")</f>
        <v>Feb 2025</v>
      </c>
      <c r="K3009" s="13" t="str">
        <f>TEXT(Table1[[#This Row],[Date]],"[$-en-US]ddd")</f>
        <v>Fri</v>
      </c>
    </row>
    <row r="3010" spans="1:11" x14ac:dyDescent="0.25">
      <c r="A3010">
        <v>17</v>
      </c>
      <c r="B3010" t="s">
        <v>9</v>
      </c>
      <c r="C3010">
        <v>30.86</v>
      </c>
      <c r="D3010" t="s">
        <v>17</v>
      </c>
      <c r="E3010" t="s">
        <v>18</v>
      </c>
      <c r="F3010" t="s">
        <v>39</v>
      </c>
      <c r="G3010">
        <v>5</v>
      </c>
      <c r="H3010">
        <v>2</v>
      </c>
      <c r="I3010" s="13">
        <v>45702</v>
      </c>
      <c r="J3010" s="13" t="str">
        <f>TEXT(Table1[[#This Row],[Date]],"[$-en-US]mmm yyyy")</f>
        <v>Feb 2025</v>
      </c>
      <c r="K3010" s="13" t="str">
        <f>TEXT(Table1[[#This Row],[Date]],"[$-en-US]ddd")</f>
        <v>Fri</v>
      </c>
    </row>
    <row r="3011" spans="1:11" x14ac:dyDescent="0.25">
      <c r="A3011">
        <v>21</v>
      </c>
      <c r="B3011" t="s">
        <v>9</v>
      </c>
      <c r="C3011">
        <v>25.96</v>
      </c>
      <c r="D3011" t="s">
        <v>16</v>
      </c>
      <c r="E3011" t="s">
        <v>18</v>
      </c>
      <c r="F3011" t="s">
        <v>39</v>
      </c>
      <c r="G3011">
        <v>5</v>
      </c>
      <c r="H3011">
        <v>2</v>
      </c>
      <c r="I3011" s="13">
        <v>45702</v>
      </c>
      <c r="J3011" s="13" t="str">
        <f>TEXT(Table1[[#This Row],[Date]],"[$-en-US]mmm yyyy")</f>
        <v>Feb 2025</v>
      </c>
      <c r="K3011" s="13" t="str">
        <f>TEXT(Table1[[#This Row],[Date]],"[$-en-US]ddd")</f>
        <v>Fri</v>
      </c>
    </row>
    <row r="3012" spans="1:11" x14ac:dyDescent="0.25">
      <c r="A3012">
        <v>9</v>
      </c>
      <c r="B3012" t="s">
        <v>9</v>
      </c>
      <c r="C3012">
        <v>35.76</v>
      </c>
      <c r="D3012" t="s">
        <v>27</v>
      </c>
      <c r="E3012" t="s">
        <v>11</v>
      </c>
      <c r="F3012" t="s">
        <v>39</v>
      </c>
      <c r="G3012">
        <v>6</v>
      </c>
      <c r="H3012">
        <v>2</v>
      </c>
      <c r="I3012" s="13">
        <v>45703</v>
      </c>
      <c r="J3012" s="13" t="str">
        <f>TEXT(Table1[[#This Row],[Date]],"[$-en-US]mmm yyyy")</f>
        <v>Feb 2025</v>
      </c>
      <c r="K3012" s="13" t="str">
        <f>TEXT(Table1[[#This Row],[Date]],"[$-en-US]ddd")</f>
        <v>Sat</v>
      </c>
    </row>
    <row r="3013" spans="1:11" x14ac:dyDescent="0.25">
      <c r="A3013">
        <v>12</v>
      </c>
      <c r="B3013" t="s">
        <v>9</v>
      </c>
      <c r="C3013">
        <v>35.76</v>
      </c>
      <c r="D3013" t="s">
        <v>27</v>
      </c>
      <c r="E3013" t="s">
        <v>15</v>
      </c>
      <c r="F3013" t="s">
        <v>39</v>
      </c>
      <c r="G3013">
        <v>6</v>
      </c>
      <c r="H3013">
        <v>2</v>
      </c>
      <c r="I3013" s="13">
        <v>45703</v>
      </c>
      <c r="J3013" s="13" t="str">
        <f>TEXT(Table1[[#This Row],[Date]],"[$-en-US]mmm yyyy")</f>
        <v>Feb 2025</v>
      </c>
      <c r="K3013" s="13" t="str">
        <f>TEXT(Table1[[#This Row],[Date]],"[$-en-US]ddd")</f>
        <v>Sat</v>
      </c>
    </row>
    <row r="3014" spans="1:11" x14ac:dyDescent="0.25">
      <c r="A3014">
        <v>12</v>
      </c>
      <c r="B3014" t="s">
        <v>9</v>
      </c>
      <c r="C3014">
        <v>25.96</v>
      </c>
      <c r="D3014" t="s">
        <v>16</v>
      </c>
      <c r="E3014" t="s">
        <v>15</v>
      </c>
      <c r="F3014" t="s">
        <v>39</v>
      </c>
      <c r="G3014">
        <v>6</v>
      </c>
      <c r="H3014">
        <v>2</v>
      </c>
      <c r="I3014" s="13">
        <v>45703</v>
      </c>
      <c r="J3014" s="13" t="str">
        <f>TEXT(Table1[[#This Row],[Date]],"[$-en-US]mmm yyyy")</f>
        <v>Feb 2025</v>
      </c>
      <c r="K3014" s="13" t="str">
        <f>TEXT(Table1[[#This Row],[Date]],"[$-en-US]ddd")</f>
        <v>Sat</v>
      </c>
    </row>
    <row r="3015" spans="1:11" x14ac:dyDescent="0.25">
      <c r="A3015">
        <v>13</v>
      </c>
      <c r="B3015" t="s">
        <v>9</v>
      </c>
      <c r="C3015">
        <v>30.86</v>
      </c>
      <c r="D3015" t="s">
        <v>17</v>
      </c>
      <c r="E3015" t="s">
        <v>15</v>
      </c>
      <c r="F3015" t="s">
        <v>39</v>
      </c>
      <c r="G3015">
        <v>6</v>
      </c>
      <c r="H3015">
        <v>2</v>
      </c>
      <c r="I3015" s="13">
        <v>45703</v>
      </c>
      <c r="J3015" s="13" t="str">
        <f>TEXT(Table1[[#This Row],[Date]],"[$-en-US]mmm yyyy")</f>
        <v>Feb 2025</v>
      </c>
      <c r="K3015" s="13" t="str">
        <f>TEXT(Table1[[#This Row],[Date]],"[$-en-US]ddd")</f>
        <v>Sat</v>
      </c>
    </row>
    <row r="3016" spans="1:11" x14ac:dyDescent="0.25">
      <c r="A3016">
        <v>13</v>
      </c>
      <c r="B3016" t="s">
        <v>9</v>
      </c>
      <c r="C3016">
        <v>30.86</v>
      </c>
      <c r="D3016" t="s">
        <v>17</v>
      </c>
      <c r="E3016" t="s">
        <v>15</v>
      </c>
      <c r="F3016" t="s">
        <v>39</v>
      </c>
      <c r="G3016">
        <v>6</v>
      </c>
      <c r="H3016">
        <v>2</v>
      </c>
      <c r="I3016" s="13">
        <v>45703</v>
      </c>
      <c r="J3016" s="13" t="str">
        <f>TEXT(Table1[[#This Row],[Date]],"[$-en-US]mmm yyyy")</f>
        <v>Feb 2025</v>
      </c>
      <c r="K3016" s="13" t="str">
        <f>TEXT(Table1[[#This Row],[Date]],"[$-en-US]ddd")</f>
        <v>Sat</v>
      </c>
    </row>
    <row r="3017" spans="1:11" x14ac:dyDescent="0.25">
      <c r="A3017">
        <v>14</v>
      </c>
      <c r="B3017" t="s">
        <v>9</v>
      </c>
      <c r="C3017">
        <v>35.76</v>
      </c>
      <c r="D3017" t="s">
        <v>27</v>
      </c>
      <c r="E3017" t="s">
        <v>15</v>
      </c>
      <c r="F3017" t="s">
        <v>39</v>
      </c>
      <c r="G3017">
        <v>6</v>
      </c>
      <c r="H3017">
        <v>2</v>
      </c>
      <c r="I3017" s="13">
        <v>45703</v>
      </c>
      <c r="J3017" s="13" t="str">
        <f>TEXT(Table1[[#This Row],[Date]],"[$-en-US]mmm yyyy")</f>
        <v>Feb 2025</v>
      </c>
      <c r="K3017" s="13" t="str">
        <f>TEXT(Table1[[#This Row],[Date]],"[$-en-US]ddd")</f>
        <v>Sat</v>
      </c>
    </row>
    <row r="3018" spans="1:11" x14ac:dyDescent="0.25">
      <c r="A3018">
        <v>14</v>
      </c>
      <c r="B3018" t="s">
        <v>9</v>
      </c>
      <c r="C3018">
        <v>25.96</v>
      </c>
      <c r="D3018" t="s">
        <v>16</v>
      </c>
      <c r="E3018" t="s">
        <v>15</v>
      </c>
      <c r="F3018" t="s">
        <v>39</v>
      </c>
      <c r="G3018">
        <v>6</v>
      </c>
      <c r="H3018">
        <v>2</v>
      </c>
      <c r="I3018" s="13">
        <v>45703</v>
      </c>
      <c r="J3018" s="13" t="str">
        <f>TEXT(Table1[[#This Row],[Date]],"[$-en-US]mmm yyyy")</f>
        <v>Feb 2025</v>
      </c>
      <c r="K3018" s="13" t="str">
        <f>TEXT(Table1[[#This Row],[Date]],"[$-en-US]ddd")</f>
        <v>Sat</v>
      </c>
    </row>
    <row r="3019" spans="1:11" x14ac:dyDescent="0.25">
      <c r="A3019">
        <v>15</v>
      </c>
      <c r="B3019" t="s">
        <v>9</v>
      </c>
      <c r="C3019">
        <v>35.76</v>
      </c>
      <c r="D3019" t="s">
        <v>14</v>
      </c>
      <c r="E3019" t="s">
        <v>15</v>
      </c>
      <c r="F3019" t="s">
        <v>39</v>
      </c>
      <c r="G3019">
        <v>6</v>
      </c>
      <c r="H3019">
        <v>2</v>
      </c>
      <c r="I3019" s="13">
        <v>45703</v>
      </c>
      <c r="J3019" s="13" t="str">
        <f>TEXT(Table1[[#This Row],[Date]],"[$-en-US]mmm yyyy")</f>
        <v>Feb 2025</v>
      </c>
      <c r="K3019" s="13" t="str">
        <f>TEXT(Table1[[#This Row],[Date]],"[$-en-US]ddd")</f>
        <v>Sat</v>
      </c>
    </row>
    <row r="3020" spans="1:11" x14ac:dyDescent="0.25">
      <c r="A3020">
        <v>15</v>
      </c>
      <c r="B3020" t="s">
        <v>9</v>
      </c>
      <c r="C3020">
        <v>35.76</v>
      </c>
      <c r="D3020" t="s">
        <v>14</v>
      </c>
      <c r="E3020" t="s">
        <v>15</v>
      </c>
      <c r="F3020" t="s">
        <v>39</v>
      </c>
      <c r="G3020">
        <v>6</v>
      </c>
      <c r="H3020">
        <v>2</v>
      </c>
      <c r="I3020" s="13">
        <v>45703</v>
      </c>
      <c r="J3020" s="13" t="str">
        <f>TEXT(Table1[[#This Row],[Date]],"[$-en-US]mmm yyyy")</f>
        <v>Feb 2025</v>
      </c>
      <c r="K3020" s="13" t="str">
        <f>TEXT(Table1[[#This Row],[Date]],"[$-en-US]ddd")</f>
        <v>Sat</v>
      </c>
    </row>
    <row r="3021" spans="1:11" x14ac:dyDescent="0.25">
      <c r="A3021">
        <v>10</v>
      </c>
      <c r="B3021" t="s">
        <v>9</v>
      </c>
      <c r="C3021">
        <v>25.96</v>
      </c>
      <c r="D3021" t="s">
        <v>16</v>
      </c>
      <c r="E3021" t="s">
        <v>11</v>
      </c>
      <c r="F3021" t="s">
        <v>39</v>
      </c>
      <c r="G3021">
        <v>7</v>
      </c>
      <c r="H3021">
        <v>2</v>
      </c>
      <c r="I3021" s="13">
        <v>45704</v>
      </c>
      <c r="J3021" s="13" t="str">
        <f>TEXT(Table1[[#This Row],[Date]],"[$-en-US]mmm yyyy")</f>
        <v>Feb 2025</v>
      </c>
      <c r="K3021" s="13" t="str">
        <f>TEXT(Table1[[#This Row],[Date]],"[$-en-US]ddd")</f>
        <v>Sun</v>
      </c>
    </row>
    <row r="3022" spans="1:11" x14ac:dyDescent="0.25">
      <c r="A3022">
        <v>10</v>
      </c>
      <c r="B3022" t="s">
        <v>9</v>
      </c>
      <c r="C3022">
        <v>25.96</v>
      </c>
      <c r="D3022" t="s">
        <v>16</v>
      </c>
      <c r="E3022" t="s">
        <v>11</v>
      </c>
      <c r="F3022" t="s">
        <v>39</v>
      </c>
      <c r="G3022">
        <v>7</v>
      </c>
      <c r="H3022">
        <v>2</v>
      </c>
      <c r="I3022" s="13">
        <v>45704</v>
      </c>
      <c r="J3022" s="13" t="str">
        <f>TEXT(Table1[[#This Row],[Date]],"[$-en-US]mmm yyyy")</f>
        <v>Feb 2025</v>
      </c>
      <c r="K3022" s="13" t="str">
        <f>TEXT(Table1[[#This Row],[Date]],"[$-en-US]ddd")</f>
        <v>Sun</v>
      </c>
    </row>
    <row r="3023" spans="1:11" x14ac:dyDescent="0.25">
      <c r="A3023">
        <v>10</v>
      </c>
      <c r="B3023" t="s">
        <v>9</v>
      </c>
      <c r="C3023">
        <v>30.86</v>
      </c>
      <c r="D3023" t="s">
        <v>17</v>
      </c>
      <c r="E3023" t="s">
        <v>11</v>
      </c>
      <c r="F3023" t="s">
        <v>39</v>
      </c>
      <c r="G3023">
        <v>7</v>
      </c>
      <c r="H3023">
        <v>2</v>
      </c>
      <c r="I3023" s="13">
        <v>45704</v>
      </c>
      <c r="J3023" s="13" t="str">
        <f>TEXT(Table1[[#This Row],[Date]],"[$-en-US]mmm yyyy")</f>
        <v>Feb 2025</v>
      </c>
      <c r="K3023" s="13" t="str">
        <f>TEXT(Table1[[#This Row],[Date]],"[$-en-US]ddd")</f>
        <v>Sun</v>
      </c>
    </row>
    <row r="3024" spans="1:11" x14ac:dyDescent="0.25">
      <c r="A3024">
        <v>11</v>
      </c>
      <c r="B3024" t="s">
        <v>9</v>
      </c>
      <c r="C3024">
        <v>35.76</v>
      </c>
      <c r="D3024" t="s">
        <v>14</v>
      </c>
      <c r="E3024" t="s">
        <v>11</v>
      </c>
      <c r="F3024" t="s">
        <v>39</v>
      </c>
      <c r="G3024">
        <v>7</v>
      </c>
      <c r="H3024">
        <v>2</v>
      </c>
      <c r="I3024" s="13">
        <v>45704</v>
      </c>
      <c r="J3024" s="13" t="str">
        <f>TEXT(Table1[[#This Row],[Date]],"[$-en-US]mmm yyyy")</f>
        <v>Feb 2025</v>
      </c>
      <c r="K3024" s="13" t="str">
        <f>TEXT(Table1[[#This Row],[Date]],"[$-en-US]ddd")</f>
        <v>Sun</v>
      </c>
    </row>
    <row r="3025" spans="1:11" x14ac:dyDescent="0.25">
      <c r="A3025">
        <v>11</v>
      </c>
      <c r="B3025" t="s">
        <v>9</v>
      </c>
      <c r="C3025">
        <v>25.96</v>
      </c>
      <c r="D3025" t="s">
        <v>16</v>
      </c>
      <c r="E3025" t="s">
        <v>11</v>
      </c>
      <c r="F3025" t="s">
        <v>39</v>
      </c>
      <c r="G3025">
        <v>7</v>
      </c>
      <c r="H3025">
        <v>2</v>
      </c>
      <c r="I3025" s="13">
        <v>45704</v>
      </c>
      <c r="J3025" s="13" t="str">
        <f>TEXT(Table1[[#This Row],[Date]],"[$-en-US]mmm yyyy")</f>
        <v>Feb 2025</v>
      </c>
      <c r="K3025" s="13" t="str">
        <f>TEXT(Table1[[#This Row],[Date]],"[$-en-US]ddd")</f>
        <v>Sun</v>
      </c>
    </row>
    <row r="3026" spans="1:11" x14ac:dyDescent="0.25">
      <c r="A3026">
        <v>14</v>
      </c>
      <c r="B3026" t="s">
        <v>9</v>
      </c>
      <c r="C3026">
        <v>35.76</v>
      </c>
      <c r="D3026" t="s">
        <v>14</v>
      </c>
      <c r="E3026" t="s">
        <v>15</v>
      </c>
      <c r="F3026" t="s">
        <v>39</v>
      </c>
      <c r="G3026">
        <v>7</v>
      </c>
      <c r="H3026">
        <v>2</v>
      </c>
      <c r="I3026" s="13">
        <v>45704</v>
      </c>
      <c r="J3026" s="13" t="str">
        <f>TEXT(Table1[[#This Row],[Date]],"[$-en-US]mmm yyyy")</f>
        <v>Feb 2025</v>
      </c>
      <c r="K3026" s="13" t="str">
        <f>TEXT(Table1[[#This Row],[Date]],"[$-en-US]ddd")</f>
        <v>Sun</v>
      </c>
    </row>
    <row r="3027" spans="1:11" x14ac:dyDescent="0.25">
      <c r="A3027">
        <v>14</v>
      </c>
      <c r="B3027" t="s">
        <v>9</v>
      </c>
      <c r="C3027">
        <v>35.76</v>
      </c>
      <c r="D3027" t="s">
        <v>10</v>
      </c>
      <c r="E3027" t="s">
        <v>15</v>
      </c>
      <c r="F3027" t="s">
        <v>39</v>
      </c>
      <c r="G3027">
        <v>7</v>
      </c>
      <c r="H3027">
        <v>2</v>
      </c>
      <c r="I3027" s="13">
        <v>45704</v>
      </c>
      <c r="J3027" s="13" t="str">
        <f>TEXT(Table1[[#This Row],[Date]],"[$-en-US]mmm yyyy")</f>
        <v>Feb 2025</v>
      </c>
      <c r="K3027" s="13" t="str">
        <f>TEXT(Table1[[#This Row],[Date]],"[$-en-US]ddd")</f>
        <v>Sun</v>
      </c>
    </row>
    <row r="3028" spans="1:11" x14ac:dyDescent="0.25">
      <c r="A3028">
        <v>17</v>
      </c>
      <c r="B3028" t="s">
        <v>9</v>
      </c>
      <c r="C3028">
        <v>35.76</v>
      </c>
      <c r="D3028" t="s">
        <v>14</v>
      </c>
      <c r="E3028" t="s">
        <v>18</v>
      </c>
      <c r="F3028" t="s">
        <v>39</v>
      </c>
      <c r="G3028">
        <v>7</v>
      </c>
      <c r="H3028">
        <v>2</v>
      </c>
      <c r="I3028" s="13">
        <v>45704</v>
      </c>
      <c r="J3028" s="13" t="str">
        <f>TEXT(Table1[[#This Row],[Date]],"[$-en-US]mmm yyyy")</f>
        <v>Feb 2025</v>
      </c>
      <c r="K3028" s="13" t="str">
        <f>TEXT(Table1[[#This Row],[Date]],"[$-en-US]ddd")</f>
        <v>Sun</v>
      </c>
    </row>
    <row r="3029" spans="1:11" x14ac:dyDescent="0.25">
      <c r="A3029">
        <v>17</v>
      </c>
      <c r="B3029" t="s">
        <v>9</v>
      </c>
      <c r="C3029">
        <v>30.86</v>
      </c>
      <c r="D3029" t="s">
        <v>17</v>
      </c>
      <c r="E3029" t="s">
        <v>18</v>
      </c>
      <c r="F3029" t="s">
        <v>39</v>
      </c>
      <c r="G3029">
        <v>7</v>
      </c>
      <c r="H3029">
        <v>2</v>
      </c>
      <c r="I3029" s="13">
        <v>45704</v>
      </c>
      <c r="J3029" s="13" t="str">
        <f>TEXT(Table1[[#This Row],[Date]],"[$-en-US]mmm yyyy")</f>
        <v>Feb 2025</v>
      </c>
      <c r="K3029" s="13" t="str">
        <f>TEXT(Table1[[#This Row],[Date]],"[$-en-US]ddd")</f>
        <v>Sun</v>
      </c>
    </row>
    <row r="3030" spans="1:11" x14ac:dyDescent="0.25">
      <c r="A3030">
        <v>17</v>
      </c>
      <c r="B3030" t="s">
        <v>9</v>
      </c>
      <c r="C3030">
        <v>30.86</v>
      </c>
      <c r="D3030" t="s">
        <v>17</v>
      </c>
      <c r="E3030" t="s">
        <v>18</v>
      </c>
      <c r="F3030" t="s">
        <v>39</v>
      </c>
      <c r="G3030">
        <v>7</v>
      </c>
      <c r="H3030">
        <v>2</v>
      </c>
      <c r="I3030" s="13">
        <v>45704</v>
      </c>
      <c r="J3030" s="13" t="str">
        <f>TEXT(Table1[[#This Row],[Date]],"[$-en-US]mmm yyyy")</f>
        <v>Feb 2025</v>
      </c>
      <c r="K3030" s="13" t="str">
        <f>TEXT(Table1[[#This Row],[Date]],"[$-en-US]ddd")</f>
        <v>Sun</v>
      </c>
    </row>
    <row r="3031" spans="1:11" x14ac:dyDescent="0.25">
      <c r="A3031">
        <v>6</v>
      </c>
      <c r="B3031" t="s">
        <v>9</v>
      </c>
      <c r="C3031">
        <v>35.76</v>
      </c>
      <c r="D3031" t="s">
        <v>27</v>
      </c>
      <c r="E3031" t="s">
        <v>11</v>
      </c>
      <c r="F3031" t="s">
        <v>39</v>
      </c>
      <c r="G3031">
        <v>1</v>
      </c>
      <c r="H3031">
        <v>2</v>
      </c>
      <c r="I3031" s="13">
        <v>45705</v>
      </c>
      <c r="J3031" s="13" t="str">
        <f>TEXT(Table1[[#This Row],[Date]],"[$-en-US]mmm yyyy")</f>
        <v>Feb 2025</v>
      </c>
      <c r="K3031" s="13" t="str">
        <f>TEXT(Table1[[#This Row],[Date]],"[$-en-US]ddd")</f>
        <v>Mon</v>
      </c>
    </row>
    <row r="3032" spans="1:11" x14ac:dyDescent="0.25">
      <c r="A3032">
        <v>8</v>
      </c>
      <c r="B3032" t="s">
        <v>9</v>
      </c>
      <c r="C3032">
        <v>25.96</v>
      </c>
      <c r="D3032" t="s">
        <v>16</v>
      </c>
      <c r="E3032" t="s">
        <v>11</v>
      </c>
      <c r="F3032" t="s">
        <v>39</v>
      </c>
      <c r="G3032">
        <v>1</v>
      </c>
      <c r="H3032">
        <v>2</v>
      </c>
      <c r="I3032" s="13">
        <v>45705</v>
      </c>
      <c r="J3032" s="13" t="str">
        <f>TEXT(Table1[[#This Row],[Date]],"[$-en-US]mmm yyyy")</f>
        <v>Feb 2025</v>
      </c>
      <c r="K3032" s="13" t="str">
        <f>TEXT(Table1[[#This Row],[Date]],"[$-en-US]ddd")</f>
        <v>Mon</v>
      </c>
    </row>
    <row r="3033" spans="1:11" x14ac:dyDescent="0.25">
      <c r="A3033">
        <v>9</v>
      </c>
      <c r="B3033" t="s">
        <v>9</v>
      </c>
      <c r="C3033">
        <v>25.96</v>
      </c>
      <c r="D3033" t="s">
        <v>16</v>
      </c>
      <c r="E3033" t="s">
        <v>11</v>
      </c>
      <c r="F3033" t="s">
        <v>39</v>
      </c>
      <c r="G3033">
        <v>1</v>
      </c>
      <c r="H3033">
        <v>2</v>
      </c>
      <c r="I3033" s="13">
        <v>45705</v>
      </c>
      <c r="J3033" s="13" t="str">
        <f>TEXT(Table1[[#This Row],[Date]],"[$-en-US]mmm yyyy")</f>
        <v>Feb 2025</v>
      </c>
      <c r="K3033" s="13" t="str">
        <f>TEXT(Table1[[#This Row],[Date]],"[$-en-US]ddd")</f>
        <v>Mon</v>
      </c>
    </row>
    <row r="3034" spans="1:11" x14ac:dyDescent="0.25">
      <c r="A3034">
        <v>9</v>
      </c>
      <c r="B3034" t="s">
        <v>9</v>
      </c>
      <c r="C3034">
        <v>30.86</v>
      </c>
      <c r="D3034" t="s">
        <v>17</v>
      </c>
      <c r="E3034" t="s">
        <v>11</v>
      </c>
      <c r="F3034" t="s">
        <v>39</v>
      </c>
      <c r="G3034">
        <v>1</v>
      </c>
      <c r="H3034">
        <v>2</v>
      </c>
      <c r="I3034" s="13">
        <v>45705</v>
      </c>
      <c r="J3034" s="13" t="str">
        <f>TEXT(Table1[[#This Row],[Date]],"[$-en-US]mmm yyyy")</f>
        <v>Feb 2025</v>
      </c>
      <c r="K3034" s="13" t="str">
        <f>TEXT(Table1[[#This Row],[Date]],"[$-en-US]ddd")</f>
        <v>Mon</v>
      </c>
    </row>
    <row r="3035" spans="1:11" x14ac:dyDescent="0.25">
      <c r="A3035">
        <v>9</v>
      </c>
      <c r="B3035" t="s">
        <v>9</v>
      </c>
      <c r="C3035">
        <v>35.76</v>
      </c>
      <c r="D3035" t="s">
        <v>14</v>
      </c>
      <c r="E3035" t="s">
        <v>11</v>
      </c>
      <c r="F3035" t="s">
        <v>39</v>
      </c>
      <c r="G3035">
        <v>1</v>
      </c>
      <c r="H3035">
        <v>2</v>
      </c>
      <c r="I3035" s="13">
        <v>45705</v>
      </c>
      <c r="J3035" s="13" t="str">
        <f>TEXT(Table1[[#This Row],[Date]],"[$-en-US]mmm yyyy")</f>
        <v>Feb 2025</v>
      </c>
      <c r="K3035" s="13" t="str">
        <f>TEXT(Table1[[#This Row],[Date]],"[$-en-US]ddd")</f>
        <v>Mon</v>
      </c>
    </row>
    <row r="3036" spans="1:11" x14ac:dyDescent="0.25">
      <c r="A3036">
        <v>10</v>
      </c>
      <c r="B3036" t="s">
        <v>9</v>
      </c>
      <c r="C3036">
        <v>30.86</v>
      </c>
      <c r="D3036" t="s">
        <v>17</v>
      </c>
      <c r="E3036" t="s">
        <v>11</v>
      </c>
      <c r="F3036" t="s">
        <v>39</v>
      </c>
      <c r="G3036">
        <v>1</v>
      </c>
      <c r="H3036">
        <v>2</v>
      </c>
      <c r="I3036" s="13">
        <v>45705</v>
      </c>
      <c r="J3036" s="13" t="str">
        <f>TEXT(Table1[[#This Row],[Date]],"[$-en-US]mmm yyyy")</f>
        <v>Feb 2025</v>
      </c>
      <c r="K3036" s="13" t="str">
        <f>TEXT(Table1[[#This Row],[Date]],"[$-en-US]ddd")</f>
        <v>Mon</v>
      </c>
    </row>
    <row r="3037" spans="1:11" x14ac:dyDescent="0.25">
      <c r="A3037">
        <v>10</v>
      </c>
      <c r="B3037" t="s">
        <v>9</v>
      </c>
      <c r="C3037">
        <v>25.96</v>
      </c>
      <c r="D3037" t="s">
        <v>16</v>
      </c>
      <c r="E3037" t="s">
        <v>11</v>
      </c>
      <c r="F3037" t="s">
        <v>39</v>
      </c>
      <c r="G3037">
        <v>1</v>
      </c>
      <c r="H3037">
        <v>2</v>
      </c>
      <c r="I3037" s="13">
        <v>45705</v>
      </c>
      <c r="J3037" s="13" t="str">
        <f>TEXT(Table1[[#This Row],[Date]],"[$-en-US]mmm yyyy")</f>
        <v>Feb 2025</v>
      </c>
      <c r="K3037" s="13" t="str">
        <f>TEXT(Table1[[#This Row],[Date]],"[$-en-US]ddd")</f>
        <v>Mon</v>
      </c>
    </row>
    <row r="3038" spans="1:11" x14ac:dyDescent="0.25">
      <c r="A3038">
        <v>11</v>
      </c>
      <c r="B3038" t="s">
        <v>9</v>
      </c>
      <c r="C3038">
        <v>30.86</v>
      </c>
      <c r="D3038" t="s">
        <v>17</v>
      </c>
      <c r="E3038" t="s">
        <v>11</v>
      </c>
      <c r="F3038" t="s">
        <v>39</v>
      </c>
      <c r="G3038">
        <v>1</v>
      </c>
      <c r="H3038">
        <v>2</v>
      </c>
      <c r="I3038" s="13">
        <v>45705</v>
      </c>
      <c r="J3038" s="13" t="str">
        <f>TEXT(Table1[[#This Row],[Date]],"[$-en-US]mmm yyyy")</f>
        <v>Feb 2025</v>
      </c>
      <c r="K3038" s="13" t="str">
        <f>TEXT(Table1[[#This Row],[Date]],"[$-en-US]ddd")</f>
        <v>Mon</v>
      </c>
    </row>
    <row r="3039" spans="1:11" x14ac:dyDescent="0.25">
      <c r="A3039">
        <v>11</v>
      </c>
      <c r="B3039" t="s">
        <v>9</v>
      </c>
      <c r="C3039">
        <v>21.06</v>
      </c>
      <c r="D3039" t="s">
        <v>24</v>
      </c>
      <c r="E3039" t="s">
        <v>11</v>
      </c>
      <c r="F3039" t="s">
        <v>39</v>
      </c>
      <c r="G3039">
        <v>1</v>
      </c>
      <c r="H3039">
        <v>2</v>
      </c>
      <c r="I3039" s="13">
        <v>45705</v>
      </c>
      <c r="J3039" s="13" t="str">
        <f>TEXT(Table1[[#This Row],[Date]],"[$-en-US]mmm yyyy")</f>
        <v>Feb 2025</v>
      </c>
      <c r="K3039" s="13" t="str">
        <f>TEXT(Table1[[#This Row],[Date]],"[$-en-US]ddd")</f>
        <v>Mon</v>
      </c>
    </row>
    <row r="3040" spans="1:11" x14ac:dyDescent="0.25">
      <c r="A3040">
        <v>12</v>
      </c>
      <c r="B3040" t="s">
        <v>9</v>
      </c>
      <c r="C3040">
        <v>35.76</v>
      </c>
      <c r="D3040" t="s">
        <v>27</v>
      </c>
      <c r="E3040" t="s">
        <v>15</v>
      </c>
      <c r="F3040" t="s">
        <v>39</v>
      </c>
      <c r="G3040">
        <v>1</v>
      </c>
      <c r="H3040">
        <v>2</v>
      </c>
      <c r="I3040" s="13">
        <v>45705</v>
      </c>
      <c r="J3040" s="13" t="str">
        <f>TEXT(Table1[[#This Row],[Date]],"[$-en-US]mmm yyyy")</f>
        <v>Feb 2025</v>
      </c>
      <c r="K3040" s="13" t="str">
        <f>TEXT(Table1[[#This Row],[Date]],"[$-en-US]ddd")</f>
        <v>Mon</v>
      </c>
    </row>
    <row r="3041" spans="1:11" x14ac:dyDescent="0.25">
      <c r="A3041">
        <v>14</v>
      </c>
      <c r="B3041" t="s">
        <v>9</v>
      </c>
      <c r="C3041">
        <v>35.76</v>
      </c>
      <c r="D3041" t="s">
        <v>10</v>
      </c>
      <c r="E3041" t="s">
        <v>15</v>
      </c>
      <c r="F3041" t="s">
        <v>39</v>
      </c>
      <c r="G3041">
        <v>1</v>
      </c>
      <c r="H3041">
        <v>2</v>
      </c>
      <c r="I3041" s="13">
        <v>45705</v>
      </c>
      <c r="J3041" s="13" t="str">
        <f>TEXT(Table1[[#This Row],[Date]],"[$-en-US]mmm yyyy")</f>
        <v>Feb 2025</v>
      </c>
      <c r="K3041" s="13" t="str">
        <f>TEXT(Table1[[#This Row],[Date]],"[$-en-US]ddd")</f>
        <v>Mon</v>
      </c>
    </row>
    <row r="3042" spans="1:11" x14ac:dyDescent="0.25">
      <c r="A3042">
        <v>15</v>
      </c>
      <c r="B3042" t="s">
        <v>9</v>
      </c>
      <c r="C3042">
        <v>30.86</v>
      </c>
      <c r="D3042" t="s">
        <v>17</v>
      </c>
      <c r="E3042" t="s">
        <v>15</v>
      </c>
      <c r="F3042" t="s">
        <v>39</v>
      </c>
      <c r="G3042">
        <v>1</v>
      </c>
      <c r="H3042">
        <v>2</v>
      </c>
      <c r="I3042" s="13">
        <v>45705</v>
      </c>
      <c r="J3042" s="13" t="str">
        <f>TEXT(Table1[[#This Row],[Date]],"[$-en-US]mmm yyyy")</f>
        <v>Feb 2025</v>
      </c>
      <c r="K3042" s="13" t="str">
        <f>TEXT(Table1[[#This Row],[Date]],"[$-en-US]ddd")</f>
        <v>Mon</v>
      </c>
    </row>
    <row r="3043" spans="1:11" x14ac:dyDescent="0.25">
      <c r="A3043">
        <v>15</v>
      </c>
      <c r="B3043" t="s">
        <v>9</v>
      </c>
      <c r="C3043">
        <v>35.76</v>
      </c>
      <c r="D3043" t="s">
        <v>10</v>
      </c>
      <c r="E3043" t="s">
        <v>15</v>
      </c>
      <c r="F3043" t="s">
        <v>39</v>
      </c>
      <c r="G3043">
        <v>1</v>
      </c>
      <c r="H3043">
        <v>2</v>
      </c>
      <c r="I3043" s="13">
        <v>45705</v>
      </c>
      <c r="J3043" s="13" t="str">
        <f>TEXT(Table1[[#This Row],[Date]],"[$-en-US]mmm yyyy")</f>
        <v>Feb 2025</v>
      </c>
      <c r="K3043" s="13" t="str">
        <f>TEXT(Table1[[#This Row],[Date]],"[$-en-US]ddd")</f>
        <v>Mon</v>
      </c>
    </row>
    <row r="3044" spans="1:11" x14ac:dyDescent="0.25">
      <c r="A3044">
        <v>16</v>
      </c>
      <c r="B3044" t="s">
        <v>9</v>
      </c>
      <c r="C3044">
        <v>21.06</v>
      </c>
      <c r="D3044" t="s">
        <v>24</v>
      </c>
      <c r="E3044" t="s">
        <v>15</v>
      </c>
      <c r="F3044" t="s">
        <v>39</v>
      </c>
      <c r="G3044">
        <v>1</v>
      </c>
      <c r="H3044">
        <v>2</v>
      </c>
      <c r="I3044" s="13">
        <v>45705</v>
      </c>
      <c r="J3044" s="13" t="str">
        <f>TEXT(Table1[[#This Row],[Date]],"[$-en-US]mmm yyyy")</f>
        <v>Feb 2025</v>
      </c>
      <c r="K3044" s="13" t="str">
        <f>TEXT(Table1[[#This Row],[Date]],"[$-en-US]ddd")</f>
        <v>Mon</v>
      </c>
    </row>
    <row r="3045" spans="1:11" x14ac:dyDescent="0.25">
      <c r="A3045">
        <v>16</v>
      </c>
      <c r="B3045" t="s">
        <v>9</v>
      </c>
      <c r="C3045">
        <v>25.96</v>
      </c>
      <c r="D3045" t="s">
        <v>16</v>
      </c>
      <c r="E3045" t="s">
        <v>15</v>
      </c>
      <c r="F3045" t="s">
        <v>39</v>
      </c>
      <c r="G3045">
        <v>1</v>
      </c>
      <c r="H3045">
        <v>2</v>
      </c>
      <c r="I3045" s="13">
        <v>45705</v>
      </c>
      <c r="J3045" s="13" t="str">
        <f>TEXT(Table1[[#This Row],[Date]],"[$-en-US]mmm yyyy")</f>
        <v>Feb 2025</v>
      </c>
      <c r="K3045" s="13" t="str">
        <f>TEXT(Table1[[#This Row],[Date]],"[$-en-US]ddd")</f>
        <v>Mon</v>
      </c>
    </row>
    <row r="3046" spans="1:11" x14ac:dyDescent="0.25">
      <c r="A3046">
        <v>17</v>
      </c>
      <c r="B3046" t="s">
        <v>9</v>
      </c>
      <c r="C3046">
        <v>30.86</v>
      </c>
      <c r="D3046" t="s">
        <v>17</v>
      </c>
      <c r="E3046" t="s">
        <v>18</v>
      </c>
      <c r="F3046" t="s">
        <v>39</v>
      </c>
      <c r="G3046">
        <v>1</v>
      </c>
      <c r="H3046">
        <v>2</v>
      </c>
      <c r="I3046" s="13">
        <v>45705</v>
      </c>
      <c r="J3046" s="13" t="str">
        <f>TEXT(Table1[[#This Row],[Date]],"[$-en-US]mmm yyyy")</f>
        <v>Feb 2025</v>
      </c>
      <c r="K3046" s="13" t="str">
        <f>TEXT(Table1[[#This Row],[Date]],"[$-en-US]ddd")</f>
        <v>Mon</v>
      </c>
    </row>
    <row r="3047" spans="1:11" x14ac:dyDescent="0.25">
      <c r="A3047">
        <v>18</v>
      </c>
      <c r="B3047" t="s">
        <v>9</v>
      </c>
      <c r="C3047">
        <v>25.96</v>
      </c>
      <c r="D3047" t="s">
        <v>16</v>
      </c>
      <c r="E3047" t="s">
        <v>18</v>
      </c>
      <c r="F3047" t="s">
        <v>39</v>
      </c>
      <c r="G3047">
        <v>1</v>
      </c>
      <c r="H3047">
        <v>2</v>
      </c>
      <c r="I3047" s="13">
        <v>45705</v>
      </c>
      <c r="J3047" s="13" t="str">
        <f>TEXT(Table1[[#This Row],[Date]],"[$-en-US]mmm yyyy")</f>
        <v>Feb 2025</v>
      </c>
      <c r="K3047" s="13" t="str">
        <f>TEXT(Table1[[#This Row],[Date]],"[$-en-US]ddd")</f>
        <v>Mon</v>
      </c>
    </row>
    <row r="3048" spans="1:11" x14ac:dyDescent="0.25">
      <c r="A3048">
        <v>19</v>
      </c>
      <c r="B3048" t="s">
        <v>9</v>
      </c>
      <c r="C3048">
        <v>25.96</v>
      </c>
      <c r="D3048" t="s">
        <v>16</v>
      </c>
      <c r="E3048" t="s">
        <v>18</v>
      </c>
      <c r="F3048" t="s">
        <v>39</v>
      </c>
      <c r="G3048">
        <v>1</v>
      </c>
      <c r="H3048">
        <v>2</v>
      </c>
      <c r="I3048" s="13">
        <v>45705</v>
      </c>
      <c r="J3048" s="13" t="str">
        <f>TEXT(Table1[[#This Row],[Date]],"[$-en-US]mmm yyyy")</f>
        <v>Feb 2025</v>
      </c>
      <c r="K3048" s="13" t="str">
        <f>TEXT(Table1[[#This Row],[Date]],"[$-en-US]ddd")</f>
        <v>Mon</v>
      </c>
    </row>
    <row r="3049" spans="1:11" x14ac:dyDescent="0.25">
      <c r="A3049">
        <v>19</v>
      </c>
      <c r="B3049" t="s">
        <v>9</v>
      </c>
      <c r="C3049">
        <v>25.96</v>
      </c>
      <c r="D3049" t="s">
        <v>16</v>
      </c>
      <c r="E3049" t="s">
        <v>18</v>
      </c>
      <c r="F3049" t="s">
        <v>39</v>
      </c>
      <c r="G3049">
        <v>1</v>
      </c>
      <c r="H3049">
        <v>2</v>
      </c>
      <c r="I3049" s="13">
        <v>45705</v>
      </c>
      <c r="J3049" s="13" t="str">
        <f>TEXT(Table1[[#This Row],[Date]],"[$-en-US]mmm yyyy")</f>
        <v>Feb 2025</v>
      </c>
      <c r="K3049" s="13" t="str">
        <f>TEXT(Table1[[#This Row],[Date]],"[$-en-US]ddd")</f>
        <v>Mon</v>
      </c>
    </row>
    <row r="3050" spans="1:11" x14ac:dyDescent="0.25">
      <c r="A3050">
        <v>20</v>
      </c>
      <c r="B3050" t="s">
        <v>9</v>
      </c>
      <c r="C3050">
        <v>35.76</v>
      </c>
      <c r="D3050" t="s">
        <v>10</v>
      </c>
      <c r="E3050" t="s">
        <v>18</v>
      </c>
      <c r="F3050" t="s">
        <v>39</v>
      </c>
      <c r="G3050">
        <v>1</v>
      </c>
      <c r="H3050">
        <v>2</v>
      </c>
      <c r="I3050" s="13">
        <v>45705</v>
      </c>
      <c r="J3050" s="13" t="str">
        <f>TEXT(Table1[[#This Row],[Date]],"[$-en-US]mmm yyyy")</f>
        <v>Feb 2025</v>
      </c>
      <c r="K3050" s="13" t="str">
        <f>TEXT(Table1[[#This Row],[Date]],"[$-en-US]ddd")</f>
        <v>Mon</v>
      </c>
    </row>
    <row r="3051" spans="1:11" x14ac:dyDescent="0.25">
      <c r="A3051">
        <v>8</v>
      </c>
      <c r="B3051" t="s">
        <v>9</v>
      </c>
      <c r="C3051">
        <v>25.96</v>
      </c>
      <c r="D3051" t="s">
        <v>16</v>
      </c>
      <c r="E3051" t="s">
        <v>11</v>
      </c>
      <c r="F3051" t="s">
        <v>39</v>
      </c>
      <c r="G3051">
        <v>2</v>
      </c>
      <c r="H3051">
        <v>2</v>
      </c>
      <c r="I3051" s="13">
        <v>45706</v>
      </c>
      <c r="J3051" s="13" t="str">
        <f>TEXT(Table1[[#This Row],[Date]],"[$-en-US]mmm yyyy")</f>
        <v>Feb 2025</v>
      </c>
      <c r="K3051" s="13" t="str">
        <f>TEXT(Table1[[#This Row],[Date]],"[$-en-US]ddd")</f>
        <v>Tue</v>
      </c>
    </row>
    <row r="3052" spans="1:11" x14ac:dyDescent="0.25">
      <c r="A3052">
        <v>8</v>
      </c>
      <c r="B3052" t="s">
        <v>9</v>
      </c>
      <c r="C3052">
        <v>25.96</v>
      </c>
      <c r="D3052" t="s">
        <v>16</v>
      </c>
      <c r="E3052" t="s">
        <v>11</v>
      </c>
      <c r="F3052" t="s">
        <v>39</v>
      </c>
      <c r="G3052">
        <v>2</v>
      </c>
      <c r="H3052">
        <v>2</v>
      </c>
      <c r="I3052" s="13">
        <v>45706</v>
      </c>
      <c r="J3052" s="13" t="str">
        <f>TEXT(Table1[[#This Row],[Date]],"[$-en-US]mmm yyyy")</f>
        <v>Feb 2025</v>
      </c>
      <c r="K3052" s="13" t="str">
        <f>TEXT(Table1[[#This Row],[Date]],"[$-en-US]ddd")</f>
        <v>Tue</v>
      </c>
    </row>
    <row r="3053" spans="1:11" x14ac:dyDescent="0.25">
      <c r="A3053">
        <v>11</v>
      </c>
      <c r="B3053" t="s">
        <v>9</v>
      </c>
      <c r="C3053">
        <v>25.96</v>
      </c>
      <c r="D3053" t="s">
        <v>16</v>
      </c>
      <c r="E3053" t="s">
        <v>11</v>
      </c>
      <c r="F3053" t="s">
        <v>39</v>
      </c>
      <c r="G3053">
        <v>2</v>
      </c>
      <c r="H3053">
        <v>2</v>
      </c>
      <c r="I3053" s="13">
        <v>45706</v>
      </c>
      <c r="J3053" s="13" t="str">
        <f>TEXT(Table1[[#This Row],[Date]],"[$-en-US]mmm yyyy")</f>
        <v>Feb 2025</v>
      </c>
      <c r="K3053" s="13" t="str">
        <f>TEXT(Table1[[#This Row],[Date]],"[$-en-US]ddd")</f>
        <v>Tue</v>
      </c>
    </row>
    <row r="3054" spans="1:11" x14ac:dyDescent="0.25">
      <c r="A3054">
        <v>11</v>
      </c>
      <c r="B3054" t="s">
        <v>9</v>
      </c>
      <c r="C3054">
        <v>25.96</v>
      </c>
      <c r="D3054" t="s">
        <v>16</v>
      </c>
      <c r="E3054" t="s">
        <v>11</v>
      </c>
      <c r="F3054" t="s">
        <v>39</v>
      </c>
      <c r="G3054">
        <v>2</v>
      </c>
      <c r="H3054">
        <v>2</v>
      </c>
      <c r="I3054" s="13">
        <v>45706</v>
      </c>
      <c r="J3054" s="13" t="str">
        <f>TEXT(Table1[[#This Row],[Date]],"[$-en-US]mmm yyyy")</f>
        <v>Feb 2025</v>
      </c>
      <c r="K3054" s="13" t="str">
        <f>TEXT(Table1[[#This Row],[Date]],"[$-en-US]ddd")</f>
        <v>Tue</v>
      </c>
    </row>
    <row r="3055" spans="1:11" x14ac:dyDescent="0.25">
      <c r="A3055">
        <v>11</v>
      </c>
      <c r="B3055" t="s">
        <v>9</v>
      </c>
      <c r="C3055">
        <v>30.86</v>
      </c>
      <c r="D3055" t="s">
        <v>17</v>
      </c>
      <c r="E3055" t="s">
        <v>11</v>
      </c>
      <c r="F3055" t="s">
        <v>39</v>
      </c>
      <c r="G3055">
        <v>2</v>
      </c>
      <c r="H3055">
        <v>2</v>
      </c>
      <c r="I3055" s="13">
        <v>45706</v>
      </c>
      <c r="J3055" s="13" t="str">
        <f>TEXT(Table1[[#This Row],[Date]],"[$-en-US]mmm yyyy")</f>
        <v>Feb 2025</v>
      </c>
      <c r="K3055" s="13" t="str">
        <f>TEXT(Table1[[#This Row],[Date]],"[$-en-US]ddd")</f>
        <v>Tue</v>
      </c>
    </row>
    <row r="3056" spans="1:11" x14ac:dyDescent="0.25">
      <c r="A3056">
        <v>12</v>
      </c>
      <c r="B3056" t="s">
        <v>9</v>
      </c>
      <c r="C3056">
        <v>30.86</v>
      </c>
      <c r="D3056" t="s">
        <v>17</v>
      </c>
      <c r="E3056" t="s">
        <v>15</v>
      </c>
      <c r="F3056" t="s">
        <v>39</v>
      </c>
      <c r="G3056">
        <v>2</v>
      </c>
      <c r="H3056">
        <v>2</v>
      </c>
      <c r="I3056" s="13">
        <v>45706</v>
      </c>
      <c r="J3056" s="13" t="str">
        <f>TEXT(Table1[[#This Row],[Date]],"[$-en-US]mmm yyyy")</f>
        <v>Feb 2025</v>
      </c>
      <c r="K3056" s="13" t="str">
        <f>TEXT(Table1[[#This Row],[Date]],"[$-en-US]ddd")</f>
        <v>Tue</v>
      </c>
    </row>
    <row r="3057" spans="1:11" x14ac:dyDescent="0.25">
      <c r="A3057">
        <v>13</v>
      </c>
      <c r="B3057" t="s">
        <v>9</v>
      </c>
      <c r="C3057">
        <v>35.76</v>
      </c>
      <c r="D3057" t="s">
        <v>19</v>
      </c>
      <c r="E3057" t="s">
        <v>15</v>
      </c>
      <c r="F3057" t="s">
        <v>39</v>
      </c>
      <c r="G3057">
        <v>2</v>
      </c>
      <c r="H3057">
        <v>2</v>
      </c>
      <c r="I3057" s="13">
        <v>45706</v>
      </c>
      <c r="J3057" s="13" t="str">
        <f>TEXT(Table1[[#This Row],[Date]],"[$-en-US]mmm yyyy")</f>
        <v>Feb 2025</v>
      </c>
      <c r="K3057" s="13" t="str">
        <f>TEXT(Table1[[#This Row],[Date]],"[$-en-US]ddd")</f>
        <v>Tue</v>
      </c>
    </row>
    <row r="3058" spans="1:11" x14ac:dyDescent="0.25">
      <c r="A3058">
        <v>13</v>
      </c>
      <c r="B3058" t="s">
        <v>9</v>
      </c>
      <c r="C3058">
        <v>25.96</v>
      </c>
      <c r="D3058" t="s">
        <v>16</v>
      </c>
      <c r="E3058" t="s">
        <v>15</v>
      </c>
      <c r="F3058" t="s">
        <v>39</v>
      </c>
      <c r="G3058">
        <v>2</v>
      </c>
      <c r="H3058">
        <v>2</v>
      </c>
      <c r="I3058" s="13">
        <v>45706</v>
      </c>
      <c r="J3058" s="13" t="str">
        <f>TEXT(Table1[[#This Row],[Date]],"[$-en-US]mmm yyyy")</f>
        <v>Feb 2025</v>
      </c>
      <c r="K3058" s="13" t="str">
        <f>TEXT(Table1[[#This Row],[Date]],"[$-en-US]ddd")</f>
        <v>Tue</v>
      </c>
    </row>
    <row r="3059" spans="1:11" x14ac:dyDescent="0.25">
      <c r="A3059">
        <v>13</v>
      </c>
      <c r="B3059" t="s">
        <v>9</v>
      </c>
      <c r="C3059">
        <v>30.86</v>
      </c>
      <c r="D3059" t="s">
        <v>17</v>
      </c>
      <c r="E3059" t="s">
        <v>15</v>
      </c>
      <c r="F3059" t="s">
        <v>39</v>
      </c>
      <c r="G3059">
        <v>2</v>
      </c>
      <c r="H3059">
        <v>2</v>
      </c>
      <c r="I3059" s="13">
        <v>45706</v>
      </c>
      <c r="J3059" s="13" t="str">
        <f>TEXT(Table1[[#This Row],[Date]],"[$-en-US]mmm yyyy")</f>
        <v>Feb 2025</v>
      </c>
      <c r="K3059" s="13" t="str">
        <f>TEXT(Table1[[#This Row],[Date]],"[$-en-US]ddd")</f>
        <v>Tue</v>
      </c>
    </row>
    <row r="3060" spans="1:11" x14ac:dyDescent="0.25">
      <c r="A3060">
        <v>17</v>
      </c>
      <c r="B3060" t="s">
        <v>9</v>
      </c>
      <c r="C3060">
        <v>35.76</v>
      </c>
      <c r="D3060" t="s">
        <v>14</v>
      </c>
      <c r="E3060" t="s">
        <v>18</v>
      </c>
      <c r="F3060" t="s">
        <v>39</v>
      </c>
      <c r="G3060">
        <v>2</v>
      </c>
      <c r="H3060">
        <v>2</v>
      </c>
      <c r="I3060" s="13">
        <v>45706</v>
      </c>
      <c r="J3060" s="13" t="str">
        <f>TEXT(Table1[[#This Row],[Date]],"[$-en-US]mmm yyyy")</f>
        <v>Feb 2025</v>
      </c>
      <c r="K3060" s="13" t="str">
        <f>TEXT(Table1[[#This Row],[Date]],"[$-en-US]ddd")</f>
        <v>Tue</v>
      </c>
    </row>
    <row r="3061" spans="1:11" x14ac:dyDescent="0.25">
      <c r="A3061">
        <v>17</v>
      </c>
      <c r="B3061" t="s">
        <v>9</v>
      </c>
      <c r="C3061">
        <v>30.86</v>
      </c>
      <c r="D3061" t="s">
        <v>17</v>
      </c>
      <c r="E3061" t="s">
        <v>18</v>
      </c>
      <c r="F3061" t="s">
        <v>39</v>
      </c>
      <c r="G3061">
        <v>2</v>
      </c>
      <c r="H3061">
        <v>2</v>
      </c>
      <c r="I3061" s="13">
        <v>45706</v>
      </c>
      <c r="J3061" s="13" t="str">
        <f>TEXT(Table1[[#This Row],[Date]],"[$-en-US]mmm yyyy")</f>
        <v>Feb 2025</v>
      </c>
      <c r="K3061" s="13" t="str">
        <f>TEXT(Table1[[#This Row],[Date]],"[$-en-US]ddd")</f>
        <v>Tue</v>
      </c>
    </row>
    <row r="3062" spans="1:11" x14ac:dyDescent="0.25">
      <c r="A3062">
        <v>17</v>
      </c>
      <c r="B3062" t="s">
        <v>9</v>
      </c>
      <c r="C3062">
        <v>21.06</v>
      </c>
      <c r="D3062" t="s">
        <v>24</v>
      </c>
      <c r="E3062" t="s">
        <v>18</v>
      </c>
      <c r="F3062" t="s">
        <v>39</v>
      </c>
      <c r="G3062">
        <v>2</v>
      </c>
      <c r="H3062">
        <v>2</v>
      </c>
      <c r="I3062" s="13">
        <v>45706</v>
      </c>
      <c r="J3062" s="13" t="str">
        <f>TEXT(Table1[[#This Row],[Date]],"[$-en-US]mmm yyyy")</f>
        <v>Feb 2025</v>
      </c>
      <c r="K3062" s="13" t="str">
        <f>TEXT(Table1[[#This Row],[Date]],"[$-en-US]ddd")</f>
        <v>Tue</v>
      </c>
    </row>
    <row r="3063" spans="1:11" x14ac:dyDescent="0.25">
      <c r="A3063">
        <v>17</v>
      </c>
      <c r="B3063" t="s">
        <v>9</v>
      </c>
      <c r="C3063">
        <v>35.76</v>
      </c>
      <c r="D3063" t="s">
        <v>19</v>
      </c>
      <c r="E3063" t="s">
        <v>18</v>
      </c>
      <c r="F3063" t="s">
        <v>39</v>
      </c>
      <c r="G3063">
        <v>2</v>
      </c>
      <c r="H3063">
        <v>2</v>
      </c>
      <c r="I3063" s="13">
        <v>45706</v>
      </c>
      <c r="J3063" s="13" t="str">
        <f>TEXT(Table1[[#This Row],[Date]],"[$-en-US]mmm yyyy")</f>
        <v>Feb 2025</v>
      </c>
      <c r="K3063" s="13" t="str">
        <f>TEXT(Table1[[#This Row],[Date]],"[$-en-US]ddd")</f>
        <v>Tue</v>
      </c>
    </row>
    <row r="3064" spans="1:11" x14ac:dyDescent="0.25">
      <c r="A3064">
        <v>17</v>
      </c>
      <c r="B3064" t="s">
        <v>9</v>
      </c>
      <c r="C3064">
        <v>35.76</v>
      </c>
      <c r="D3064" t="s">
        <v>19</v>
      </c>
      <c r="E3064" t="s">
        <v>18</v>
      </c>
      <c r="F3064" t="s">
        <v>39</v>
      </c>
      <c r="G3064">
        <v>2</v>
      </c>
      <c r="H3064">
        <v>2</v>
      </c>
      <c r="I3064" s="13">
        <v>45706</v>
      </c>
      <c r="J3064" s="13" t="str">
        <f>TEXT(Table1[[#This Row],[Date]],"[$-en-US]mmm yyyy")</f>
        <v>Feb 2025</v>
      </c>
      <c r="K3064" s="13" t="str">
        <f>TEXT(Table1[[#This Row],[Date]],"[$-en-US]ddd")</f>
        <v>Tue</v>
      </c>
    </row>
    <row r="3065" spans="1:11" x14ac:dyDescent="0.25">
      <c r="A3065">
        <v>19</v>
      </c>
      <c r="B3065" t="s">
        <v>9</v>
      </c>
      <c r="C3065">
        <v>35.76</v>
      </c>
      <c r="D3065" t="s">
        <v>19</v>
      </c>
      <c r="E3065" t="s">
        <v>18</v>
      </c>
      <c r="F3065" t="s">
        <v>39</v>
      </c>
      <c r="G3065">
        <v>2</v>
      </c>
      <c r="H3065">
        <v>2</v>
      </c>
      <c r="I3065" s="13">
        <v>45706</v>
      </c>
      <c r="J3065" s="13" t="str">
        <f>TEXT(Table1[[#This Row],[Date]],"[$-en-US]mmm yyyy")</f>
        <v>Feb 2025</v>
      </c>
      <c r="K3065" s="13" t="str">
        <f>TEXT(Table1[[#This Row],[Date]],"[$-en-US]ddd")</f>
        <v>Tue</v>
      </c>
    </row>
    <row r="3066" spans="1:11" x14ac:dyDescent="0.25">
      <c r="A3066">
        <v>20</v>
      </c>
      <c r="B3066" t="s">
        <v>9</v>
      </c>
      <c r="C3066">
        <v>35.76</v>
      </c>
      <c r="D3066" t="s">
        <v>19</v>
      </c>
      <c r="E3066" t="s">
        <v>18</v>
      </c>
      <c r="F3066" t="s">
        <v>39</v>
      </c>
      <c r="G3066">
        <v>2</v>
      </c>
      <c r="H3066">
        <v>2</v>
      </c>
      <c r="I3066" s="13">
        <v>45706</v>
      </c>
      <c r="J3066" s="13" t="str">
        <f>TEXT(Table1[[#This Row],[Date]],"[$-en-US]mmm yyyy")</f>
        <v>Feb 2025</v>
      </c>
      <c r="K3066" s="13" t="str">
        <f>TEXT(Table1[[#This Row],[Date]],"[$-en-US]ddd")</f>
        <v>Tue</v>
      </c>
    </row>
    <row r="3067" spans="1:11" x14ac:dyDescent="0.25">
      <c r="A3067">
        <v>20</v>
      </c>
      <c r="B3067" t="s">
        <v>9</v>
      </c>
      <c r="C3067">
        <v>35.76</v>
      </c>
      <c r="D3067" t="s">
        <v>14</v>
      </c>
      <c r="E3067" t="s">
        <v>18</v>
      </c>
      <c r="F3067" t="s">
        <v>39</v>
      </c>
      <c r="G3067">
        <v>2</v>
      </c>
      <c r="H3067">
        <v>2</v>
      </c>
      <c r="I3067" s="13">
        <v>45706</v>
      </c>
      <c r="J3067" s="13" t="str">
        <f>TEXT(Table1[[#This Row],[Date]],"[$-en-US]mmm yyyy")</f>
        <v>Feb 2025</v>
      </c>
      <c r="K3067" s="13" t="str">
        <f>TEXT(Table1[[#This Row],[Date]],"[$-en-US]ddd")</f>
        <v>Tue</v>
      </c>
    </row>
    <row r="3068" spans="1:11" x14ac:dyDescent="0.25">
      <c r="A3068">
        <v>21</v>
      </c>
      <c r="B3068" t="s">
        <v>9</v>
      </c>
      <c r="C3068">
        <v>30.86</v>
      </c>
      <c r="D3068" t="s">
        <v>17</v>
      </c>
      <c r="E3068" t="s">
        <v>18</v>
      </c>
      <c r="F3068" t="s">
        <v>39</v>
      </c>
      <c r="G3068">
        <v>2</v>
      </c>
      <c r="H3068">
        <v>2</v>
      </c>
      <c r="I3068" s="13">
        <v>45706</v>
      </c>
      <c r="J3068" s="13" t="str">
        <f>TEXT(Table1[[#This Row],[Date]],"[$-en-US]mmm yyyy")</f>
        <v>Feb 2025</v>
      </c>
      <c r="K3068" s="13" t="str">
        <f>TEXT(Table1[[#This Row],[Date]],"[$-en-US]ddd")</f>
        <v>Tue</v>
      </c>
    </row>
    <row r="3069" spans="1:11" x14ac:dyDescent="0.25">
      <c r="A3069">
        <v>8</v>
      </c>
      <c r="B3069" t="s">
        <v>9</v>
      </c>
      <c r="C3069">
        <v>35.76</v>
      </c>
      <c r="D3069" t="s">
        <v>27</v>
      </c>
      <c r="E3069" t="s">
        <v>11</v>
      </c>
      <c r="F3069" t="s">
        <v>39</v>
      </c>
      <c r="G3069">
        <v>3</v>
      </c>
      <c r="H3069">
        <v>2</v>
      </c>
      <c r="I3069" s="13">
        <v>45707</v>
      </c>
      <c r="J3069" s="13" t="str">
        <f>TEXT(Table1[[#This Row],[Date]],"[$-en-US]mmm yyyy")</f>
        <v>Feb 2025</v>
      </c>
      <c r="K3069" s="13" t="str">
        <f>TEXT(Table1[[#This Row],[Date]],"[$-en-US]ddd")</f>
        <v>Wed</v>
      </c>
    </row>
    <row r="3070" spans="1:11" x14ac:dyDescent="0.25">
      <c r="A3070">
        <v>8</v>
      </c>
      <c r="B3070" t="s">
        <v>9</v>
      </c>
      <c r="C3070">
        <v>25.96</v>
      </c>
      <c r="D3070" t="s">
        <v>16</v>
      </c>
      <c r="E3070" t="s">
        <v>11</v>
      </c>
      <c r="F3070" t="s">
        <v>39</v>
      </c>
      <c r="G3070">
        <v>3</v>
      </c>
      <c r="H3070">
        <v>2</v>
      </c>
      <c r="I3070" s="13">
        <v>45707</v>
      </c>
      <c r="J3070" s="13" t="str">
        <f>TEXT(Table1[[#This Row],[Date]],"[$-en-US]mmm yyyy")</f>
        <v>Feb 2025</v>
      </c>
      <c r="K3070" s="13" t="str">
        <f>TEXT(Table1[[#This Row],[Date]],"[$-en-US]ddd")</f>
        <v>Wed</v>
      </c>
    </row>
    <row r="3071" spans="1:11" x14ac:dyDescent="0.25">
      <c r="A3071">
        <v>8</v>
      </c>
      <c r="B3071" t="s">
        <v>9</v>
      </c>
      <c r="C3071">
        <v>25.96</v>
      </c>
      <c r="D3071" t="s">
        <v>16</v>
      </c>
      <c r="E3071" t="s">
        <v>11</v>
      </c>
      <c r="F3071" t="s">
        <v>39</v>
      </c>
      <c r="G3071">
        <v>3</v>
      </c>
      <c r="H3071">
        <v>2</v>
      </c>
      <c r="I3071" s="13">
        <v>45707</v>
      </c>
      <c r="J3071" s="13" t="str">
        <f>TEXT(Table1[[#This Row],[Date]],"[$-en-US]mmm yyyy")</f>
        <v>Feb 2025</v>
      </c>
      <c r="K3071" s="13" t="str">
        <f>TEXT(Table1[[#This Row],[Date]],"[$-en-US]ddd")</f>
        <v>Wed</v>
      </c>
    </row>
    <row r="3072" spans="1:11" x14ac:dyDescent="0.25">
      <c r="A3072">
        <v>9</v>
      </c>
      <c r="B3072" t="s">
        <v>9</v>
      </c>
      <c r="C3072">
        <v>35.76</v>
      </c>
      <c r="D3072" t="s">
        <v>27</v>
      </c>
      <c r="E3072" t="s">
        <v>11</v>
      </c>
      <c r="F3072" t="s">
        <v>39</v>
      </c>
      <c r="G3072">
        <v>3</v>
      </c>
      <c r="H3072">
        <v>2</v>
      </c>
      <c r="I3072" s="13">
        <v>45707</v>
      </c>
      <c r="J3072" s="13" t="str">
        <f>TEXT(Table1[[#This Row],[Date]],"[$-en-US]mmm yyyy")</f>
        <v>Feb 2025</v>
      </c>
      <c r="K3072" s="13" t="str">
        <f>TEXT(Table1[[#This Row],[Date]],"[$-en-US]ddd")</f>
        <v>Wed</v>
      </c>
    </row>
    <row r="3073" spans="1:11" x14ac:dyDescent="0.25">
      <c r="A3073">
        <v>10</v>
      </c>
      <c r="B3073" t="s">
        <v>9</v>
      </c>
      <c r="C3073">
        <v>25.96</v>
      </c>
      <c r="D3073" t="s">
        <v>16</v>
      </c>
      <c r="E3073" t="s">
        <v>11</v>
      </c>
      <c r="F3073" t="s">
        <v>39</v>
      </c>
      <c r="G3073">
        <v>3</v>
      </c>
      <c r="H3073">
        <v>2</v>
      </c>
      <c r="I3073" s="13">
        <v>45707</v>
      </c>
      <c r="J3073" s="13" t="str">
        <f>TEXT(Table1[[#This Row],[Date]],"[$-en-US]mmm yyyy")</f>
        <v>Feb 2025</v>
      </c>
      <c r="K3073" s="13" t="str">
        <f>TEXT(Table1[[#This Row],[Date]],"[$-en-US]ddd")</f>
        <v>Wed</v>
      </c>
    </row>
    <row r="3074" spans="1:11" x14ac:dyDescent="0.25">
      <c r="A3074">
        <v>10</v>
      </c>
      <c r="B3074" t="s">
        <v>9</v>
      </c>
      <c r="C3074">
        <v>35.76</v>
      </c>
      <c r="D3074" t="s">
        <v>14</v>
      </c>
      <c r="E3074" t="s">
        <v>11</v>
      </c>
      <c r="F3074" t="s">
        <v>39</v>
      </c>
      <c r="G3074">
        <v>3</v>
      </c>
      <c r="H3074">
        <v>2</v>
      </c>
      <c r="I3074" s="13">
        <v>45707</v>
      </c>
      <c r="J3074" s="13" t="str">
        <f>TEXT(Table1[[#This Row],[Date]],"[$-en-US]mmm yyyy")</f>
        <v>Feb 2025</v>
      </c>
      <c r="K3074" s="13" t="str">
        <f>TEXT(Table1[[#This Row],[Date]],"[$-en-US]ddd")</f>
        <v>Wed</v>
      </c>
    </row>
    <row r="3075" spans="1:11" x14ac:dyDescent="0.25">
      <c r="A3075">
        <v>10</v>
      </c>
      <c r="B3075" t="s">
        <v>9</v>
      </c>
      <c r="C3075">
        <v>30.86</v>
      </c>
      <c r="D3075" t="s">
        <v>17</v>
      </c>
      <c r="E3075" t="s">
        <v>11</v>
      </c>
      <c r="F3075" t="s">
        <v>39</v>
      </c>
      <c r="G3075">
        <v>3</v>
      </c>
      <c r="H3075">
        <v>2</v>
      </c>
      <c r="I3075" s="13">
        <v>45707</v>
      </c>
      <c r="J3075" s="13" t="str">
        <f>TEXT(Table1[[#This Row],[Date]],"[$-en-US]mmm yyyy")</f>
        <v>Feb 2025</v>
      </c>
      <c r="K3075" s="13" t="str">
        <f>TEXT(Table1[[#This Row],[Date]],"[$-en-US]ddd")</f>
        <v>Wed</v>
      </c>
    </row>
    <row r="3076" spans="1:11" x14ac:dyDescent="0.25">
      <c r="A3076">
        <v>12</v>
      </c>
      <c r="B3076" t="s">
        <v>9</v>
      </c>
      <c r="C3076">
        <v>25.96</v>
      </c>
      <c r="D3076" t="s">
        <v>16</v>
      </c>
      <c r="E3076" t="s">
        <v>15</v>
      </c>
      <c r="F3076" t="s">
        <v>39</v>
      </c>
      <c r="G3076">
        <v>3</v>
      </c>
      <c r="H3076">
        <v>2</v>
      </c>
      <c r="I3076" s="13">
        <v>45707</v>
      </c>
      <c r="J3076" s="13" t="str">
        <f>TEXT(Table1[[#This Row],[Date]],"[$-en-US]mmm yyyy")</f>
        <v>Feb 2025</v>
      </c>
      <c r="K3076" s="13" t="str">
        <f>TEXT(Table1[[#This Row],[Date]],"[$-en-US]ddd")</f>
        <v>Wed</v>
      </c>
    </row>
    <row r="3077" spans="1:11" x14ac:dyDescent="0.25">
      <c r="A3077">
        <v>12</v>
      </c>
      <c r="B3077" t="s">
        <v>9</v>
      </c>
      <c r="C3077">
        <v>35.76</v>
      </c>
      <c r="D3077" t="s">
        <v>19</v>
      </c>
      <c r="E3077" t="s">
        <v>15</v>
      </c>
      <c r="F3077" t="s">
        <v>39</v>
      </c>
      <c r="G3077">
        <v>3</v>
      </c>
      <c r="H3077">
        <v>2</v>
      </c>
      <c r="I3077" s="13">
        <v>45707</v>
      </c>
      <c r="J3077" s="13" t="str">
        <f>TEXT(Table1[[#This Row],[Date]],"[$-en-US]mmm yyyy")</f>
        <v>Feb 2025</v>
      </c>
      <c r="K3077" s="13" t="str">
        <f>TEXT(Table1[[#This Row],[Date]],"[$-en-US]ddd")</f>
        <v>Wed</v>
      </c>
    </row>
    <row r="3078" spans="1:11" x14ac:dyDescent="0.25">
      <c r="A3078">
        <v>13</v>
      </c>
      <c r="B3078" t="s">
        <v>9</v>
      </c>
      <c r="C3078">
        <v>25.96</v>
      </c>
      <c r="D3078" t="s">
        <v>16</v>
      </c>
      <c r="E3078" t="s">
        <v>15</v>
      </c>
      <c r="F3078" t="s">
        <v>39</v>
      </c>
      <c r="G3078">
        <v>3</v>
      </c>
      <c r="H3078">
        <v>2</v>
      </c>
      <c r="I3078" s="13">
        <v>45707</v>
      </c>
      <c r="J3078" s="13" t="str">
        <f>TEXT(Table1[[#This Row],[Date]],"[$-en-US]mmm yyyy")</f>
        <v>Feb 2025</v>
      </c>
      <c r="K3078" s="13" t="str">
        <f>TEXT(Table1[[#This Row],[Date]],"[$-en-US]ddd")</f>
        <v>Wed</v>
      </c>
    </row>
    <row r="3079" spans="1:11" x14ac:dyDescent="0.25">
      <c r="A3079">
        <v>15</v>
      </c>
      <c r="B3079" t="s">
        <v>9</v>
      </c>
      <c r="C3079">
        <v>35.76</v>
      </c>
      <c r="D3079" t="s">
        <v>27</v>
      </c>
      <c r="E3079" t="s">
        <v>15</v>
      </c>
      <c r="F3079" t="s">
        <v>39</v>
      </c>
      <c r="G3079">
        <v>3</v>
      </c>
      <c r="H3079">
        <v>2</v>
      </c>
      <c r="I3079" s="13">
        <v>45707</v>
      </c>
      <c r="J3079" s="13" t="str">
        <f>TEXT(Table1[[#This Row],[Date]],"[$-en-US]mmm yyyy")</f>
        <v>Feb 2025</v>
      </c>
      <c r="K3079" s="13" t="str">
        <f>TEXT(Table1[[#This Row],[Date]],"[$-en-US]ddd")</f>
        <v>Wed</v>
      </c>
    </row>
    <row r="3080" spans="1:11" x14ac:dyDescent="0.25">
      <c r="A3080">
        <v>17</v>
      </c>
      <c r="B3080" t="s">
        <v>9</v>
      </c>
      <c r="C3080">
        <v>25.96</v>
      </c>
      <c r="D3080" t="s">
        <v>16</v>
      </c>
      <c r="E3080" t="s">
        <v>18</v>
      </c>
      <c r="F3080" t="s">
        <v>39</v>
      </c>
      <c r="G3080">
        <v>3</v>
      </c>
      <c r="H3080">
        <v>2</v>
      </c>
      <c r="I3080" s="13">
        <v>45707</v>
      </c>
      <c r="J3080" s="13" t="str">
        <f>TEXT(Table1[[#This Row],[Date]],"[$-en-US]mmm yyyy")</f>
        <v>Feb 2025</v>
      </c>
      <c r="K3080" s="13" t="str">
        <f>TEXT(Table1[[#This Row],[Date]],"[$-en-US]ddd")</f>
        <v>Wed</v>
      </c>
    </row>
    <row r="3081" spans="1:11" x14ac:dyDescent="0.25">
      <c r="A3081">
        <v>17</v>
      </c>
      <c r="B3081" t="s">
        <v>9</v>
      </c>
      <c r="C3081">
        <v>35.76</v>
      </c>
      <c r="D3081" t="s">
        <v>27</v>
      </c>
      <c r="E3081" t="s">
        <v>18</v>
      </c>
      <c r="F3081" t="s">
        <v>39</v>
      </c>
      <c r="G3081">
        <v>3</v>
      </c>
      <c r="H3081">
        <v>2</v>
      </c>
      <c r="I3081" s="13">
        <v>45707</v>
      </c>
      <c r="J3081" s="13" t="str">
        <f>TEXT(Table1[[#This Row],[Date]],"[$-en-US]mmm yyyy")</f>
        <v>Feb 2025</v>
      </c>
      <c r="K3081" s="13" t="str">
        <f>TEXT(Table1[[#This Row],[Date]],"[$-en-US]ddd")</f>
        <v>Wed</v>
      </c>
    </row>
    <row r="3082" spans="1:11" x14ac:dyDescent="0.25">
      <c r="A3082">
        <v>17</v>
      </c>
      <c r="B3082" t="s">
        <v>9</v>
      </c>
      <c r="C3082">
        <v>30.86</v>
      </c>
      <c r="D3082" t="s">
        <v>17</v>
      </c>
      <c r="E3082" t="s">
        <v>18</v>
      </c>
      <c r="F3082" t="s">
        <v>39</v>
      </c>
      <c r="G3082">
        <v>3</v>
      </c>
      <c r="H3082">
        <v>2</v>
      </c>
      <c r="I3082" s="13">
        <v>45707</v>
      </c>
      <c r="J3082" s="13" t="str">
        <f>TEXT(Table1[[#This Row],[Date]],"[$-en-US]mmm yyyy")</f>
        <v>Feb 2025</v>
      </c>
      <c r="K3082" s="13" t="str">
        <f>TEXT(Table1[[#This Row],[Date]],"[$-en-US]ddd")</f>
        <v>Wed</v>
      </c>
    </row>
    <row r="3083" spans="1:11" x14ac:dyDescent="0.25">
      <c r="A3083">
        <v>18</v>
      </c>
      <c r="B3083" t="s">
        <v>9</v>
      </c>
      <c r="C3083">
        <v>35.76</v>
      </c>
      <c r="D3083" t="s">
        <v>27</v>
      </c>
      <c r="E3083" t="s">
        <v>18</v>
      </c>
      <c r="F3083" t="s">
        <v>39</v>
      </c>
      <c r="G3083">
        <v>3</v>
      </c>
      <c r="H3083">
        <v>2</v>
      </c>
      <c r="I3083" s="13">
        <v>45707</v>
      </c>
      <c r="J3083" s="13" t="str">
        <f>TEXT(Table1[[#This Row],[Date]],"[$-en-US]mmm yyyy")</f>
        <v>Feb 2025</v>
      </c>
      <c r="K3083" s="13" t="str">
        <f>TEXT(Table1[[#This Row],[Date]],"[$-en-US]ddd")</f>
        <v>Wed</v>
      </c>
    </row>
    <row r="3084" spans="1:11" x14ac:dyDescent="0.25">
      <c r="A3084">
        <v>19</v>
      </c>
      <c r="B3084" t="s">
        <v>9</v>
      </c>
      <c r="C3084">
        <v>35.76</v>
      </c>
      <c r="D3084" t="s">
        <v>10</v>
      </c>
      <c r="E3084" t="s">
        <v>18</v>
      </c>
      <c r="F3084" t="s">
        <v>39</v>
      </c>
      <c r="G3084">
        <v>3</v>
      </c>
      <c r="H3084">
        <v>2</v>
      </c>
      <c r="I3084" s="13">
        <v>45707</v>
      </c>
      <c r="J3084" s="13" t="str">
        <f>TEXT(Table1[[#This Row],[Date]],"[$-en-US]mmm yyyy")</f>
        <v>Feb 2025</v>
      </c>
      <c r="K3084" s="13" t="str">
        <f>TEXT(Table1[[#This Row],[Date]],"[$-en-US]ddd")</f>
        <v>Wed</v>
      </c>
    </row>
    <row r="3085" spans="1:11" x14ac:dyDescent="0.25">
      <c r="A3085">
        <v>19</v>
      </c>
      <c r="B3085" t="s">
        <v>9</v>
      </c>
      <c r="C3085">
        <v>35.76</v>
      </c>
      <c r="D3085" t="s">
        <v>19</v>
      </c>
      <c r="E3085" t="s">
        <v>18</v>
      </c>
      <c r="F3085" t="s">
        <v>39</v>
      </c>
      <c r="G3085">
        <v>3</v>
      </c>
      <c r="H3085">
        <v>2</v>
      </c>
      <c r="I3085" s="13">
        <v>45707</v>
      </c>
      <c r="J3085" s="13" t="str">
        <f>TEXT(Table1[[#This Row],[Date]],"[$-en-US]mmm yyyy")</f>
        <v>Feb 2025</v>
      </c>
      <c r="K3085" s="13" t="str">
        <f>TEXT(Table1[[#This Row],[Date]],"[$-en-US]ddd")</f>
        <v>Wed</v>
      </c>
    </row>
    <row r="3086" spans="1:11" x14ac:dyDescent="0.25">
      <c r="A3086">
        <v>19</v>
      </c>
      <c r="B3086" t="s">
        <v>9</v>
      </c>
      <c r="C3086">
        <v>35.76</v>
      </c>
      <c r="D3086" t="s">
        <v>14</v>
      </c>
      <c r="E3086" t="s">
        <v>18</v>
      </c>
      <c r="F3086" t="s">
        <v>39</v>
      </c>
      <c r="G3086">
        <v>3</v>
      </c>
      <c r="H3086">
        <v>2</v>
      </c>
      <c r="I3086" s="13">
        <v>45707</v>
      </c>
      <c r="J3086" s="13" t="str">
        <f>TEXT(Table1[[#This Row],[Date]],"[$-en-US]mmm yyyy")</f>
        <v>Feb 2025</v>
      </c>
      <c r="K3086" s="13" t="str">
        <f>TEXT(Table1[[#This Row],[Date]],"[$-en-US]ddd")</f>
        <v>Wed</v>
      </c>
    </row>
    <row r="3087" spans="1:11" x14ac:dyDescent="0.25">
      <c r="A3087">
        <v>19</v>
      </c>
      <c r="B3087" t="s">
        <v>9</v>
      </c>
      <c r="C3087">
        <v>35.76</v>
      </c>
      <c r="D3087" t="s">
        <v>10</v>
      </c>
      <c r="E3087" t="s">
        <v>18</v>
      </c>
      <c r="F3087" t="s">
        <v>39</v>
      </c>
      <c r="G3087">
        <v>3</v>
      </c>
      <c r="H3087">
        <v>2</v>
      </c>
      <c r="I3087" s="13">
        <v>45707</v>
      </c>
      <c r="J3087" s="13" t="str">
        <f>TEXT(Table1[[#This Row],[Date]],"[$-en-US]mmm yyyy")</f>
        <v>Feb 2025</v>
      </c>
      <c r="K3087" s="13" t="str">
        <f>TEXT(Table1[[#This Row],[Date]],"[$-en-US]ddd")</f>
        <v>Wed</v>
      </c>
    </row>
    <row r="3088" spans="1:11" x14ac:dyDescent="0.25">
      <c r="A3088">
        <v>20</v>
      </c>
      <c r="B3088" t="s">
        <v>9</v>
      </c>
      <c r="C3088">
        <v>35.76</v>
      </c>
      <c r="D3088" t="s">
        <v>19</v>
      </c>
      <c r="E3088" t="s">
        <v>18</v>
      </c>
      <c r="F3088" t="s">
        <v>39</v>
      </c>
      <c r="G3088">
        <v>3</v>
      </c>
      <c r="H3088">
        <v>2</v>
      </c>
      <c r="I3088" s="13">
        <v>45707</v>
      </c>
      <c r="J3088" s="13" t="str">
        <f>TEXT(Table1[[#This Row],[Date]],"[$-en-US]mmm yyyy")</f>
        <v>Feb 2025</v>
      </c>
      <c r="K3088" s="13" t="str">
        <f>TEXT(Table1[[#This Row],[Date]],"[$-en-US]ddd")</f>
        <v>Wed</v>
      </c>
    </row>
    <row r="3089" spans="1:11" x14ac:dyDescent="0.25">
      <c r="A3089">
        <v>7</v>
      </c>
      <c r="B3089" t="s">
        <v>9</v>
      </c>
      <c r="C3089">
        <v>35.76</v>
      </c>
      <c r="D3089" t="s">
        <v>27</v>
      </c>
      <c r="E3089" t="s">
        <v>11</v>
      </c>
      <c r="F3089" t="s">
        <v>39</v>
      </c>
      <c r="G3089">
        <v>4</v>
      </c>
      <c r="H3089">
        <v>2</v>
      </c>
      <c r="I3089" s="13">
        <v>45708</v>
      </c>
      <c r="J3089" s="13" t="str">
        <f>TEXT(Table1[[#This Row],[Date]],"[$-en-US]mmm yyyy")</f>
        <v>Feb 2025</v>
      </c>
      <c r="K3089" s="13" t="str">
        <f>TEXT(Table1[[#This Row],[Date]],"[$-en-US]ddd")</f>
        <v>Thu</v>
      </c>
    </row>
    <row r="3090" spans="1:11" x14ac:dyDescent="0.25">
      <c r="A3090">
        <v>9</v>
      </c>
      <c r="B3090" t="s">
        <v>9</v>
      </c>
      <c r="C3090">
        <v>25.96</v>
      </c>
      <c r="D3090" t="s">
        <v>16</v>
      </c>
      <c r="E3090" t="s">
        <v>11</v>
      </c>
      <c r="F3090" t="s">
        <v>39</v>
      </c>
      <c r="G3090">
        <v>4</v>
      </c>
      <c r="H3090">
        <v>2</v>
      </c>
      <c r="I3090" s="13">
        <v>45708</v>
      </c>
      <c r="J3090" s="13" t="str">
        <f>TEXT(Table1[[#This Row],[Date]],"[$-en-US]mmm yyyy")</f>
        <v>Feb 2025</v>
      </c>
      <c r="K3090" s="13" t="str">
        <f>TEXT(Table1[[#This Row],[Date]],"[$-en-US]ddd")</f>
        <v>Thu</v>
      </c>
    </row>
    <row r="3091" spans="1:11" x14ac:dyDescent="0.25">
      <c r="A3091">
        <v>10</v>
      </c>
      <c r="B3091" t="s">
        <v>9</v>
      </c>
      <c r="C3091">
        <v>35.76</v>
      </c>
      <c r="D3091" t="s">
        <v>27</v>
      </c>
      <c r="E3091" t="s">
        <v>11</v>
      </c>
      <c r="F3091" t="s">
        <v>39</v>
      </c>
      <c r="G3091">
        <v>4</v>
      </c>
      <c r="H3091">
        <v>2</v>
      </c>
      <c r="I3091" s="13">
        <v>45708</v>
      </c>
      <c r="J3091" s="13" t="str">
        <f>TEXT(Table1[[#This Row],[Date]],"[$-en-US]mmm yyyy")</f>
        <v>Feb 2025</v>
      </c>
      <c r="K3091" s="13" t="str">
        <f>TEXT(Table1[[#This Row],[Date]],"[$-en-US]ddd")</f>
        <v>Thu</v>
      </c>
    </row>
    <row r="3092" spans="1:11" x14ac:dyDescent="0.25">
      <c r="A3092">
        <v>10</v>
      </c>
      <c r="B3092" t="s">
        <v>9</v>
      </c>
      <c r="C3092">
        <v>25.96</v>
      </c>
      <c r="D3092" t="s">
        <v>16</v>
      </c>
      <c r="E3092" t="s">
        <v>11</v>
      </c>
      <c r="F3092" t="s">
        <v>39</v>
      </c>
      <c r="G3092">
        <v>4</v>
      </c>
      <c r="H3092">
        <v>2</v>
      </c>
      <c r="I3092" s="13">
        <v>45708</v>
      </c>
      <c r="J3092" s="13" t="str">
        <f>TEXT(Table1[[#This Row],[Date]],"[$-en-US]mmm yyyy")</f>
        <v>Feb 2025</v>
      </c>
      <c r="K3092" s="13" t="str">
        <f>TEXT(Table1[[#This Row],[Date]],"[$-en-US]ddd")</f>
        <v>Thu</v>
      </c>
    </row>
    <row r="3093" spans="1:11" x14ac:dyDescent="0.25">
      <c r="A3093">
        <v>10</v>
      </c>
      <c r="B3093" t="s">
        <v>9</v>
      </c>
      <c r="C3093">
        <v>25.96</v>
      </c>
      <c r="D3093" t="s">
        <v>16</v>
      </c>
      <c r="E3093" t="s">
        <v>11</v>
      </c>
      <c r="F3093" t="s">
        <v>39</v>
      </c>
      <c r="G3093">
        <v>4</v>
      </c>
      <c r="H3093">
        <v>2</v>
      </c>
      <c r="I3093" s="13">
        <v>45708</v>
      </c>
      <c r="J3093" s="13" t="str">
        <f>TEXT(Table1[[#This Row],[Date]],"[$-en-US]mmm yyyy")</f>
        <v>Feb 2025</v>
      </c>
      <c r="K3093" s="13" t="str">
        <f>TEXT(Table1[[#This Row],[Date]],"[$-en-US]ddd")</f>
        <v>Thu</v>
      </c>
    </row>
    <row r="3094" spans="1:11" x14ac:dyDescent="0.25">
      <c r="A3094">
        <v>10</v>
      </c>
      <c r="B3094" t="s">
        <v>9</v>
      </c>
      <c r="C3094">
        <v>25.96</v>
      </c>
      <c r="D3094" t="s">
        <v>16</v>
      </c>
      <c r="E3094" t="s">
        <v>11</v>
      </c>
      <c r="F3094" t="s">
        <v>39</v>
      </c>
      <c r="G3094">
        <v>4</v>
      </c>
      <c r="H3094">
        <v>2</v>
      </c>
      <c r="I3094" s="13">
        <v>45708</v>
      </c>
      <c r="J3094" s="13" t="str">
        <f>TEXT(Table1[[#This Row],[Date]],"[$-en-US]mmm yyyy")</f>
        <v>Feb 2025</v>
      </c>
      <c r="K3094" s="13" t="str">
        <f>TEXT(Table1[[#This Row],[Date]],"[$-en-US]ddd")</f>
        <v>Thu</v>
      </c>
    </row>
    <row r="3095" spans="1:11" x14ac:dyDescent="0.25">
      <c r="A3095">
        <v>13</v>
      </c>
      <c r="B3095" t="s">
        <v>9</v>
      </c>
      <c r="C3095">
        <v>30.86</v>
      </c>
      <c r="D3095" t="s">
        <v>17</v>
      </c>
      <c r="E3095" t="s">
        <v>15</v>
      </c>
      <c r="F3095" t="s">
        <v>39</v>
      </c>
      <c r="G3095">
        <v>4</v>
      </c>
      <c r="H3095">
        <v>2</v>
      </c>
      <c r="I3095" s="13">
        <v>45708</v>
      </c>
      <c r="J3095" s="13" t="str">
        <f>TEXT(Table1[[#This Row],[Date]],"[$-en-US]mmm yyyy")</f>
        <v>Feb 2025</v>
      </c>
      <c r="K3095" s="13" t="str">
        <f>TEXT(Table1[[#This Row],[Date]],"[$-en-US]ddd")</f>
        <v>Thu</v>
      </c>
    </row>
    <row r="3096" spans="1:11" x14ac:dyDescent="0.25">
      <c r="A3096">
        <v>14</v>
      </c>
      <c r="B3096" t="s">
        <v>9</v>
      </c>
      <c r="C3096">
        <v>35.76</v>
      </c>
      <c r="D3096" t="s">
        <v>10</v>
      </c>
      <c r="E3096" t="s">
        <v>15</v>
      </c>
      <c r="F3096" t="s">
        <v>39</v>
      </c>
      <c r="G3096">
        <v>4</v>
      </c>
      <c r="H3096">
        <v>2</v>
      </c>
      <c r="I3096" s="13">
        <v>45708</v>
      </c>
      <c r="J3096" s="13" t="str">
        <f>TEXT(Table1[[#This Row],[Date]],"[$-en-US]mmm yyyy")</f>
        <v>Feb 2025</v>
      </c>
      <c r="K3096" s="13" t="str">
        <f>TEXT(Table1[[#This Row],[Date]],"[$-en-US]ddd")</f>
        <v>Thu</v>
      </c>
    </row>
    <row r="3097" spans="1:11" x14ac:dyDescent="0.25">
      <c r="A3097">
        <v>14</v>
      </c>
      <c r="B3097" t="s">
        <v>9</v>
      </c>
      <c r="C3097">
        <v>25.96</v>
      </c>
      <c r="D3097" t="s">
        <v>16</v>
      </c>
      <c r="E3097" t="s">
        <v>15</v>
      </c>
      <c r="F3097" t="s">
        <v>39</v>
      </c>
      <c r="G3097">
        <v>4</v>
      </c>
      <c r="H3097">
        <v>2</v>
      </c>
      <c r="I3097" s="13">
        <v>45708</v>
      </c>
      <c r="J3097" s="13" t="str">
        <f>TEXT(Table1[[#This Row],[Date]],"[$-en-US]mmm yyyy")</f>
        <v>Feb 2025</v>
      </c>
      <c r="K3097" s="13" t="str">
        <f>TEXT(Table1[[#This Row],[Date]],"[$-en-US]ddd")</f>
        <v>Thu</v>
      </c>
    </row>
    <row r="3098" spans="1:11" x14ac:dyDescent="0.25">
      <c r="A3098">
        <v>14</v>
      </c>
      <c r="B3098" t="s">
        <v>9</v>
      </c>
      <c r="C3098">
        <v>25.96</v>
      </c>
      <c r="D3098" t="s">
        <v>16</v>
      </c>
      <c r="E3098" t="s">
        <v>15</v>
      </c>
      <c r="F3098" t="s">
        <v>39</v>
      </c>
      <c r="G3098">
        <v>4</v>
      </c>
      <c r="H3098">
        <v>2</v>
      </c>
      <c r="I3098" s="13">
        <v>45708</v>
      </c>
      <c r="J3098" s="13" t="str">
        <f>TEXT(Table1[[#This Row],[Date]],"[$-en-US]mmm yyyy")</f>
        <v>Feb 2025</v>
      </c>
      <c r="K3098" s="13" t="str">
        <f>TEXT(Table1[[#This Row],[Date]],"[$-en-US]ddd")</f>
        <v>Thu</v>
      </c>
    </row>
    <row r="3099" spans="1:11" x14ac:dyDescent="0.25">
      <c r="A3099">
        <v>15</v>
      </c>
      <c r="B3099" t="s">
        <v>9</v>
      </c>
      <c r="C3099">
        <v>21.06</v>
      </c>
      <c r="D3099" t="s">
        <v>24</v>
      </c>
      <c r="E3099" t="s">
        <v>15</v>
      </c>
      <c r="F3099" t="s">
        <v>39</v>
      </c>
      <c r="G3099">
        <v>4</v>
      </c>
      <c r="H3099">
        <v>2</v>
      </c>
      <c r="I3099" s="13">
        <v>45708</v>
      </c>
      <c r="J3099" s="13" t="str">
        <f>TEXT(Table1[[#This Row],[Date]],"[$-en-US]mmm yyyy")</f>
        <v>Feb 2025</v>
      </c>
      <c r="K3099" s="13" t="str">
        <f>TEXT(Table1[[#This Row],[Date]],"[$-en-US]ddd")</f>
        <v>Thu</v>
      </c>
    </row>
    <row r="3100" spans="1:11" x14ac:dyDescent="0.25">
      <c r="A3100">
        <v>16</v>
      </c>
      <c r="B3100" t="s">
        <v>9</v>
      </c>
      <c r="C3100">
        <v>35.76</v>
      </c>
      <c r="D3100" t="s">
        <v>27</v>
      </c>
      <c r="E3100" t="s">
        <v>15</v>
      </c>
      <c r="F3100" t="s">
        <v>39</v>
      </c>
      <c r="G3100">
        <v>4</v>
      </c>
      <c r="H3100">
        <v>2</v>
      </c>
      <c r="I3100" s="13">
        <v>45708</v>
      </c>
      <c r="J3100" s="13" t="str">
        <f>TEXT(Table1[[#This Row],[Date]],"[$-en-US]mmm yyyy")</f>
        <v>Feb 2025</v>
      </c>
      <c r="K3100" s="13" t="str">
        <f>TEXT(Table1[[#This Row],[Date]],"[$-en-US]ddd")</f>
        <v>Thu</v>
      </c>
    </row>
    <row r="3101" spans="1:11" x14ac:dyDescent="0.25">
      <c r="A3101">
        <v>16</v>
      </c>
      <c r="B3101" t="s">
        <v>9</v>
      </c>
      <c r="C3101">
        <v>35.76</v>
      </c>
      <c r="D3101" t="s">
        <v>27</v>
      </c>
      <c r="E3101" t="s">
        <v>15</v>
      </c>
      <c r="F3101" t="s">
        <v>39</v>
      </c>
      <c r="G3101">
        <v>4</v>
      </c>
      <c r="H3101">
        <v>2</v>
      </c>
      <c r="I3101" s="13">
        <v>45708</v>
      </c>
      <c r="J3101" s="13" t="str">
        <f>TEXT(Table1[[#This Row],[Date]],"[$-en-US]mmm yyyy")</f>
        <v>Feb 2025</v>
      </c>
      <c r="K3101" s="13" t="str">
        <f>TEXT(Table1[[#This Row],[Date]],"[$-en-US]ddd")</f>
        <v>Thu</v>
      </c>
    </row>
    <row r="3102" spans="1:11" x14ac:dyDescent="0.25">
      <c r="A3102">
        <v>17</v>
      </c>
      <c r="B3102" t="s">
        <v>9</v>
      </c>
      <c r="C3102">
        <v>35.76</v>
      </c>
      <c r="D3102" t="s">
        <v>14</v>
      </c>
      <c r="E3102" t="s">
        <v>18</v>
      </c>
      <c r="F3102" t="s">
        <v>39</v>
      </c>
      <c r="G3102">
        <v>4</v>
      </c>
      <c r="H3102">
        <v>2</v>
      </c>
      <c r="I3102" s="13">
        <v>45708</v>
      </c>
      <c r="J3102" s="13" t="str">
        <f>TEXT(Table1[[#This Row],[Date]],"[$-en-US]mmm yyyy")</f>
        <v>Feb 2025</v>
      </c>
      <c r="K3102" s="13" t="str">
        <f>TEXT(Table1[[#This Row],[Date]],"[$-en-US]ddd")</f>
        <v>Thu</v>
      </c>
    </row>
    <row r="3103" spans="1:11" x14ac:dyDescent="0.25">
      <c r="A3103">
        <v>17</v>
      </c>
      <c r="B3103" t="s">
        <v>9</v>
      </c>
      <c r="C3103">
        <v>25.96</v>
      </c>
      <c r="D3103" t="s">
        <v>16</v>
      </c>
      <c r="E3103" t="s">
        <v>18</v>
      </c>
      <c r="F3103" t="s">
        <v>39</v>
      </c>
      <c r="G3103">
        <v>4</v>
      </c>
      <c r="H3103">
        <v>2</v>
      </c>
      <c r="I3103" s="13">
        <v>45708</v>
      </c>
      <c r="J3103" s="13" t="str">
        <f>TEXT(Table1[[#This Row],[Date]],"[$-en-US]mmm yyyy")</f>
        <v>Feb 2025</v>
      </c>
      <c r="K3103" s="13" t="str">
        <f>TEXT(Table1[[#This Row],[Date]],"[$-en-US]ddd")</f>
        <v>Thu</v>
      </c>
    </row>
    <row r="3104" spans="1:11" x14ac:dyDescent="0.25">
      <c r="A3104">
        <v>18</v>
      </c>
      <c r="B3104" t="s">
        <v>9</v>
      </c>
      <c r="C3104">
        <v>25.96</v>
      </c>
      <c r="D3104" t="s">
        <v>16</v>
      </c>
      <c r="E3104" t="s">
        <v>18</v>
      </c>
      <c r="F3104" t="s">
        <v>39</v>
      </c>
      <c r="G3104">
        <v>4</v>
      </c>
      <c r="H3104">
        <v>2</v>
      </c>
      <c r="I3104" s="13">
        <v>45708</v>
      </c>
      <c r="J3104" s="13" t="str">
        <f>TEXT(Table1[[#This Row],[Date]],"[$-en-US]mmm yyyy")</f>
        <v>Feb 2025</v>
      </c>
      <c r="K3104" s="13" t="str">
        <f>TEXT(Table1[[#This Row],[Date]],"[$-en-US]ddd")</f>
        <v>Thu</v>
      </c>
    </row>
    <row r="3105" spans="1:11" x14ac:dyDescent="0.25">
      <c r="A3105">
        <v>19</v>
      </c>
      <c r="B3105" t="s">
        <v>9</v>
      </c>
      <c r="C3105">
        <v>35.76</v>
      </c>
      <c r="D3105" t="s">
        <v>14</v>
      </c>
      <c r="E3105" t="s">
        <v>18</v>
      </c>
      <c r="F3105" t="s">
        <v>39</v>
      </c>
      <c r="G3105">
        <v>4</v>
      </c>
      <c r="H3105">
        <v>2</v>
      </c>
      <c r="I3105" s="13">
        <v>45708</v>
      </c>
      <c r="J3105" s="13" t="str">
        <f>TEXT(Table1[[#This Row],[Date]],"[$-en-US]mmm yyyy")</f>
        <v>Feb 2025</v>
      </c>
      <c r="K3105" s="13" t="str">
        <f>TEXT(Table1[[#This Row],[Date]],"[$-en-US]ddd")</f>
        <v>Thu</v>
      </c>
    </row>
    <row r="3106" spans="1:11" x14ac:dyDescent="0.25">
      <c r="A3106">
        <v>19</v>
      </c>
      <c r="B3106" t="s">
        <v>9</v>
      </c>
      <c r="C3106">
        <v>35.76</v>
      </c>
      <c r="D3106" t="s">
        <v>19</v>
      </c>
      <c r="E3106" t="s">
        <v>18</v>
      </c>
      <c r="F3106" t="s">
        <v>39</v>
      </c>
      <c r="G3106">
        <v>4</v>
      </c>
      <c r="H3106">
        <v>2</v>
      </c>
      <c r="I3106" s="13">
        <v>45708</v>
      </c>
      <c r="J3106" s="13" t="str">
        <f>TEXT(Table1[[#This Row],[Date]],"[$-en-US]mmm yyyy")</f>
        <v>Feb 2025</v>
      </c>
      <c r="K3106" s="13" t="str">
        <f>TEXT(Table1[[#This Row],[Date]],"[$-en-US]ddd")</f>
        <v>Thu</v>
      </c>
    </row>
    <row r="3107" spans="1:11" x14ac:dyDescent="0.25">
      <c r="A3107">
        <v>20</v>
      </c>
      <c r="B3107" t="s">
        <v>9</v>
      </c>
      <c r="C3107">
        <v>35.76</v>
      </c>
      <c r="D3107" t="s">
        <v>10</v>
      </c>
      <c r="E3107" t="s">
        <v>18</v>
      </c>
      <c r="F3107" t="s">
        <v>39</v>
      </c>
      <c r="G3107">
        <v>4</v>
      </c>
      <c r="H3107">
        <v>2</v>
      </c>
      <c r="I3107" s="13">
        <v>45708</v>
      </c>
      <c r="J3107" s="13" t="str">
        <f>TEXT(Table1[[#This Row],[Date]],"[$-en-US]mmm yyyy")</f>
        <v>Feb 2025</v>
      </c>
      <c r="K3107" s="13" t="str">
        <f>TEXT(Table1[[#This Row],[Date]],"[$-en-US]ddd")</f>
        <v>Thu</v>
      </c>
    </row>
    <row r="3108" spans="1:11" x14ac:dyDescent="0.25">
      <c r="A3108">
        <v>6</v>
      </c>
      <c r="B3108" t="s">
        <v>9</v>
      </c>
      <c r="C3108">
        <v>25.96</v>
      </c>
      <c r="D3108" t="s">
        <v>16</v>
      </c>
      <c r="E3108" t="s">
        <v>11</v>
      </c>
      <c r="F3108" t="s">
        <v>39</v>
      </c>
      <c r="G3108">
        <v>5</v>
      </c>
      <c r="H3108">
        <v>2</v>
      </c>
      <c r="I3108" s="13">
        <v>45709</v>
      </c>
      <c r="J3108" s="13" t="str">
        <f>TEXT(Table1[[#This Row],[Date]],"[$-en-US]mmm yyyy")</f>
        <v>Feb 2025</v>
      </c>
      <c r="K3108" s="13" t="str">
        <f>TEXT(Table1[[#This Row],[Date]],"[$-en-US]ddd")</f>
        <v>Fri</v>
      </c>
    </row>
    <row r="3109" spans="1:11" x14ac:dyDescent="0.25">
      <c r="A3109">
        <v>9</v>
      </c>
      <c r="B3109" t="s">
        <v>9</v>
      </c>
      <c r="C3109">
        <v>35.76</v>
      </c>
      <c r="D3109" t="s">
        <v>10</v>
      </c>
      <c r="E3109" t="s">
        <v>11</v>
      </c>
      <c r="F3109" t="s">
        <v>39</v>
      </c>
      <c r="G3109">
        <v>5</v>
      </c>
      <c r="H3109">
        <v>2</v>
      </c>
      <c r="I3109" s="13">
        <v>45709</v>
      </c>
      <c r="J3109" s="13" t="str">
        <f>TEXT(Table1[[#This Row],[Date]],"[$-en-US]mmm yyyy")</f>
        <v>Feb 2025</v>
      </c>
      <c r="K3109" s="13" t="str">
        <f>TEXT(Table1[[#This Row],[Date]],"[$-en-US]ddd")</f>
        <v>Fri</v>
      </c>
    </row>
    <row r="3110" spans="1:11" x14ac:dyDescent="0.25">
      <c r="A3110">
        <v>9</v>
      </c>
      <c r="B3110" t="s">
        <v>9</v>
      </c>
      <c r="C3110">
        <v>35.76</v>
      </c>
      <c r="D3110" t="s">
        <v>27</v>
      </c>
      <c r="E3110" t="s">
        <v>11</v>
      </c>
      <c r="F3110" t="s">
        <v>39</v>
      </c>
      <c r="G3110">
        <v>5</v>
      </c>
      <c r="H3110">
        <v>2</v>
      </c>
      <c r="I3110" s="13">
        <v>45709</v>
      </c>
      <c r="J3110" s="13" t="str">
        <f>TEXT(Table1[[#This Row],[Date]],"[$-en-US]mmm yyyy")</f>
        <v>Feb 2025</v>
      </c>
      <c r="K3110" s="13" t="str">
        <f>TEXT(Table1[[#This Row],[Date]],"[$-en-US]ddd")</f>
        <v>Fri</v>
      </c>
    </row>
    <row r="3111" spans="1:11" x14ac:dyDescent="0.25">
      <c r="A3111">
        <v>9</v>
      </c>
      <c r="B3111" t="s">
        <v>9</v>
      </c>
      <c r="C3111">
        <v>21.06</v>
      </c>
      <c r="D3111" t="s">
        <v>24</v>
      </c>
      <c r="E3111" t="s">
        <v>11</v>
      </c>
      <c r="F3111" t="s">
        <v>39</v>
      </c>
      <c r="G3111">
        <v>5</v>
      </c>
      <c r="H3111">
        <v>2</v>
      </c>
      <c r="I3111" s="13">
        <v>45709</v>
      </c>
      <c r="J3111" s="13" t="str">
        <f>TEXT(Table1[[#This Row],[Date]],"[$-en-US]mmm yyyy")</f>
        <v>Feb 2025</v>
      </c>
      <c r="K3111" s="13" t="str">
        <f>TEXT(Table1[[#This Row],[Date]],"[$-en-US]ddd")</f>
        <v>Fri</v>
      </c>
    </row>
    <row r="3112" spans="1:11" x14ac:dyDescent="0.25">
      <c r="A3112">
        <v>10</v>
      </c>
      <c r="B3112" t="s">
        <v>9</v>
      </c>
      <c r="C3112">
        <v>25.96</v>
      </c>
      <c r="D3112" t="s">
        <v>16</v>
      </c>
      <c r="E3112" t="s">
        <v>11</v>
      </c>
      <c r="F3112" t="s">
        <v>39</v>
      </c>
      <c r="G3112">
        <v>5</v>
      </c>
      <c r="H3112">
        <v>2</v>
      </c>
      <c r="I3112" s="13">
        <v>45709</v>
      </c>
      <c r="J3112" s="13" t="str">
        <f>TEXT(Table1[[#This Row],[Date]],"[$-en-US]mmm yyyy")</f>
        <v>Feb 2025</v>
      </c>
      <c r="K3112" s="13" t="str">
        <f>TEXT(Table1[[#This Row],[Date]],"[$-en-US]ddd")</f>
        <v>Fri</v>
      </c>
    </row>
    <row r="3113" spans="1:11" x14ac:dyDescent="0.25">
      <c r="A3113">
        <v>11</v>
      </c>
      <c r="B3113" t="s">
        <v>9</v>
      </c>
      <c r="C3113">
        <v>30.86</v>
      </c>
      <c r="D3113" t="s">
        <v>17</v>
      </c>
      <c r="E3113" t="s">
        <v>11</v>
      </c>
      <c r="F3113" t="s">
        <v>39</v>
      </c>
      <c r="G3113">
        <v>5</v>
      </c>
      <c r="H3113">
        <v>2</v>
      </c>
      <c r="I3113" s="13">
        <v>45709</v>
      </c>
      <c r="J3113" s="13" t="str">
        <f>TEXT(Table1[[#This Row],[Date]],"[$-en-US]mmm yyyy")</f>
        <v>Feb 2025</v>
      </c>
      <c r="K3113" s="13" t="str">
        <f>TEXT(Table1[[#This Row],[Date]],"[$-en-US]ddd")</f>
        <v>Fri</v>
      </c>
    </row>
    <row r="3114" spans="1:11" x14ac:dyDescent="0.25">
      <c r="A3114">
        <v>12</v>
      </c>
      <c r="B3114" t="s">
        <v>9</v>
      </c>
      <c r="C3114">
        <v>25.96</v>
      </c>
      <c r="D3114" t="s">
        <v>16</v>
      </c>
      <c r="E3114" t="s">
        <v>15</v>
      </c>
      <c r="F3114" t="s">
        <v>39</v>
      </c>
      <c r="G3114">
        <v>5</v>
      </c>
      <c r="H3114">
        <v>2</v>
      </c>
      <c r="I3114" s="13">
        <v>45709</v>
      </c>
      <c r="J3114" s="13" t="str">
        <f>TEXT(Table1[[#This Row],[Date]],"[$-en-US]mmm yyyy")</f>
        <v>Feb 2025</v>
      </c>
      <c r="K3114" s="13" t="str">
        <f>TEXT(Table1[[#This Row],[Date]],"[$-en-US]ddd")</f>
        <v>Fri</v>
      </c>
    </row>
    <row r="3115" spans="1:11" x14ac:dyDescent="0.25">
      <c r="A3115">
        <v>12</v>
      </c>
      <c r="B3115" t="s">
        <v>9</v>
      </c>
      <c r="C3115">
        <v>25.96</v>
      </c>
      <c r="D3115" t="s">
        <v>16</v>
      </c>
      <c r="E3115" t="s">
        <v>15</v>
      </c>
      <c r="F3115" t="s">
        <v>39</v>
      </c>
      <c r="G3115">
        <v>5</v>
      </c>
      <c r="H3115">
        <v>2</v>
      </c>
      <c r="I3115" s="13">
        <v>45709</v>
      </c>
      <c r="J3115" s="13" t="str">
        <f>TEXT(Table1[[#This Row],[Date]],"[$-en-US]mmm yyyy")</f>
        <v>Feb 2025</v>
      </c>
      <c r="K3115" s="13" t="str">
        <f>TEXT(Table1[[#This Row],[Date]],"[$-en-US]ddd")</f>
        <v>Fri</v>
      </c>
    </row>
    <row r="3116" spans="1:11" x14ac:dyDescent="0.25">
      <c r="A3116">
        <v>12</v>
      </c>
      <c r="B3116" t="s">
        <v>9</v>
      </c>
      <c r="C3116">
        <v>25.96</v>
      </c>
      <c r="D3116" t="s">
        <v>16</v>
      </c>
      <c r="E3116" t="s">
        <v>15</v>
      </c>
      <c r="F3116" t="s">
        <v>39</v>
      </c>
      <c r="G3116">
        <v>5</v>
      </c>
      <c r="H3116">
        <v>2</v>
      </c>
      <c r="I3116" s="13">
        <v>45709</v>
      </c>
      <c r="J3116" s="13" t="str">
        <f>TEXT(Table1[[#This Row],[Date]],"[$-en-US]mmm yyyy")</f>
        <v>Feb 2025</v>
      </c>
      <c r="K3116" s="13" t="str">
        <f>TEXT(Table1[[#This Row],[Date]],"[$-en-US]ddd")</f>
        <v>Fri</v>
      </c>
    </row>
    <row r="3117" spans="1:11" x14ac:dyDescent="0.25">
      <c r="A3117">
        <v>12</v>
      </c>
      <c r="B3117" t="s">
        <v>9</v>
      </c>
      <c r="C3117">
        <v>25.96</v>
      </c>
      <c r="D3117" t="s">
        <v>16</v>
      </c>
      <c r="E3117" t="s">
        <v>15</v>
      </c>
      <c r="F3117" t="s">
        <v>39</v>
      </c>
      <c r="G3117">
        <v>5</v>
      </c>
      <c r="H3117">
        <v>2</v>
      </c>
      <c r="I3117" s="13">
        <v>45709</v>
      </c>
      <c r="J3117" s="13" t="str">
        <f>TEXT(Table1[[#This Row],[Date]],"[$-en-US]mmm yyyy")</f>
        <v>Feb 2025</v>
      </c>
      <c r="K3117" s="13" t="str">
        <f>TEXT(Table1[[#This Row],[Date]],"[$-en-US]ddd")</f>
        <v>Fri</v>
      </c>
    </row>
    <row r="3118" spans="1:11" x14ac:dyDescent="0.25">
      <c r="A3118">
        <v>13</v>
      </c>
      <c r="B3118" t="s">
        <v>9</v>
      </c>
      <c r="C3118">
        <v>25.96</v>
      </c>
      <c r="D3118" t="s">
        <v>16</v>
      </c>
      <c r="E3118" t="s">
        <v>15</v>
      </c>
      <c r="F3118" t="s">
        <v>39</v>
      </c>
      <c r="G3118">
        <v>5</v>
      </c>
      <c r="H3118">
        <v>2</v>
      </c>
      <c r="I3118" s="13">
        <v>45709</v>
      </c>
      <c r="J3118" s="13" t="str">
        <f>TEXT(Table1[[#This Row],[Date]],"[$-en-US]mmm yyyy")</f>
        <v>Feb 2025</v>
      </c>
      <c r="K3118" s="13" t="str">
        <f>TEXT(Table1[[#This Row],[Date]],"[$-en-US]ddd")</f>
        <v>Fri</v>
      </c>
    </row>
    <row r="3119" spans="1:11" x14ac:dyDescent="0.25">
      <c r="A3119">
        <v>14</v>
      </c>
      <c r="B3119" t="s">
        <v>9</v>
      </c>
      <c r="C3119">
        <v>25.96</v>
      </c>
      <c r="D3119" t="s">
        <v>16</v>
      </c>
      <c r="E3119" t="s">
        <v>15</v>
      </c>
      <c r="F3119" t="s">
        <v>39</v>
      </c>
      <c r="G3119">
        <v>5</v>
      </c>
      <c r="H3119">
        <v>2</v>
      </c>
      <c r="I3119" s="13">
        <v>45709</v>
      </c>
      <c r="J3119" s="13" t="str">
        <f>TEXT(Table1[[#This Row],[Date]],"[$-en-US]mmm yyyy")</f>
        <v>Feb 2025</v>
      </c>
      <c r="K3119" s="13" t="str">
        <f>TEXT(Table1[[#This Row],[Date]],"[$-en-US]ddd")</f>
        <v>Fri</v>
      </c>
    </row>
    <row r="3120" spans="1:11" x14ac:dyDescent="0.25">
      <c r="A3120">
        <v>15</v>
      </c>
      <c r="B3120" t="s">
        <v>9</v>
      </c>
      <c r="C3120">
        <v>35.76</v>
      </c>
      <c r="D3120" t="s">
        <v>27</v>
      </c>
      <c r="E3120" t="s">
        <v>15</v>
      </c>
      <c r="F3120" t="s">
        <v>39</v>
      </c>
      <c r="G3120">
        <v>5</v>
      </c>
      <c r="H3120">
        <v>2</v>
      </c>
      <c r="I3120" s="13">
        <v>45709</v>
      </c>
      <c r="J3120" s="13" t="str">
        <f>TEXT(Table1[[#This Row],[Date]],"[$-en-US]mmm yyyy")</f>
        <v>Feb 2025</v>
      </c>
      <c r="K3120" s="13" t="str">
        <f>TEXT(Table1[[#This Row],[Date]],"[$-en-US]ddd")</f>
        <v>Fri</v>
      </c>
    </row>
    <row r="3121" spans="1:11" x14ac:dyDescent="0.25">
      <c r="A3121">
        <v>15</v>
      </c>
      <c r="B3121" t="s">
        <v>9</v>
      </c>
      <c r="C3121">
        <v>25.96</v>
      </c>
      <c r="D3121" t="s">
        <v>16</v>
      </c>
      <c r="E3121" t="s">
        <v>15</v>
      </c>
      <c r="F3121" t="s">
        <v>39</v>
      </c>
      <c r="G3121">
        <v>5</v>
      </c>
      <c r="H3121">
        <v>2</v>
      </c>
      <c r="I3121" s="13">
        <v>45709</v>
      </c>
      <c r="J3121" s="13" t="str">
        <f>TEXT(Table1[[#This Row],[Date]],"[$-en-US]mmm yyyy")</f>
        <v>Feb 2025</v>
      </c>
      <c r="K3121" s="13" t="str">
        <f>TEXT(Table1[[#This Row],[Date]],"[$-en-US]ddd")</f>
        <v>Fri</v>
      </c>
    </row>
    <row r="3122" spans="1:11" x14ac:dyDescent="0.25">
      <c r="A3122">
        <v>15</v>
      </c>
      <c r="B3122" t="s">
        <v>9</v>
      </c>
      <c r="C3122">
        <v>25.96</v>
      </c>
      <c r="D3122" t="s">
        <v>16</v>
      </c>
      <c r="E3122" t="s">
        <v>15</v>
      </c>
      <c r="F3122" t="s">
        <v>39</v>
      </c>
      <c r="G3122">
        <v>5</v>
      </c>
      <c r="H3122">
        <v>2</v>
      </c>
      <c r="I3122" s="13">
        <v>45709</v>
      </c>
      <c r="J3122" s="13" t="str">
        <f>TEXT(Table1[[#This Row],[Date]],"[$-en-US]mmm yyyy")</f>
        <v>Feb 2025</v>
      </c>
      <c r="K3122" s="13" t="str">
        <f>TEXT(Table1[[#This Row],[Date]],"[$-en-US]ddd")</f>
        <v>Fri</v>
      </c>
    </row>
    <row r="3123" spans="1:11" x14ac:dyDescent="0.25">
      <c r="A3123">
        <v>15</v>
      </c>
      <c r="B3123" t="s">
        <v>9</v>
      </c>
      <c r="C3123">
        <v>25.96</v>
      </c>
      <c r="D3123" t="s">
        <v>16</v>
      </c>
      <c r="E3123" t="s">
        <v>15</v>
      </c>
      <c r="F3123" t="s">
        <v>39</v>
      </c>
      <c r="G3123">
        <v>5</v>
      </c>
      <c r="H3123">
        <v>2</v>
      </c>
      <c r="I3123" s="13">
        <v>45709</v>
      </c>
      <c r="J3123" s="13" t="str">
        <f>TEXT(Table1[[#This Row],[Date]],"[$-en-US]mmm yyyy")</f>
        <v>Feb 2025</v>
      </c>
      <c r="K3123" s="13" t="str">
        <f>TEXT(Table1[[#This Row],[Date]],"[$-en-US]ddd")</f>
        <v>Fri</v>
      </c>
    </row>
    <row r="3124" spans="1:11" x14ac:dyDescent="0.25">
      <c r="A3124">
        <v>16</v>
      </c>
      <c r="B3124" t="s">
        <v>9</v>
      </c>
      <c r="C3124">
        <v>35.76</v>
      </c>
      <c r="D3124" t="s">
        <v>19</v>
      </c>
      <c r="E3124" t="s">
        <v>15</v>
      </c>
      <c r="F3124" t="s">
        <v>39</v>
      </c>
      <c r="G3124">
        <v>5</v>
      </c>
      <c r="H3124">
        <v>2</v>
      </c>
      <c r="I3124" s="13">
        <v>45709</v>
      </c>
      <c r="J3124" s="13" t="str">
        <f>TEXT(Table1[[#This Row],[Date]],"[$-en-US]mmm yyyy")</f>
        <v>Feb 2025</v>
      </c>
      <c r="K3124" s="13" t="str">
        <f>TEXT(Table1[[#This Row],[Date]],"[$-en-US]ddd")</f>
        <v>Fri</v>
      </c>
    </row>
    <row r="3125" spans="1:11" x14ac:dyDescent="0.25">
      <c r="A3125">
        <v>16</v>
      </c>
      <c r="B3125" t="s">
        <v>9</v>
      </c>
      <c r="C3125">
        <v>35.76</v>
      </c>
      <c r="D3125" t="s">
        <v>10</v>
      </c>
      <c r="E3125" t="s">
        <v>15</v>
      </c>
      <c r="F3125" t="s">
        <v>39</v>
      </c>
      <c r="G3125">
        <v>5</v>
      </c>
      <c r="H3125">
        <v>2</v>
      </c>
      <c r="I3125" s="13">
        <v>45709</v>
      </c>
      <c r="J3125" s="13" t="str">
        <f>TEXT(Table1[[#This Row],[Date]],"[$-en-US]mmm yyyy")</f>
        <v>Feb 2025</v>
      </c>
      <c r="K3125" s="13" t="str">
        <f>TEXT(Table1[[#This Row],[Date]],"[$-en-US]ddd")</f>
        <v>Fri</v>
      </c>
    </row>
    <row r="3126" spans="1:11" x14ac:dyDescent="0.25">
      <c r="A3126">
        <v>16</v>
      </c>
      <c r="B3126" t="s">
        <v>9</v>
      </c>
      <c r="C3126">
        <v>35.76</v>
      </c>
      <c r="D3126" t="s">
        <v>14</v>
      </c>
      <c r="E3126" t="s">
        <v>15</v>
      </c>
      <c r="F3126" t="s">
        <v>39</v>
      </c>
      <c r="G3126">
        <v>5</v>
      </c>
      <c r="H3126">
        <v>2</v>
      </c>
      <c r="I3126" s="13">
        <v>45709</v>
      </c>
      <c r="J3126" s="13" t="str">
        <f>TEXT(Table1[[#This Row],[Date]],"[$-en-US]mmm yyyy")</f>
        <v>Feb 2025</v>
      </c>
      <c r="K3126" s="13" t="str">
        <f>TEXT(Table1[[#This Row],[Date]],"[$-en-US]ddd")</f>
        <v>Fri</v>
      </c>
    </row>
    <row r="3127" spans="1:11" x14ac:dyDescent="0.25">
      <c r="A3127">
        <v>16</v>
      </c>
      <c r="B3127" t="s">
        <v>9</v>
      </c>
      <c r="C3127">
        <v>35.76</v>
      </c>
      <c r="D3127" t="s">
        <v>10</v>
      </c>
      <c r="E3127" t="s">
        <v>15</v>
      </c>
      <c r="F3127" t="s">
        <v>39</v>
      </c>
      <c r="G3127">
        <v>5</v>
      </c>
      <c r="H3127">
        <v>2</v>
      </c>
      <c r="I3127" s="13">
        <v>45709</v>
      </c>
      <c r="J3127" s="13" t="str">
        <f>TEXT(Table1[[#This Row],[Date]],"[$-en-US]mmm yyyy")</f>
        <v>Feb 2025</v>
      </c>
      <c r="K3127" s="13" t="str">
        <f>TEXT(Table1[[#This Row],[Date]],"[$-en-US]ddd")</f>
        <v>Fri</v>
      </c>
    </row>
    <row r="3128" spans="1:11" x14ac:dyDescent="0.25">
      <c r="A3128">
        <v>19</v>
      </c>
      <c r="B3128" t="s">
        <v>9</v>
      </c>
      <c r="C3128">
        <v>35.76</v>
      </c>
      <c r="D3128" t="s">
        <v>19</v>
      </c>
      <c r="E3128" t="s">
        <v>18</v>
      </c>
      <c r="F3128" t="s">
        <v>39</v>
      </c>
      <c r="G3128">
        <v>5</v>
      </c>
      <c r="H3128">
        <v>2</v>
      </c>
      <c r="I3128" s="13">
        <v>45709</v>
      </c>
      <c r="J3128" s="13" t="str">
        <f>TEXT(Table1[[#This Row],[Date]],"[$-en-US]mmm yyyy")</f>
        <v>Feb 2025</v>
      </c>
      <c r="K3128" s="13" t="str">
        <f>TEXT(Table1[[#This Row],[Date]],"[$-en-US]ddd")</f>
        <v>Fri</v>
      </c>
    </row>
    <row r="3129" spans="1:11" x14ac:dyDescent="0.25">
      <c r="A3129">
        <v>19</v>
      </c>
      <c r="B3129" t="s">
        <v>9</v>
      </c>
      <c r="C3129">
        <v>35.76</v>
      </c>
      <c r="D3129" t="s">
        <v>19</v>
      </c>
      <c r="E3129" t="s">
        <v>18</v>
      </c>
      <c r="F3129" t="s">
        <v>39</v>
      </c>
      <c r="G3129">
        <v>5</v>
      </c>
      <c r="H3129">
        <v>2</v>
      </c>
      <c r="I3129" s="13">
        <v>45709</v>
      </c>
      <c r="J3129" s="13" t="str">
        <f>TEXT(Table1[[#This Row],[Date]],"[$-en-US]mmm yyyy")</f>
        <v>Feb 2025</v>
      </c>
      <c r="K3129" s="13" t="str">
        <f>TEXT(Table1[[#This Row],[Date]],"[$-en-US]ddd")</f>
        <v>Fri</v>
      </c>
    </row>
    <row r="3130" spans="1:11" x14ac:dyDescent="0.25">
      <c r="A3130">
        <v>19</v>
      </c>
      <c r="B3130" t="s">
        <v>9</v>
      </c>
      <c r="C3130">
        <v>35.76</v>
      </c>
      <c r="D3130" t="s">
        <v>27</v>
      </c>
      <c r="E3130" t="s">
        <v>18</v>
      </c>
      <c r="F3130" t="s">
        <v>39</v>
      </c>
      <c r="G3130">
        <v>5</v>
      </c>
      <c r="H3130">
        <v>2</v>
      </c>
      <c r="I3130" s="13">
        <v>45709</v>
      </c>
      <c r="J3130" s="13" t="str">
        <f>TEXT(Table1[[#This Row],[Date]],"[$-en-US]mmm yyyy")</f>
        <v>Feb 2025</v>
      </c>
      <c r="K3130" s="13" t="str">
        <f>TEXT(Table1[[#This Row],[Date]],"[$-en-US]ddd")</f>
        <v>Fri</v>
      </c>
    </row>
    <row r="3131" spans="1:11" x14ac:dyDescent="0.25">
      <c r="A3131">
        <v>10</v>
      </c>
      <c r="B3131" t="s">
        <v>9</v>
      </c>
      <c r="C3131">
        <v>35.76</v>
      </c>
      <c r="D3131" t="s">
        <v>14</v>
      </c>
      <c r="E3131" t="s">
        <v>11</v>
      </c>
      <c r="F3131" t="s">
        <v>39</v>
      </c>
      <c r="G3131">
        <v>6</v>
      </c>
      <c r="H3131">
        <v>2</v>
      </c>
      <c r="I3131" s="13">
        <v>45710</v>
      </c>
      <c r="J3131" s="13" t="str">
        <f>TEXT(Table1[[#This Row],[Date]],"[$-en-US]mmm yyyy")</f>
        <v>Feb 2025</v>
      </c>
      <c r="K3131" s="13" t="str">
        <f>TEXT(Table1[[#This Row],[Date]],"[$-en-US]ddd")</f>
        <v>Sat</v>
      </c>
    </row>
    <row r="3132" spans="1:11" x14ac:dyDescent="0.25">
      <c r="A3132">
        <v>11</v>
      </c>
      <c r="B3132" t="s">
        <v>9</v>
      </c>
      <c r="C3132">
        <v>25.96</v>
      </c>
      <c r="D3132" t="s">
        <v>16</v>
      </c>
      <c r="E3132" t="s">
        <v>11</v>
      </c>
      <c r="F3132" t="s">
        <v>39</v>
      </c>
      <c r="G3132">
        <v>6</v>
      </c>
      <c r="H3132">
        <v>2</v>
      </c>
      <c r="I3132" s="13">
        <v>45710</v>
      </c>
      <c r="J3132" s="13" t="str">
        <f>TEXT(Table1[[#This Row],[Date]],"[$-en-US]mmm yyyy")</f>
        <v>Feb 2025</v>
      </c>
      <c r="K3132" s="13" t="str">
        <f>TEXT(Table1[[#This Row],[Date]],"[$-en-US]ddd")</f>
        <v>Sat</v>
      </c>
    </row>
    <row r="3133" spans="1:11" x14ac:dyDescent="0.25">
      <c r="A3133">
        <v>11</v>
      </c>
      <c r="B3133" t="s">
        <v>9</v>
      </c>
      <c r="C3133">
        <v>25.96</v>
      </c>
      <c r="D3133" t="s">
        <v>16</v>
      </c>
      <c r="E3133" t="s">
        <v>11</v>
      </c>
      <c r="F3133" t="s">
        <v>39</v>
      </c>
      <c r="G3133">
        <v>6</v>
      </c>
      <c r="H3133">
        <v>2</v>
      </c>
      <c r="I3133" s="13">
        <v>45710</v>
      </c>
      <c r="J3133" s="13" t="str">
        <f>TEXT(Table1[[#This Row],[Date]],"[$-en-US]mmm yyyy")</f>
        <v>Feb 2025</v>
      </c>
      <c r="K3133" s="13" t="str">
        <f>TEXT(Table1[[#This Row],[Date]],"[$-en-US]ddd")</f>
        <v>Sat</v>
      </c>
    </row>
    <row r="3134" spans="1:11" x14ac:dyDescent="0.25">
      <c r="A3134">
        <v>12</v>
      </c>
      <c r="B3134" t="s">
        <v>9</v>
      </c>
      <c r="C3134">
        <v>21.06</v>
      </c>
      <c r="D3134" t="s">
        <v>24</v>
      </c>
      <c r="E3134" t="s">
        <v>15</v>
      </c>
      <c r="F3134" t="s">
        <v>39</v>
      </c>
      <c r="G3134">
        <v>6</v>
      </c>
      <c r="H3134">
        <v>2</v>
      </c>
      <c r="I3134" s="13">
        <v>45710</v>
      </c>
      <c r="J3134" s="13" t="str">
        <f>TEXT(Table1[[#This Row],[Date]],"[$-en-US]mmm yyyy")</f>
        <v>Feb 2025</v>
      </c>
      <c r="K3134" s="13" t="str">
        <f>TEXT(Table1[[#This Row],[Date]],"[$-en-US]ddd")</f>
        <v>Sat</v>
      </c>
    </row>
    <row r="3135" spans="1:11" x14ac:dyDescent="0.25">
      <c r="A3135">
        <v>15</v>
      </c>
      <c r="B3135" t="s">
        <v>9</v>
      </c>
      <c r="C3135">
        <v>30.86</v>
      </c>
      <c r="D3135" t="s">
        <v>17</v>
      </c>
      <c r="E3135" t="s">
        <v>15</v>
      </c>
      <c r="F3135" t="s">
        <v>39</v>
      </c>
      <c r="G3135">
        <v>6</v>
      </c>
      <c r="H3135">
        <v>2</v>
      </c>
      <c r="I3135" s="13">
        <v>45710</v>
      </c>
      <c r="J3135" s="13" t="str">
        <f>TEXT(Table1[[#This Row],[Date]],"[$-en-US]mmm yyyy")</f>
        <v>Feb 2025</v>
      </c>
      <c r="K3135" s="13" t="str">
        <f>TEXT(Table1[[#This Row],[Date]],"[$-en-US]ddd")</f>
        <v>Sat</v>
      </c>
    </row>
    <row r="3136" spans="1:11" x14ac:dyDescent="0.25">
      <c r="A3136">
        <v>10</v>
      </c>
      <c r="B3136" t="s">
        <v>9</v>
      </c>
      <c r="C3136">
        <v>30.86</v>
      </c>
      <c r="D3136" t="s">
        <v>17</v>
      </c>
      <c r="E3136" t="s">
        <v>11</v>
      </c>
      <c r="F3136" t="s">
        <v>39</v>
      </c>
      <c r="G3136">
        <v>7</v>
      </c>
      <c r="H3136">
        <v>2</v>
      </c>
      <c r="I3136" s="13">
        <v>45711</v>
      </c>
      <c r="J3136" s="13" t="str">
        <f>TEXT(Table1[[#This Row],[Date]],"[$-en-US]mmm yyyy")</f>
        <v>Feb 2025</v>
      </c>
      <c r="K3136" s="13" t="str">
        <f>TEXT(Table1[[#This Row],[Date]],"[$-en-US]ddd")</f>
        <v>Sun</v>
      </c>
    </row>
    <row r="3137" spans="1:11" x14ac:dyDescent="0.25">
      <c r="A3137">
        <v>12</v>
      </c>
      <c r="B3137" t="s">
        <v>9</v>
      </c>
      <c r="C3137">
        <v>30.86</v>
      </c>
      <c r="D3137" t="s">
        <v>17</v>
      </c>
      <c r="E3137" t="s">
        <v>15</v>
      </c>
      <c r="F3137" t="s">
        <v>39</v>
      </c>
      <c r="G3137">
        <v>7</v>
      </c>
      <c r="H3137">
        <v>2</v>
      </c>
      <c r="I3137" s="13">
        <v>45711</v>
      </c>
      <c r="J3137" s="13" t="str">
        <f>TEXT(Table1[[#This Row],[Date]],"[$-en-US]mmm yyyy")</f>
        <v>Feb 2025</v>
      </c>
      <c r="K3137" s="13" t="str">
        <f>TEXT(Table1[[#This Row],[Date]],"[$-en-US]ddd")</f>
        <v>Sun</v>
      </c>
    </row>
    <row r="3138" spans="1:11" x14ac:dyDescent="0.25">
      <c r="A3138">
        <v>12</v>
      </c>
      <c r="B3138" t="s">
        <v>9</v>
      </c>
      <c r="C3138">
        <v>30.86</v>
      </c>
      <c r="D3138" t="s">
        <v>17</v>
      </c>
      <c r="E3138" t="s">
        <v>15</v>
      </c>
      <c r="F3138" t="s">
        <v>39</v>
      </c>
      <c r="G3138">
        <v>7</v>
      </c>
      <c r="H3138">
        <v>2</v>
      </c>
      <c r="I3138" s="13">
        <v>45711</v>
      </c>
      <c r="J3138" s="13" t="str">
        <f>TEXT(Table1[[#This Row],[Date]],"[$-en-US]mmm yyyy")</f>
        <v>Feb 2025</v>
      </c>
      <c r="K3138" s="13" t="str">
        <f>TEXT(Table1[[#This Row],[Date]],"[$-en-US]ddd")</f>
        <v>Sun</v>
      </c>
    </row>
    <row r="3139" spans="1:11" x14ac:dyDescent="0.25">
      <c r="A3139">
        <v>13</v>
      </c>
      <c r="B3139" t="s">
        <v>9</v>
      </c>
      <c r="C3139">
        <v>35.76</v>
      </c>
      <c r="D3139" t="s">
        <v>27</v>
      </c>
      <c r="E3139" t="s">
        <v>15</v>
      </c>
      <c r="F3139" t="s">
        <v>39</v>
      </c>
      <c r="G3139">
        <v>7</v>
      </c>
      <c r="H3139">
        <v>2</v>
      </c>
      <c r="I3139" s="13">
        <v>45711</v>
      </c>
      <c r="J3139" s="13" t="str">
        <f>TEXT(Table1[[#This Row],[Date]],"[$-en-US]mmm yyyy")</f>
        <v>Feb 2025</v>
      </c>
      <c r="K3139" s="13" t="str">
        <f>TEXT(Table1[[#This Row],[Date]],"[$-en-US]ddd")</f>
        <v>Sun</v>
      </c>
    </row>
    <row r="3140" spans="1:11" x14ac:dyDescent="0.25">
      <c r="A3140">
        <v>14</v>
      </c>
      <c r="B3140" t="s">
        <v>9</v>
      </c>
      <c r="C3140">
        <v>35.76</v>
      </c>
      <c r="D3140" t="s">
        <v>19</v>
      </c>
      <c r="E3140" t="s">
        <v>15</v>
      </c>
      <c r="F3140" t="s">
        <v>39</v>
      </c>
      <c r="G3140">
        <v>7</v>
      </c>
      <c r="H3140">
        <v>2</v>
      </c>
      <c r="I3140" s="13">
        <v>45711</v>
      </c>
      <c r="J3140" s="13" t="str">
        <f>TEXT(Table1[[#This Row],[Date]],"[$-en-US]mmm yyyy")</f>
        <v>Feb 2025</v>
      </c>
      <c r="K3140" s="13" t="str">
        <f>TEXT(Table1[[#This Row],[Date]],"[$-en-US]ddd")</f>
        <v>Sun</v>
      </c>
    </row>
    <row r="3141" spans="1:11" x14ac:dyDescent="0.25">
      <c r="A3141">
        <v>17</v>
      </c>
      <c r="B3141" t="s">
        <v>9</v>
      </c>
      <c r="C3141">
        <v>25.96</v>
      </c>
      <c r="D3141" t="s">
        <v>16</v>
      </c>
      <c r="E3141" t="s">
        <v>18</v>
      </c>
      <c r="F3141" t="s">
        <v>39</v>
      </c>
      <c r="G3141">
        <v>7</v>
      </c>
      <c r="H3141">
        <v>2</v>
      </c>
      <c r="I3141" s="13">
        <v>45711</v>
      </c>
      <c r="J3141" s="13" t="str">
        <f>TEXT(Table1[[#This Row],[Date]],"[$-en-US]mmm yyyy")</f>
        <v>Feb 2025</v>
      </c>
      <c r="K3141" s="13" t="str">
        <f>TEXT(Table1[[#This Row],[Date]],"[$-en-US]ddd")</f>
        <v>Sun</v>
      </c>
    </row>
    <row r="3142" spans="1:11" x14ac:dyDescent="0.25">
      <c r="A3142">
        <v>9</v>
      </c>
      <c r="B3142" t="s">
        <v>9</v>
      </c>
      <c r="C3142">
        <v>30.86</v>
      </c>
      <c r="D3142" t="s">
        <v>17</v>
      </c>
      <c r="E3142" t="s">
        <v>11</v>
      </c>
      <c r="F3142" t="s">
        <v>39</v>
      </c>
      <c r="G3142">
        <v>1</v>
      </c>
      <c r="H3142">
        <v>2</v>
      </c>
      <c r="I3142" s="13">
        <v>45712</v>
      </c>
      <c r="J3142" s="13" t="str">
        <f>TEXT(Table1[[#This Row],[Date]],"[$-en-US]mmm yyyy")</f>
        <v>Feb 2025</v>
      </c>
      <c r="K3142" s="13" t="str">
        <f>TEXT(Table1[[#This Row],[Date]],"[$-en-US]ddd")</f>
        <v>Mon</v>
      </c>
    </row>
    <row r="3143" spans="1:11" x14ac:dyDescent="0.25">
      <c r="A3143">
        <v>9</v>
      </c>
      <c r="B3143" t="s">
        <v>9</v>
      </c>
      <c r="C3143">
        <v>35.76</v>
      </c>
      <c r="D3143" t="s">
        <v>10</v>
      </c>
      <c r="E3143" t="s">
        <v>11</v>
      </c>
      <c r="F3143" t="s">
        <v>39</v>
      </c>
      <c r="G3143">
        <v>1</v>
      </c>
      <c r="H3143">
        <v>2</v>
      </c>
      <c r="I3143" s="13">
        <v>45712</v>
      </c>
      <c r="J3143" s="13" t="str">
        <f>TEXT(Table1[[#This Row],[Date]],"[$-en-US]mmm yyyy")</f>
        <v>Feb 2025</v>
      </c>
      <c r="K3143" s="13" t="str">
        <f>TEXT(Table1[[#This Row],[Date]],"[$-en-US]ddd")</f>
        <v>Mon</v>
      </c>
    </row>
    <row r="3144" spans="1:11" x14ac:dyDescent="0.25">
      <c r="A3144">
        <v>10</v>
      </c>
      <c r="B3144" t="s">
        <v>9</v>
      </c>
      <c r="C3144">
        <v>25.96</v>
      </c>
      <c r="D3144" t="s">
        <v>16</v>
      </c>
      <c r="E3144" t="s">
        <v>11</v>
      </c>
      <c r="F3144" t="s">
        <v>39</v>
      </c>
      <c r="G3144">
        <v>1</v>
      </c>
      <c r="H3144">
        <v>2</v>
      </c>
      <c r="I3144" s="13">
        <v>45712</v>
      </c>
      <c r="J3144" s="13" t="str">
        <f>TEXT(Table1[[#This Row],[Date]],"[$-en-US]mmm yyyy")</f>
        <v>Feb 2025</v>
      </c>
      <c r="K3144" s="13" t="str">
        <f>TEXT(Table1[[#This Row],[Date]],"[$-en-US]ddd")</f>
        <v>Mon</v>
      </c>
    </row>
    <row r="3145" spans="1:11" x14ac:dyDescent="0.25">
      <c r="A3145">
        <v>10</v>
      </c>
      <c r="B3145" t="s">
        <v>9</v>
      </c>
      <c r="C3145">
        <v>30.86</v>
      </c>
      <c r="D3145" t="s">
        <v>17</v>
      </c>
      <c r="E3145" t="s">
        <v>11</v>
      </c>
      <c r="F3145" t="s">
        <v>39</v>
      </c>
      <c r="G3145">
        <v>1</v>
      </c>
      <c r="H3145">
        <v>2</v>
      </c>
      <c r="I3145" s="13">
        <v>45712</v>
      </c>
      <c r="J3145" s="13" t="str">
        <f>TEXT(Table1[[#This Row],[Date]],"[$-en-US]mmm yyyy")</f>
        <v>Feb 2025</v>
      </c>
      <c r="K3145" s="13" t="str">
        <f>TEXT(Table1[[#This Row],[Date]],"[$-en-US]ddd")</f>
        <v>Mon</v>
      </c>
    </row>
    <row r="3146" spans="1:11" x14ac:dyDescent="0.25">
      <c r="A3146">
        <v>10</v>
      </c>
      <c r="B3146" t="s">
        <v>9</v>
      </c>
      <c r="C3146">
        <v>30.86</v>
      </c>
      <c r="D3146" t="s">
        <v>17</v>
      </c>
      <c r="E3146" t="s">
        <v>11</v>
      </c>
      <c r="F3146" t="s">
        <v>39</v>
      </c>
      <c r="G3146">
        <v>1</v>
      </c>
      <c r="H3146">
        <v>2</v>
      </c>
      <c r="I3146" s="13">
        <v>45712</v>
      </c>
      <c r="J3146" s="13" t="str">
        <f>TEXT(Table1[[#This Row],[Date]],"[$-en-US]mmm yyyy")</f>
        <v>Feb 2025</v>
      </c>
      <c r="K3146" s="13" t="str">
        <f>TEXT(Table1[[#This Row],[Date]],"[$-en-US]ddd")</f>
        <v>Mon</v>
      </c>
    </row>
    <row r="3147" spans="1:11" x14ac:dyDescent="0.25">
      <c r="A3147">
        <v>10</v>
      </c>
      <c r="B3147" t="s">
        <v>9</v>
      </c>
      <c r="C3147">
        <v>35.76</v>
      </c>
      <c r="D3147" t="s">
        <v>19</v>
      </c>
      <c r="E3147" t="s">
        <v>11</v>
      </c>
      <c r="F3147" t="s">
        <v>39</v>
      </c>
      <c r="G3147">
        <v>1</v>
      </c>
      <c r="H3147">
        <v>2</v>
      </c>
      <c r="I3147" s="13">
        <v>45712</v>
      </c>
      <c r="J3147" s="13" t="str">
        <f>TEXT(Table1[[#This Row],[Date]],"[$-en-US]mmm yyyy")</f>
        <v>Feb 2025</v>
      </c>
      <c r="K3147" s="13" t="str">
        <f>TEXT(Table1[[#This Row],[Date]],"[$-en-US]ddd")</f>
        <v>Mon</v>
      </c>
    </row>
    <row r="3148" spans="1:11" x14ac:dyDescent="0.25">
      <c r="A3148">
        <v>12</v>
      </c>
      <c r="B3148" t="s">
        <v>9</v>
      </c>
      <c r="C3148">
        <v>35.76</v>
      </c>
      <c r="D3148" t="s">
        <v>10</v>
      </c>
      <c r="E3148" t="s">
        <v>15</v>
      </c>
      <c r="F3148" t="s">
        <v>39</v>
      </c>
      <c r="G3148">
        <v>1</v>
      </c>
      <c r="H3148">
        <v>2</v>
      </c>
      <c r="I3148" s="13">
        <v>45712</v>
      </c>
      <c r="J3148" s="13" t="str">
        <f>TEXT(Table1[[#This Row],[Date]],"[$-en-US]mmm yyyy")</f>
        <v>Feb 2025</v>
      </c>
      <c r="K3148" s="13" t="str">
        <f>TEXT(Table1[[#This Row],[Date]],"[$-en-US]ddd")</f>
        <v>Mon</v>
      </c>
    </row>
    <row r="3149" spans="1:11" x14ac:dyDescent="0.25">
      <c r="A3149">
        <v>13</v>
      </c>
      <c r="B3149" t="s">
        <v>9</v>
      </c>
      <c r="C3149">
        <v>35.76</v>
      </c>
      <c r="D3149" t="s">
        <v>19</v>
      </c>
      <c r="E3149" t="s">
        <v>15</v>
      </c>
      <c r="F3149" t="s">
        <v>39</v>
      </c>
      <c r="G3149">
        <v>1</v>
      </c>
      <c r="H3149">
        <v>2</v>
      </c>
      <c r="I3149" s="13">
        <v>45712</v>
      </c>
      <c r="J3149" s="13" t="str">
        <f>TEXT(Table1[[#This Row],[Date]],"[$-en-US]mmm yyyy")</f>
        <v>Feb 2025</v>
      </c>
      <c r="K3149" s="13" t="str">
        <f>TEXT(Table1[[#This Row],[Date]],"[$-en-US]ddd")</f>
        <v>Mon</v>
      </c>
    </row>
    <row r="3150" spans="1:11" x14ac:dyDescent="0.25">
      <c r="A3150">
        <v>15</v>
      </c>
      <c r="B3150" t="s">
        <v>9</v>
      </c>
      <c r="C3150">
        <v>30.86</v>
      </c>
      <c r="D3150" t="s">
        <v>17</v>
      </c>
      <c r="E3150" t="s">
        <v>15</v>
      </c>
      <c r="F3150" t="s">
        <v>39</v>
      </c>
      <c r="G3150">
        <v>1</v>
      </c>
      <c r="H3150">
        <v>2</v>
      </c>
      <c r="I3150" s="13">
        <v>45712</v>
      </c>
      <c r="J3150" s="13" t="str">
        <f>TEXT(Table1[[#This Row],[Date]],"[$-en-US]mmm yyyy")</f>
        <v>Feb 2025</v>
      </c>
      <c r="K3150" s="13" t="str">
        <f>TEXT(Table1[[#This Row],[Date]],"[$-en-US]ddd")</f>
        <v>Mon</v>
      </c>
    </row>
    <row r="3151" spans="1:11" x14ac:dyDescent="0.25">
      <c r="A3151">
        <v>16</v>
      </c>
      <c r="B3151" t="s">
        <v>9</v>
      </c>
      <c r="C3151">
        <v>35.76</v>
      </c>
      <c r="D3151" t="s">
        <v>19</v>
      </c>
      <c r="E3151" t="s">
        <v>15</v>
      </c>
      <c r="F3151" t="s">
        <v>39</v>
      </c>
      <c r="G3151">
        <v>1</v>
      </c>
      <c r="H3151">
        <v>2</v>
      </c>
      <c r="I3151" s="13">
        <v>45712</v>
      </c>
      <c r="J3151" s="13" t="str">
        <f>TEXT(Table1[[#This Row],[Date]],"[$-en-US]mmm yyyy")</f>
        <v>Feb 2025</v>
      </c>
      <c r="K3151" s="13" t="str">
        <f>TEXT(Table1[[#This Row],[Date]],"[$-en-US]ddd")</f>
        <v>Mon</v>
      </c>
    </row>
    <row r="3152" spans="1:11" x14ac:dyDescent="0.25">
      <c r="A3152">
        <v>16</v>
      </c>
      <c r="B3152" t="s">
        <v>9</v>
      </c>
      <c r="C3152">
        <v>35.76</v>
      </c>
      <c r="D3152" t="s">
        <v>27</v>
      </c>
      <c r="E3152" t="s">
        <v>15</v>
      </c>
      <c r="F3152" t="s">
        <v>39</v>
      </c>
      <c r="G3152">
        <v>1</v>
      </c>
      <c r="H3152">
        <v>2</v>
      </c>
      <c r="I3152" s="13">
        <v>45712</v>
      </c>
      <c r="J3152" s="13" t="str">
        <f>TEXT(Table1[[#This Row],[Date]],"[$-en-US]mmm yyyy")</f>
        <v>Feb 2025</v>
      </c>
      <c r="K3152" s="13" t="str">
        <f>TEXT(Table1[[#This Row],[Date]],"[$-en-US]ddd")</f>
        <v>Mon</v>
      </c>
    </row>
    <row r="3153" spans="1:11" x14ac:dyDescent="0.25">
      <c r="A3153">
        <v>16</v>
      </c>
      <c r="B3153" t="s">
        <v>9</v>
      </c>
      <c r="C3153">
        <v>35.76</v>
      </c>
      <c r="D3153" t="s">
        <v>10</v>
      </c>
      <c r="E3153" t="s">
        <v>15</v>
      </c>
      <c r="F3153" t="s">
        <v>39</v>
      </c>
      <c r="G3153">
        <v>1</v>
      </c>
      <c r="H3153">
        <v>2</v>
      </c>
      <c r="I3153" s="13">
        <v>45712</v>
      </c>
      <c r="J3153" s="13" t="str">
        <f>TEXT(Table1[[#This Row],[Date]],"[$-en-US]mmm yyyy")</f>
        <v>Feb 2025</v>
      </c>
      <c r="K3153" s="13" t="str">
        <f>TEXT(Table1[[#This Row],[Date]],"[$-en-US]ddd")</f>
        <v>Mon</v>
      </c>
    </row>
    <row r="3154" spans="1:11" x14ac:dyDescent="0.25">
      <c r="A3154">
        <v>16</v>
      </c>
      <c r="B3154" t="s">
        <v>9</v>
      </c>
      <c r="C3154">
        <v>25.96</v>
      </c>
      <c r="D3154" t="s">
        <v>16</v>
      </c>
      <c r="E3154" t="s">
        <v>15</v>
      </c>
      <c r="F3154" t="s">
        <v>39</v>
      </c>
      <c r="G3154">
        <v>1</v>
      </c>
      <c r="H3154">
        <v>2</v>
      </c>
      <c r="I3154" s="13">
        <v>45712</v>
      </c>
      <c r="J3154" s="13" t="str">
        <f>TEXT(Table1[[#This Row],[Date]],"[$-en-US]mmm yyyy")</f>
        <v>Feb 2025</v>
      </c>
      <c r="K3154" s="13" t="str">
        <f>TEXT(Table1[[#This Row],[Date]],"[$-en-US]ddd")</f>
        <v>Mon</v>
      </c>
    </row>
    <row r="3155" spans="1:11" x14ac:dyDescent="0.25">
      <c r="A3155">
        <v>17</v>
      </c>
      <c r="B3155" t="s">
        <v>9</v>
      </c>
      <c r="C3155">
        <v>25.96</v>
      </c>
      <c r="D3155" t="s">
        <v>16</v>
      </c>
      <c r="E3155" t="s">
        <v>18</v>
      </c>
      <c r="F3155" t="s">
        <v>39</v>
      </c>
      <c r="G3155">
        <v>1</v>
      </c>
      <c r="H3155">
        <v>2</v>
      </c>
      <c r="I3155" s="13">
        <v>45712</v>
      </c>
      <c r="J3155" s="13" t="str">
        <f>TEXT(Table1[[#This Row],[Date]],"[$-en-US]mmm yyyy")</f>
        <v>Feb 2025</v>
      </c>
      <c r="K3155" s="13" t="str">
        <f>TEXT(Table1[[#This Row],[Date]],"[$-en-US]ddd")</f>
        <v>Mon</v>
      </c>
    </row>
    <row r="3156" spans="1:11" x14ac:dyDescent="0.25">
      <c r="A3156">
        <v>17</v>
      </c>
      <c r="B3156" t="s">
        <v>9</v>
      </c>
      <c r="C3156">
        <v>30.86</v>
      </c>
      <c r="D3156" t="s">
        <v>17</v>
      </c>
      <c r="E3156" t="s">
        <v>18</v>
      </c>
      <c r="F3156" t="s">
        <v>39</v>
      </c>
      <c r="G3156">
        <v>1</v>
      </c>
      <c r="H3156">
        <v>2</v>
      </c>
      <c r="I3156" s="13">
        <v>45712</v>
      </c>
      <c r="J3156" s="13" t="str">
        <f>TEXT(Table1[[#This Row],[Date]],"[$-en-US]mmm yyyy")</f>
        <v>Feb 2025</v>
      </c>
      <c r="K3156" s="13" t="str">
        <f>TEXT(Table1[[#This Row],[Date]],"[$-en-US]ddd")</f>
        <v>Mon</v>
      </c>
    </row>
    <row r="3157" spans="1:11" x14ac:dyDescent="0.25">
      <c r="A3157">
        <v>18</v>
      </c>
      <c r="B3157" t="s">
        <v>9</v>
      </c>
      <c r="C3157">
        <v>30.86</v>
      </c>
      <c r="D3157" t="s">
        <v>17</v>
      </c>
      <c r="E3157" t="s">
        <v>18</v>
      </c>
      <c r="F3157" t="s">
        <v>39</v>
      </c>
      <c r="G3157">
        <v>1</v>
      </c>
      <c r="H3157">
        <v>2</v>
      </c>
      <c r="I3157" s="13">
        <v>45712</v>
      </c>
      <c r="J3157" s="13" t="str">
        <f>TEXT(Table1[[#This Row],[Date]],"[$-en-US]mmm yyyy")</f>
        <v>Feb 2025</v>
      </c>
      <c r="K3157" s="13" t="str">
        <f>TEXT(Table1[[#This Row],[Date]],"[$-en-US]ddd")</f>
        <v>Mon</v>
      </c>
    </row>
    <row r="3158" spans="1:11" x14ac:dyDescent="0.25">
      <c r="A3158">
        <v>18</v>
      </c>
      <c r="B3158" t="s">
        <v>9</v>
      </c>
      <c r="C3158">
        <v>35.76</v>
      </c>
      <c r="D3158" t="s">
        <v>10</v>
      </c>
      <c r="E3158" t="s">
        <v>18</v>
      </c>
      <c r="F3158" t="s">
        <v>39</v>
      </c>
      <c r="G3158">
        <v>1</v>
      </c>
      <c r="H3158">
        <v>2</v>
      </c>
      <c r="I3158" s="13">
        <v>45712</v>
      </c>
      <c r="J3158" s="13" t="str">
        <f>TEXT(Table1[[#This Row],[Date]],"[$-en-US]mmm yyyy")</f>
        <v>Feb 2025</v>
      </c>
      <c r="K3158" s="13" t="str">
        <f>TEXT(Table1[[#This Row],[Date]],"[$-en-US]ddd")</f>
        <v>Mon</v>
      </c>
    </row>
    <row r="3159" spans="1:11" x14ac:dyDescent="0.25">
      <c r="A3159">
        <v>19</v>
      </c>
      <c r="B3159" t="s">
        <v>9</v>
      </c>
      <c r="C3159">
        <v>30.86</v>
      </c>
      <c r="D3159" t="s">
        <v>17</v>
      </c>
      <c r="E3159" t="s">
        <v>18</v>
      </c>
      <c r="F3159" t="s">
        <v>39</v>
      </c>
      <c r="G3159">
        <v>1</v>
      </c>
      <c r="H3159">
        <v>2</v>
      </c>
      <c r="I3159" s="13">
        <v>45712</v>
      </c>
      <c r="J3159" s="13" t="str">
        <f>TEXT(Table1[[#This Row],[Date]],"[$-en-US]mmm yyyy")</f>
        <v>Feb 2025</v>
      </c>
      <c r="K3159" s="13" t="str">
        <f>TEXT(Table1[[#This Row],[Date]],"[$-en-US]ddd")</f>
        <v>Mon</v>
      </c>
    </row>
    <row r="3160" spans="1:11" x14ac:dyDescent="0.25">
      <c r="A3160">
        <v>19</v>
      </c>
      <c r="B3160" t="s">
        <v>9</v>
      </c>
      <c r="C3160">
        <v>35.76</v>
      </c>
      <c r="D3160" t="s">
        <v>14</v>
      </c>
      <c r="E3160" t="s">
        <v>18</v>
      </c>
      <c r="F3160" t="s">
        <v>39</v>
      </c>
      <c r="G3160">
        <v>1</v>
      </c>
      <c r="H3160">
        <v>2</v>
      </c>
      <c r="I3160" s="13">
        <v>45712</v>
      </c>
      <c r="J3160" s="13" t="str">
        <f>TEXT(Table1[[#This Row],[Date]],"[$-en-US]mmm yyyy")</f>
        <v>Feb 2025</v>
      </c>
      <c r="K3160" s="13" t="str">
        <f>TEXT(Table1[[#This Row],[Date]],"[$-en-US]ddd")</f>
        <v>Mon</v>
      </c>
    </row>
    <row r="3161" spans="1:11" x14ac:dyDescent="0.25">
      <c r="A3161">
        <v>19</v>
      </c>
      <c r="B3161" t="s">
        <v>9</v>
      </c>
      <c r="C3161">
        <v>35.76</v>
      </c>
      <c r="D3161" t="s">
        <v>10</v>
      </c>
      <c r="E3161" t="s">
        <v>18</v>
      </c>
      <c r="F3161" t="s">
        <v>39</v>
      </c>
      <c r="G3161">
        <v>1</v>
      </c>
      <c r="H3161">
        <v>2</v>
      </c>
      <c r="I3161" s="13">
        <v>45712</v>
      </c>
      <c r="J3161" s="13" t="str">
        <f>TEXT(Table1[[#This Row],[Date]],"[$-en-US]mmm yyyy")</f>
        <v>Feb 2025</v>
      </c>
      <c r="K3161" s="13" t="str">
        <f>TEXT(Table1[[#This Row],[Date]],"[$-en-US]ddd")</f>
        <v>Mon</v>
      </c>
    </row>
    <row r="3162" spans="1:11" x14ac:dyDescent="0.25">
      <c r="A3162">
        <v>19</v>
      </c>
      <c r="B3162" t="s">
        <v>9</v>
      </c>
      <c r="C3162">
        <v>35.76</v>
      </c>
      <c r="D3162" t="s">
        <v>19</v>
      </c>
      <c r="E3162" t="s">
        <v>18</v>
      </c>
      <c r="F3162" t="s">
        <v>39</v>
      </c>
      <c r="G3162">
        <v>1</v>
      </c>
      <c r="H3162">
        <v>2</v>
      </c>
      <c r="I3162" s="13">
        <v>45712</v>
      </c>
      <c r="J3162" s="13" t="str">
        <f>TEXT(Table1[[#This Row],[Date]],"[$-en-US]mmm yyyy")</f>
        <v>Feb 2025</v>
      </c>
      <c r="K3162" s="13" t="str">
        <f>TEXT(Table1[[#This Row],[Date]],"[$-en-US]ddd")</f>
        <v>Mon</v>
      </c>
    </row>
    <row r="3163" spans="1:11" x14ac:dyDescent="0.25">
      <c r="A3163">
        <v>20</v>
      </c>
      <c r="B3163" t="s">
        <v>9</v>
      </c>
      <c r="C3163">
        <v>35.76</v>
      </c>
      <c r="D3163" t="s">
        <v>19</v>
      </c>
      <c r="E3163" t="s">
        <v>18</v>
      </c>
      <c r="F3163" t="s">
        <v>39</v>
      </c>
      <c r="G3163">
        <v>1</v>
      </c>
      <c r="H3163">
        <v>2</v>
      </c>
      <c r="I3163" s="13">
        <v>45712</v>
      </c>
      <c r="J3163" s="13" t="str">
        <f>TEXT(Table1[[#This Row],[Date]],"[$-en-US]mmm yyyy")</f>
        <v>Feb 2025</v>
      </c>
      <c r="K3163" s="13" t="str">
        <f>TEXT(Table1[[#This Row],[Date]],"[$-en-US]ddd")</f>
        <v>Mon</v>
      </c>
    </row>
    <row r="3164" spans="1:11" x14ac:dyDescent="0.25">
      <c r="A3164">
        <v>8</v>
      </c>
      <c r="B3164" t="s">
        <v>9</v>
      </c>
      <c r="C3164">
        <v>30.86</v>
      </c>
      <c r="D3164" t="s">
        <v>17</v>
      </c>
      <c r="E3164" t="s">
        <v>11</v>
      </c>
      <c r="F3164" t="s">
        <v>39</v>
      </c>
      <c r="G3164">
        <v>2</v>
      </c>
      <c r="H3164">
        <v>2</v>
      </c>
      <c r="I3164" s="13">
        <v>45713</v>
      </c>
      <c r="J3164" s="13" t="str">
        <f>TEXT(Table1[[#This Row],[Date]],"[$-en-US]mmm yyyy")</f>
        <v>Feb 2025</v>
      </c>
      <c r="K3164" s="13" t="str">
        <f>TEXT(Table1[[#This Row],[Date]],"[$-en-US]ddd")</f>
        <v>Tue</v>
      </c>
    </row>
    <row r="3165" spans="1:11" x14ac:dyDescent="0.25">
      <c r="A3165">
        <v>8</v>
      </c>
      <c r="B3165" t="s">
        <v>9</v>
      </c>
      <c r="C3165">
        <v>25.96</v>
      </c>
      <c r="D3165" t="s">
        <v>16</v>
      </c>
      <c r="E3165" t="s">
        <v>11</v>
      </c>
      <c r="F3165" t="s">
        <v>39</v>
      </c>
      <c r="G3165">
        <v>2</v>
      </c>
      <c r="H3165">
        <v>2</v>
      </c>
      <c r="I3165" s="13">
        <v>45713</v>
      </c>
      <c r="J3165" s="13" t="str">
        <f>TEXT(Table1[[#This Row],[Date]],"[$-en-US]mmm yyyy")</f>
        <v>Feb 2025</v>
      </c>
      <c r="K3165" s="13" t="str">
        <f>TEXT(Table1[[#This Row],[Date]],"[$-en-US]ddd")</f>
        <v>Tue</v>
      </c>
    </row>
    <row r="3166" spans="1:11" x14ac:dyDescent="0.25">
      <c r="A3166">
        <v>8</v>
      </c>
      <c r="B3166" t="s">
        <v>9</v>
      </c>
      <c r="C3166">
        <v>30.86</v>
      </c>
      <c r="D3166" t="s">
        <v>17</v>
      </c>
      <c r="E3166" t="s">
        <v>11</v>
      </c>
      <c r="F3166" t="s">
        <v>39</v>
      </c>
      <c r="G3166">
        <v>2</v>
      </c>
      <c r="H3166">
        <v>2</v>
      </c>
      <c r="I3166" s="13">
        <v>45713</v>
      </c>
      <c r="J3166" s="13" t="str">
        <f>TEXT(Table1[[#This Row],[Date]],"[$-en-US]mmm yyyy")</f>
        <v>Feb 2025</v>
      </c>
      <c r="K3166" s="13" t="str">
        <f>TEXT(Table1[[#This Row],[Date]],"[$-en-US]ddd")</f>
        <v>Tue</v>
      </c>
    </row>
    <row r="3167" spans="1:11" x14ac:dyDescent="0.25">
      <c r="A3167">
        <v>10</v>
      </c>
      <c r="B3167" t="s">
        <v>9</v>
      </c>
      <c r="C3167">
        <v>21.06</v>
      </c>
      <c r="D3167" t="s">
        <v>24</v>
      </c>
      <c r="E3167" t="s">
        <v>11</v>
      </c>
      <c r="F3167" t="s">
        <v>39</v>
      </c>
      <c r="G3167">
        <v>2</v>
      </c>
      <c r="H3167">
        <v>2</v>
      </c>
      <c r="I3167" s="13">
        <v>45713</v>
      </c>
      <c r="J3167" s="13" t="str">
        <f>TEXT(Table1[[#This Row],[Date]],"[$-en-US]mmm yyyy")</f>
        <v>Feb 2025</v>
      </c>
      <c r="K3167" s="13" t="str">
        <f>TEXT(Table1[[#This Row],[Date]],"[$-en-US]ddd")</f>
        <v>Tue</v>
      </c>
    </row>
    <row r="3168" spans="1:11" x14ac:dyDescent="0.25">
      <c r="A3168">
        <v>11</v>
      </c>
      <c r="B3168" t="s">
        <v>9</v>
      </c>
      <c r="C3168">
        <v>25.96</v>
      </c>
      <c r="D3168" t="s">
        <v>16</v>
      </c>
      <c r="E3168" t="s">
        <v>11</v>
      </c>
      <c r="F3168" t="s">
        <v>39</v>
      </c>
      <c r="G3168">
        <v>2</v>
      </c>
      <c r="H3168">
        <v>2</v>
      </c>
      <c r="I3168" s="13">
        <v>45713</v>
      </c>
      <c r="J3168" s="13" t="str">
        <f>TEXT(Table1[[#This Row],[Date]],"[$-en-US]mmm yyyy")</f>
        <v>Feb 2025</v>
      </c>
      <c r="K3168" s="13" t="str">
        <f>TEXT(Table1[[#This Row],[Date]],"[$-en-US]ddd")</f>
        <v>Tue</v>
      </c>
    </row>
    <row r="3169" spans="1:11" x14ac:dyDescent="0.25">
      <c r="A3169">
        <v>11</v>
      </c>
      <c r="B3169" t="s">
        <v>9</v>
      </c>
      <c r="C3169">
        <v>25.96</v>
      </c>
      <c r="D3169" t="s">
        <v>16</v>
      </c>
      <c r="E3169" t="s">
        <v>11</v>
      </c>
      <c r="F3169" t="s">
        <v>39</v>
      </c>
      <c r="G3169">
        <v>2</v>
      </c>
      <c r="H3169">
        <v>2</v>
      </c>
      <c r="I3169" s="13">
        <v>45713</v>
      </c>
      <c r="J3169" s="13" t="str">
        <f>TEXT(Table1[[#This Row],[Date]],"[$-en-US]mmm yyyy")</f>
        <v>Feb 2025</v>
      </c>
      <c r="K3169" s="13" t="str">
        <f>TEXT(Table1[[#This Row],[Date]],"[$-en-US]ddd")</f>
        <v>Tue</v>
      </c>
    </row>
    <row r="3170" spans="1:11" x14ac:dyDescent="0.25">
      <c r="A3170">
        <v>12</v>
      </c>
      <c r="B3170" t="s">
        <v>9</v>
      </c>
      <c r="C3170">
        <v>35.76</v>
      </c>
      <c r="D3170" t="s">
        <v>27</v>
      </c>
      <c r="E3170" t="s">
        <v>15</v>
      </c>
      <c r="F3170" t="s">
        <v>39</v>
      </c>
      <c r="G3170">
        <v>2</v>
      </c>
      <c r="H3170">
        <v>2</v>
      </c>
      <c r="I3170" s="13">
        <v>45713</v>
      </c>
      <c r="J3170" s="13" t="str">
        <f>TEXT(Table1[[#This Row],[Date]],"[$-en-US]mmm yyyy")</f>
        <v>Feb 2025</v>
      </c>
      <c r="K3170" s="13" t="str">
        <f>TEXT(Table1[[#This Row],[Date]],"[$-en-US]ddd")</f>
        <v>Tue</v>
      </c>
    </row>
    <row r="3171" spans="1:11" x14ac:dyDescent="0.25">
      <c r="A3171">
        <v>14</v>
      </c>
      <c r="B3171" t="s">
        <v>9</v>
      </c>
      <c r="C3171">
        <v>35.76</v>
      </c>
      <c r="D3171" t="s">
        <v>27</v>
      </c>
      <c r="E3171" t="s">
        <v>15</v>
      </c>
      <c r="F3171" t="s">
        <v>39</v>
      </c>
      <c r="G3171">
        <v>2</v>
      </c>
      <c r="H3171">
        <v>2</v>
      </c>
      <c r="I3171" s="13">
        <v>45713</v>
      </c>
      <c r="J3171" s="13" t="str">
        <f>TEXT(Table1[[#This Row],[Date]],"[$-en-US]mmm yyyy")</f>
        <v>Feb 2025</v>
      </c>
      <c r="K3171" s="13" t="str">
        <f>TEXT(Table1[[#This Row],[Date]],"[$-en-US]ddd")</f>
        <v>Tue</v>
      </c>
    </row>
    <row r="3172" spans="1:11" x14ac:dyDescent="0.25">
      <c r="A3172">
        <v>16</v>
      </c>
      <c r="B3172" t="s">
        <v>9</v>
      </c>
      <c r="C3172">
        <v>25.96</v>
      </c>
      <c r="D3172" t="s">
        <v>16</v>
      </c>
      <c r="E3172" t="s">
        <v>15</v>
      </c>
      <c r="F3172" t="s">
        <v>39</v>
      </c>
      <c r="G3172">
        <v>2</v>
      </c>
      <c r="H3172">
        <v>2</v>
      </c>
      <c r="I3172" s="13">
        <v>45713</v>
      </c>
      <c r="J3172" s="13" t="str">
        <f>TEXT(Table1[[#This Row],[Date]],"[$-en-US]mmm yyyy")</f>
        <v>Feb 2025</v>
      </c>
      <c r="K3172" s="13" t="str">
        <f>TEXT(Table1[[#This Row],[Date]],"[$-en-US]ddd")</f>
        <v>Tue</v>
      </c>
    </row>
    <row r="3173" spans="1:11" x14ac:dyDescent="0.25">
      <c r="A3173">
        <v>16</v>
      </c>
      <c r="B3173" t="s">
        <v>9</v>
      </c>
      <c r="C3173">
        <v>25.96</v>
      </c>
      <c r="D3173" t="s">
        <v>16</v>
      </c>
      <c r="E3173" t="s">
        <v>15</v>
      </c>
      <c r="F3173" t="s">
        <v>39</v>
      </c>
      <c r="G3173">
        <v>2</v>
      </c>
      <c r="H3173">
        <v>2</v>
      </c>
      <c r="I3173" s="13">
        <v>45713</v>
      </c>
      <c r="J3173" s="13" t="str">
        <f>TEXT(Table1[[#This Row],[Date]],"[$-en-US]mmm yyyy")</f>
        <v>Feb 2025</v>
      </c>
      <c r="K3173" s="13" t="str">
        <f>TEXT(Table1[[#This Row],[Date]],"[$-en-US]ddd")</f>
        <v>Tue</v>
      </c>
    </row>
    <row r="3174" spans="1:11" x14ac:dyDescent="0.25">
      <c r="A3174">
        <v>18</v>
      </c>
      <c r="B3174" t="s">
        <v>9</v>
      </c>
      <c r="C3174">
        <v>35.76</v>
      </c>
      <c r="D3174" t="s">
        <v>19</v>
      </c>
      <c r="E3174" t="s">
        <v>18</v>
      </c>
      <c r="F3174" t="s">
        <v>39</v>
      </c>
      <c r="G3174">
        <v>2</v>
      </c>
      <c r="H3174">
        <v>2</v>
      </c>
      <c r="I3174" s="13">
        <v>45713</v>
      </c>
      <c r="J3174" s="13" t="str">
        <f>TEXT(Table1[[#This Row],[Date]],"[$-en-US]mmm yyyy")</f>
        <v>Feb 2025</v>
      </c>
      <c r="K3174" s="13" t="str">
        <f>TEXT(Table1[[#This Row],[Date]],"[$-en-US]ddd")</f>
        <v>Tue</v>
      </c>
    </row>
    <row r="3175" spans="1:11" x14ac:dyDescent="0.25">
      <c r="A3175">
        <v>19</v>
      </c>
      <c r="B3175" t="s">
        <v>9</v>
      </c>
      <c r="C3175">
        <v>35.76</v>
      </c>
      <c r="D3175" t="s">
        <v>27</v>
      </c>
      <c r="E3175" t="s">
        <v>18</v>
      </c>
      <c r="F3175" t="s">
        <v>39</v>
      </c>
      <c r="G3175">
        <v>2</v>
      </c>
      <c r="H3175">
        <v>2</v>
      </c>
      <c r="I3175" s="13">
        <v>45713</v>
      </c>
      <c r="J3175" s="13" t="str">
        <f>TEXT(Table1[[#This Row],[Date]],"[$-en-US]mmm yyyy")</f>
        <v>Feb 2025</v>
      </c>
      <c r="K3175" s="13" t="str">
        <f>TEXT(Table1[[#This Row],[Date]],"[$-en-US]ddd")</f>
        <v>Tue</v>
      </c>
    </row>
    <row r="3176" spans="1:11" x14ac:dyDescent="0.25">
      <c r="A3176">
        <v>8</v>
      </c>
      <c r="B3176" t="s">
        <v>9</v>
      </c>
      <c r="C3176">
        <v>25.96</v>
      </c>
      <c r="D3176" t="s">
        <v>16</v>
      </c>
      <c r="E3176" t="s">
        <v>11</v>
      </c>
      <c r="F3176" t="s">
        <v>39</v>
      </c>
      <c r="G3176">
        <v>3</v>
      </c>
      <c r="H3176">
        <v>2</v>
      </c>
      <c r="I3176" s="13">
        <v>45714</v>
      </c>
      <c r="J3176" s="13" t="str">
        <f>TEXT(Table1[[#This Row],[Date]],"[$-en-US]mmm yyyy")</f>
        <v>Feb 2025</v>
      </c>
      <c r="K3176" s="13" t="str">
        <f>TEXT(Table1[[#This Row],[Date]],"[$-en-US]ddd")</f>
        <v>Wed</v>
      </c>
    </row>
    <row r="3177" spans="1:11" x14ac:dyDescent="0.25">
      <c r="A3177">
        <v>10</v>
      </c>
      <c r="B3177" t="s">
        <v>9</v>
      </c>
      <c r="C3177">
        <v>30.86</v>
      </c>
      <c r="D3177" t="s">
        <v>17</v>
      </c>
      <c r="E3177" t="s">
        <v>11</v>
      </c>
      <c r="F3177" t="s">
        <v>39</v>
      </c>
      <c r="G3177">
        <v>3</v>
      </c>
      <c r="H3177">
        <v>2</v>
      </c>
      <c r="I3177" s="13">
        <v>45714</v>
      </c>
      <c r="J3177" s="13" t="str">
        <f>TEXT(Table1[[#This Row],[Date]],"[$-en-US]mmm yyyy")</f>
        <v>Feb 2025</v>
      </c>
      <c r="K3177" s="13" t="str">
        <f>TEXT(Table1[[#This Row],[Date]],"[$-en-US]ddd")</f>
        <v>Wed</v>
      </c>
    </row>
    <row r="3178" spans="1:11" x14ac:dyDescent="0.25">
      <c r="A3178">
        <v>10</v>
      </c>
      <c r="B3178" t="s">
        <v>9</v>
      </c>
      <c r="C3178">
        <v>30.86</v>
      </c>
      <c r="D3178" t="s">
        <v>17</v>
      </c>
      <c r="E3178" t="s">
        <v>11</v>
      </c>
      <c r="F3178" t="s">
        <v>39</v>
      </c>
      <c r="G3178">
        <v>3</v>
      </c>
      <c r="H3178">
        <v>2</v>
      </c>
      <c r="I3178" s="13">
        <v>45714</v>
      </c>
      <c r="J3178" s="13" t="str">
        <f>TEXT(Table1[[#This Row],[Date]],"[$-en-US]mmm yyyy")</f>
        <v>Feb 2025</v>
      </c>
      <c r="K3178" s="13" t="str">
        <f>TEXT(Table1[[#This Row],[Date]],"[$-en-US]ddd")</f>
        <v>Wed</v>
      </c>
    </row>
    <row r="3179" spans="1:11" x14ac:dyDescent="0.25">
      <c r="A3179">
        <v>10</v>
      </c>
      <c r="B3179" t="s">
        <v>9</v>
      </c>
      <c r="C3179">
        <v>35.76</v>
      </c>
      <c r="D3179" t="s">
        <v>14</v>
      </c>
      <c r="E3179" t="s">
        <v>11</v>
      </c>
      <c r="F3179" t="s">
        <v>39</v>
      </c>
      <c r="G3179">
        <v>3</v>
      </c>
      <c r="H3179">
        <v>2</v>
      </c>
      <c r="I3179" s="13">
        <v>45714</v>
      </c>
      <c r="J3179" s="13" t="str">
        <f>TEXT(Table1[[#This Row],[Date]],"[$-en-US]mmm yyyy")</f>
        <v>Feb 2025</v>
      </c>
      <c r="K3179" s="13" t="str">
        <f>TEXT(Table1[[#This Row],[Date]],"[$-en-US]ddd")</f>
        <v>Wed</v>
      </c>
    </row>
    <row r="3180" spans="1:11" x14ac:dyDescent="0.25">
      <c r="A3180">
        <v>13</v>
      </c>
      <c r="B3180" t="s">
        <v>9</v>
      </c>
      <c r="C3180">
        <v>35.76</v>
      </c>
      <c r="D3180" t="s">
        <v>19</v>
      </c>
      <c r="E3180" t="s">
        <v>15</v>
      </c>
      <c r="F3180" t="s">
        <v>39</v>
      </c>
      <c r="G3180">
        <v>3</v>
      </c>
      <c r="H3180">
        <v>2</v>
      </c>
      <c r="I3180" s="13">
        <v>45714</v>
      </c>
      <c r="J3180" s="13" t="str">
        <f>TEXT(Table1[[#This Row],[Date]],"[$-en-US]mmm yyyy")</f>
        <v>Feb 2025</v>
      </c>
      <c r="K3180" s="13" t="str">
        <f>TEXT(Table1[[#This Row],[Date]],"[$-en-US]ddd")</f>
        <v>Wed</v>
      </c>
    </row>
    <row r="3181" spans="1:11" x14ac:dyDescent="0.25">
      <c r="A3181">
        <v>13</v>
      </c>
      <c r="B3181" t="s">
        <v>9</v>
      </c>
      <c r="C3181">
        <v>35.76</v>
      </c>
      <c r="D3181" t="s">
        <v>10</v>
      </c>
      <c r="E3181" t="s">
        <v>15</v>
      </c>
      <c r="F3181" t="s">
        <v>39</v>
      </c>
      <c r="G3181">
        <v>3</v>
      </c>
      <c r="H3181">
        <v>2</v>
      </c>
      <c r="I3181" s="13">
        <v>45714</v>
      </c>
      <c r="J3181" s="13" t="str">
        <f>TEXT(Table1[[#This Row],[Date]],"[$-en-US]mmm yyyy")</f>
        <v>Feb 2025</v>
      </c>
      <c r="K3181" s="13" t="str">
        <f>TEXT(Table1[[#This Row],[Date]],"[$-en-US]ddd")</f>
        <v>Wed</v>
      </c>
    </row>
    <row r="3182" spans="1:11" x14ac:dyDescent="0.25">
      <c r="A3182">
        <v>15</v>
      </c>
      <c r="B3182" t="s">
        <v>9</v>
      </c>
      <c r="C3182">
        <v>25.96</v>
      </c>
      <c r="D3182" t="s">
        <v>16</v>
      </c>
      <c r="E3182" t="s">
        <v>15</v>
      </c>
      <c r="F3182" t="s">
        <v>39</v>
      </c>
      <c r="G3182">
        <v>3</v>
      </c>
      <c r="H3182">
        <v>2</v>
      </c>
      <c r="I3182" s="13">
        <v>45714</v>
      </c>
      <c r="J3182" s="13" t="str">
        <f>TEXT(Table1[[#This Row],[Date]],"[$-en-US]mmm yyyy")</f>
        <v>Feb 2025</v>
      </c>
      <c r="K3182" s="13" t="str">
        <f>TEXT(Table1[[#This Row],[Date]],"[$-en-US]ddd")</f>
        <v>Wed</v>
      </c>
    </row>
    <row r="3183" spans="1:11" x14ac:dyDescent="0.25">
      <c r="A3183">
        <v>15</v>
      </c>
      <c r="B3183" t="s">
        <v>9</v>
      </c>
      <c r="C3183">
        <v>25.96</v>
      </c>
      <c r="D3183" t="s">
        <v>16</v>
      </c>
      <c r="E3183" t="s">
        <v>15</v>
      </c>
      <c r="F3183" t="s">
        <v>39</v>
      </c>
      <c r="G3183">
        <v>3</v>
      </c>
      <c r="H3183">
        <v>2</v>
      </c>
      <c r="I3183" s="13">
        <v>45714</v>
      </c>
      <c r="J3183" s="13" t="str">
        <f>TEXT(Table1[[#This Row],[Date]],"[$-en-US]mmm yyyy")</f>
        <v>Feb 2025</v>
      </c>
      <c r="K3183" s="13" t="str">
        <f>TEXT(Table1[[#This Row],[Date]],"[$-en-US]ddd")</f>
        <v>Wed</v>
      </c>
    </row>
    <row r="3184" spans="1:11" x14ac:dyDescent="0.25">
      <c r="A3184">
        <v>15</v>
      </c>
      <c r="B3184" t="s">
        <v>9</v>
      </c>
      <c r="C3184">
        <v>25.96</v>
      </c>
      <c r="D3184" t="s">
        <v>22</v>
      </c>
      <c r="E3184" t="s">
        <v>15</v>
      </c>
      <c r="F3184" t="s">
        <v>39</v>
      </c>
      <c r="G3184">
        <v>3</v>
      </c>
      <c r="H3184">
        <v>2</v>
      </c>
      <c r="I3184" s="13">
        <v>45714</v>
      </c>
      <c r="J3184" s="13" t="str">
        <f>TEXT(Table1[[#This Row],[Date]],"[$-en-US]mmm yyyy")</f>
        <v>Feb 2025</v>
      </c>
      <c r="K3184" s="13" t="str">
        <f>TEXT(Table1[[#This Row],[Date]],"[$-en-US]ddd")</f>
        <v>Wed</v>
      </c>
    </row>
    <row r="3185" spans="1:11" x14ac:dyDescent="0.25">
      <c r="A3185">
        <v>15</v>
      </c>
      <c r="B3185" t="s">
        <v>9</v>
      </c>
      <c r="C3185">
        <v>35.76</v>
      </c>
      <c r="D3185" t="s">
        <v>14</v>
      </c>
      <c r="E3185" t="s">
        <v>15</v>
      </c>
      <c r="F3185" t="s">
        <v>39</v>
      </c>
      <c r="G3185">
        <v>3</v>
      </c>
      <c r="H3185">
        <v>2</v>
      </c>
      <c r="I3185" s="13">
        <v>45714</v>
      </c>
      <c r="J3185" s="13" t="str">
        <f>TEXT(Table1[[#This Row],[Date]],"[$-en-US]mmm yyyy")</f>
        <v>Feb 2025</v>
      </c>
      <c r="K3185" s="13" t="str">
        <f>TEXT(Table1[[#This Row],[Date]],"[$-en-US]ddd")</f>
        <v>Wed</v>
      </c>
    </row>
    <row r="3186" spans="1:11" x14ac:dyDescent="0.25">
      <c r="A3186">
        <v>15</v>
      </c>
      <c r="B3186" t="s">
        <v>9</v>
      </c>
      <c r="C3186">
        <v>25.96</v>
      </c>
      <c r="D3186" t="s">
        <v>16</v>
      </c>
      <c r="E3186" t="s">
        <v>15</v>
      </c>
      <c r="F3186" t="s">
        <v>39</v>
      </c>
      <c r="G3186">
        <v>3</v>
      </c>
      <c r="H3186">
        <v>2</v>
      </c>
      <c r="I3186" s="13">
        <v>45714</v>
      </c>
      <c r="J3186" s="13" t="str">
        <f>TEXT(Table1[[#This Row],[Date]],"[$-en-US]mmm yyyy")</f>
        <v>Feb 2025</v>
      </c>
      <c r="K3186" s="13" t="str">
        <f>TEXT(Table1[[#This Row],[Date]],"[$-en-US]ddd")</f>
        <v>Wed</v>
      </c>
    </row>
    <row r="3187" spans="1:11" x14ac:dyDescent="0.25">
      <c r="A3187">
        <v>15</v>
      </c>
      <c r="B3187" t="s">
        <v>9</v>
      </c>
      <c r="C3187">
        <v>25.96</v>
      </c>
      <c r="D3187" t="s">
        <v>16</v>
      </c>
      <c r="E3187" t="s">
        <v>15</v>
      </c>
      <c r="F3187" t="s">
        <v>39</v>
      </c>
      <c r="G3187">
        <v>3</v>
      </c>
      <c r="H3187">
        <v>2</v>
      </c>
      <c r="I3187" s="13">
        <v>45714</v>
      </c>
      <c r="J3187" s="13" t="str">
        <f>TEXT(Table1[[#This Row],[Date]],"[$-en-US]mmm yyyy")</f>
        <v>Feb 2025</v>
      </c>
      <c r="K3187" s="13" t="str">
        <f>TEXT(Table1[[#This Row],[Date]],"[$-en-US]ddd")</f>
        <v>Wed</v>
      </c>
    </row>
    <row r="3188" spans="1:11" x14ac:dyDescent="0.25">
      <c r="A3188">
        <v>16</v>
      </c>
      <c r="B3188" t="s">
        <v>9</v>
      </c>
      <c r="C3188">
        <v>35.76</v>
      </c>
      <c r="D3188" t="s">
        <v>10</v>
      </c>
      <c r="E3188" t="s">
        <v>15</v>
      </c>
      <c r="F3188" t="s">
        <v>39</v>
      </c>
      <c r="G3188">
        <v>3</v>
      </c>
      <c r="H3188">
        <v>2</v>
      </c>
      <c r="I3188" s="13">
        <v>45714</v>
      </c>
      <c r="J3188" s="13" t="str">
        <f>TEXT(Table1[[#This Row],[Date]],"[$-en-US]mmm yyyy")</f>
        <v>Feb 2025</v>
      </c>
      <c r="K3188" s="13" t="str">
        <f>TEXT(Table1[[#This Row],[Date]],"[$-en-US]ddd")</f>
        <v>Wed</v>
      </c>
    </row>
    <row r="3189" spans="1:11" x14ac:dyDescent="0.25">
      <c r="A3189">
        <v>16</v>
      </c>
      <c r="B3189" t="s">
        <v>9</v>
      </c>
      <c r="C3189">
        <v>35.76</v>
      </c>
      <c r="D3189" t="s">
        <v>14</v>
      </c>
      <c r="E3189" t="s">
        <v>15</v>
      </c>
      <c r="F3189" t="s">
        <v>39</v>
      </c>
      <c r="G3189">
        <v>3</v>
      </c>
      <c r="H3189">
        <v>2</v>
      </c>
      <c r="I3189" s="13">
        <v>45714</v>
      </c>
      <c r="J3189" s="13" t="str">
        <f>TEXT(Table1[[#This Row],[Date]],"[$-en-US]mmm yyyy")</f>
        <v>Feb 2025</v>
      </c>
      <c r="K3189" s="13" t="str">
        <f>TEXT(Table1[[#This Row],[Date]],"[$-en-US]ddd")</f>
        <v>Wed</v>
      </c>
    </row>
    <row r="3190" spans="1:11" x14ac:dyDescent="0.25">
      <c r="A3190">
        <v>16</v>
      </c>
      <c r="B3190" t="s">
        <v>9</v>
      </c>
      <c r="C3190">
        <v>35.76</v>
      </c>
      <c r="D3190" t="s">
        <v>10</v>
      </c>
      <c r="E3190" t="s">
        <v>15</v>
      </c>
      <c r="F3190" t="s">
        <v>39</v>
      </c>
      <c r="G3190">
        <v>3</v>
      </c>
      <c r="H3190">
        <v>2</v>
      </c>
      <c r="I3190" s="13">
        <v>45714</v>
      </c>
      <c r="J3190" s="13" t="str">
        <f>TEXT(Table1[[#This Row],[Date]],"[$-en-US]mmm yyyy")</f>
        <v>Feb 2025</v>
      </c>
      <c r="K3190" s="13" t="str">
        <f>TEXT(Table1[[#This Row],[Date]],"[$-en-US]ddd")</f>
        <v>Wed</v>
      </c>
    </row>
    <row r="3191" spans="1:11" x14ac:dyDescent="0.25">
      <c r="A3191">
        <v>17</v>
      </c>
      <c r="B3191" t="s">
        <v>9</v>
      </c>
      <c r="C3191">
        <v>30.86</v>
      </c>
      <c r="D3191" t="s">
        <v>17</v>
      </c>
      <c r="E3191" t="s">
        <v>18</v>
      </c>
      <c r="F3191" t="s">
        <v>39</v>
      </c>
      <c r="G3191">
        <v>3</v>
      </c>
      <c r="H3191">
        <v>2</v>
      </c>
      <c r="I3191" s="13">
        <v>45714</v>
      </c>
      <c r="J3191" s="13" t="str">
        <f>TEXT(Table1[[#This Row],[Date]],"[$-en-US]mmm yyyy")</f>
        <v>Feb 2025</v>
      </c>
      <c r="K3191" s="13" t="str">
        <f>TEXT(Table1[[#This Row],[Date]],"[$-en-US]ddd")</f>
        <v>Wed</v>
      </c>
    </row>
    <row r="3192" spans="1:11" x14ac:dyDescent="0.25">
      <c r="A3192">
        <v>18</v>
      </c>
      <c r="B3192" t="s">
        <v>9</v>
      </c>
      <c r="C3192">
        <v>35.76</v>
      </c>
      <c r="D3192" t="s">
        <v>10</v>
      </c>
      <c r="E3192" t="s">
        <v>18</v>
      </c>
      <c r="F3192" t="s">
        <v>39</v>
      </c>
      <c r="G3192">
        <v>3</v>
      </c>
      <c r="H3192">
        <v>2</v>
      </c>
      <c r="I3192" s="13">
        <v>45714</v>
      </c>
      <c r="J3192" s="13" t="str">
        <f>TEXT(Table1[[#This Row],[Date]],"[$-en-US]mmm yyyy")</f>
        <v>Feb 2025</v>
      </c>
      <c r="K3192" s="13" t="str">
        <f>TEXT(Table1[[#This Row],[Date]],"[$-en-US]ddd")</f>
        <v>Wed</v>
      </c>
    </row>
    <row r="3193" spans="1:11" x14ac:dyDescent="0.25">
      <c r="A3193">
        <v>18</v>
      </c>
      <c r="B3193" t="s">
        <v>9</v>
      </c>
      <c r="C3193">
        <v>35.76</v>
      </c>
      <c r="D3193" t="s">
        <v>27</v>
      </c>
      <c r="E3193" t="s">
        <v>18</v>
      </c>
      <c r="F3193" t="s">
        <v>39</v>
      </c>
      <c r="G3193">
        <v>3</v>
      </c>
      <c r="H3193">
        <v>2</v>
      </c>
      <c r="I3193" s="13">
        <v>45714</v>
      </c>
      <c r="J3193" s="13" t="str">
        <f>TEXT(Table1[[#This Row],[Date]],"[$-en-US]mmm yyyy")</f>
        <v>Feb 2025</v>
      </c>
      <c r="K3193" s="13" t="str">
        <f>TEXT(Table1[[#This Row],[Date]],"[$-en-US]ddd")</f>
        <v>Wed</v>
      </c>
    </row>
    <row r="3194" spans="1:11" x14ac:dyDescent="0.25">
      <c r="A3194">
        <v>7</v>
      </c>
      <c r="B3194" t="s">
        <v>9</v>
      </c>
      <c r="C3194">
        <v>35.76</v>
      </c>
      <c r="D3194" t="s">
        <v>27</v>
      </c>
      <c r="E3194" t="s">
        <v>11</v>
      </c>
      <c r="F3194" t="s">
        <v>39</v>
      </c>
      <c r="G3194">
        <v>4</v>
      </c>
      <c r="H3194">
        <v>2</v>
      </c>
      <c r="I3194" s="13">
        <v>45715</v>
      </c>
      <c r="J3194" s="13" t="str">
        <f>TEXT(Table1[[#This Row],[Date]],"[$-en-US]mmm yyyy")</f>
        <v>Feb 2025</v>
      </c>
      <c r="K3194" s="13" t="str">
        <f>TEXT(Table1[[#This Row],[Date]],"[$-en-US]ddd")</f>
        <v>Thu</v>
      </c>
    </row>
    <row r="3195" spans="1:11" x14ac:dyDescent="0.25">
      <c r="A3195">
        <v>7</v>
      </c>
      <c r="B3195" t="s">
        <v>9</v>
      </c>
      <c r="C3195">
        <v>35.76</v>
      </c>
      <c r="D3195" t="s">
        <v>27</v>
      </c>
      <c r="E3195" t="s">
        <v>11</v>
      </c>
      <c r="F3195" t="s">
        <v>39</v>
      </c>
      <c r="G3195">
        <v>4</v>
      </c>
      <c r="H3195">
        <v>2</v>
      </c>
      <c r="I3195" s="13">
        <v>45715</v>
      </c>
      <c r="J3195" s="13" t="str">
        <f>TEXT(Table1[[#This Row],[Date]],"[$-en-US]mmm yyyy")</f>
        <v>Feb 2025</v>
      </c>
      <c r="K3195" s="13" t="str">
        <f>TEXT(Table1[[#This Row],[Date]],"[$-en-US]ddd")</f>
        <v>Thu</v>
      </c>
    </row>
    <row r="3196" spans="1:11" x14ac:dyDescent="0.25">
      <c r="A3196">
        <v>10</v>
      </c>
      <c r="B3196" t="s">
        <v>9</v>
      </c>
      <c r="C3196">
        <v>21.06</v>
      </c>
      <c r="D3196" t="s">
        <v>24</v>
      </c>
      <c r="E3196" t="s">
        <v>11</v>
      </c>
      <c r="F3196" t="s">
        <v>39</v>
      </c>
      <c r="G3196">
        <v>4</v>
      </c>
      <c r="H3196">
        <v>2</v>
      </c>
      <c r="I3196" s="13">
        <v>45715</v>
      </c>
      <c r="J3196" s="13" t="str">
        <f>TEXT(Table1[[#This Row],[Date]],"[$-en-US]mmm yyyy")</f>
        <v>Feb 2025</v>
      </c>
      <c r="K3196" s="13" t="str">
        <f>TEXT(Table1[[#This Row],[Date]],"[$-en-US]ddd")</f>
        <v>Thu</v>
      </c>
    </row>
    <row r="3197" spans="1:11" x14ac:dyDescent="0.25">
      <c r="A3197">
        <v>11</v>
      </c>
      <c r="B3197" t="s">
        <v>9</v>
      </c>
      <c r="C3197">
        <v>35.76</v>
      </c>
      <c r="D3197" t="s">
        <v>19</v>
      </c>
      <c r="E3197" t="s">
        <v>11</v>
      </c>
      <c r="F3197" t="s">
        <v>39</v>
      </c>
      <c r="G3197">
        <v>4</v>
      </c>
      <c r="H3197">
        <v>2</v>
      </c>
      <c r="I3197" s="13">
        <v>45715</v>
      </c>
      <c r="J3197" s="13" t="str">
        <f>TEXT(Table1[[#This Row],[Date]],"[$-en-US]mmm yyyy")</f>
        <v>Feb 2025</v>
      </c>
      <c r="K3197" s="13" t="str">
        <f>TEXT(Table1[[#This Row],[Date]],"[$-en-US]ddd")</f>
        <v>Thu</v>
      </c>
    </row>
    <row r="3198" spans="1:11" x14ac:dyDescent="0.25">
      <c r="A3198">
        <v>12</v>
      </c>
      <c r="B3198" t="s">
        <v>9</v>
      </c>
      <c r="C3198">
        <v>35.76</v>
      </c>
      <c r="D3198" t="s">
        <v>19</v>
      </c>
      <c r="E3198" t="s">
        <v>15</v>
      </c>
      <c r="F3198" t="s">
        <v>39</v>
      </c>
      <c r="G3198">
        <v>4</v>
      </c>
      <c r="H3198">
        <v>2</v>
      </c>
      <c r="I3198" s="13">
        <v>45715</v>
      </c>
      <c r="J3198" s="13" t="str">
        <f>TEXT(Table1[[#This Row],[Date]],"[$-en-US]mmm yyyy")</f>
        <v>Feb 2025</v>
      </c>
      <c r="K3198" s="13" t="str">
        <f>TEXT(Table1[[#This Row],[Date]],"[$-en-US]ddd")</f>
        <v>Thu</v>
      </c>
    </row>
    <row r="3199" spans="1:11" x14ac:dyDescent="0.25">
      <c r="A3199">
        <v>13</v>
      </c>
      <c r="B3199" t="s">
        <v>9</v>
      </c>
      <c r="C3199">
        <v>30.86</v>
      </c>
      <c r="D3199" t="s">
        <v>17</v>
      </c>
      <c r="E3199" t="s">
        <v>15</v>
      </c>
      <c r="F3199" t="s">
        <v>39</v>
      </c>
      <c r="G3199">
        <v>4</v>
      </c>
      <c r="H3199">
        <v>2</v>
      </c>
      <c r="I3199" s="13">
        <v>45715</v>
      </c>
      <c r="J3199" s="13" t="str">
        <f>TEXT(Table1[[#This Row],[Date]],"[$-en-US]mmm yyyy")</f>
        <v>Feb 2025</v>
      </c>
      <c r="K3199" s="13" t="str">
        <f>TEXT(Table1[[#This Row],[Date]],"[$-en-US]ddd")</f>
        <v>Thu</v>
      </c>
    </row>
    <row r="3200" spans="1:11" x14ac:dyDescent="0.25">
      <c r="A3200">
        <v>14</v>
      </c>
      <c r="B3200" t="s">
        <v>9</v>
      </c>
      <c r="C3200">
        <v>25.96</v>
      </c>
      <c r="D3200" t="s">
        <v>16</v>
      </c>
      <c r="E3200" t="s">
        <v>15</v>
      </c>
      <c r="F3200" t="s">
        <v>39</v>
      </c>
      <c r="G3200">
        <v>4</v>
      </c>
      <c r="H3200">
        <v>2</v>
      </c>
      <c r="I3200" s="13">
        <v>45715</v>
      </c>
      <c r="J3200" s="13" t="str">
        <f>TEXT(Table1[[#This Row],[Date]],"[$-en-US]mmm yyyy")</f>
        <v>Feb 2025</v>
      </c>
      <c r="K3200" s="13" t="str">
        <f>TEXT(Table1[[#This Row],[Date]],"[$-en-US]ddd")</f>
        <v>Thu</v>
      </c>
    </row>
    <row r="3201" spans="1:11" x14ac:dyDescent="0.25">
      <c r="A3201">
        <v>14</v>
      </c>
      <c r="B3201" t="s">
        <v>9</v>
      </c>
      <c r="C3201">
        <v>35.76</v>
      </c>
      <c r="D3201" t="s">
        <v>10</v>
      </c>
      <c r="E3201" t="s">
        <v>15</v>
      </c>
      <c r="F3201" t="s">
        <v>39</v>
      </c>
      <c r="G3201">
        <v>4</v>
      </c>
      <c r="H3201">
        <v>2</v>
      </c>
      <c r="I3201" s="13">
        <v>45715</v>
      </c>
      <c r="J3201" s="13" t="str">
        <f>TEXT(Table1[[#This Row],[Date]],"[$-en-US]mmm yyyy")</f>
        <v>Feb 2025</v>
      </c>
      <c r="K3201" s="13" t="str">
        <f>TEXT(Table1[[#This Row],[Date]],"[$-en-US]ddd")</f>
        <v>Thu</v>
      </c>
    </row>
    <row r="3202" spans="1:11" x14ac:dyDescent="0.25">
      <c r="A3202">
        <v>15</v>
      </c>
      <c r="B3202" t="s">
        <v>9</v>
      </c>
      <c r="C3202">
        <v>25.96</v>
      </c>
      <c r="D3202" t="s">
        <v>16</v>
      </c>
      <c r="E3202" t="s">
        <v>15</v>
      </c>
      <c r="F3202" t="s">
        <v>39</v>
      </c>
      <c r="G3202">
        <v>4</v>
      </c>
      <c r="H3202">
        <v>2</v>
      </c>
      <c r="I3202" s="13">
        <v>45715</v>
      </c>
      <c r="J3202" s="13" t="str">
        <f>TEXT(Table1[[#This Row],[Date]],"[$-en-US]mmm yyyy")</f>
        <v>Feb 2025</v>
      </c>
      <c r="K3202" s="13" t="str">
        <f>TEXT(Table1[[#This Row],[Date]],"[$-en-US]ddd")</f>
        <v>Thu</v>
      </c>
    </row>
    <row r="3203" spans="1:11" x14ac:dyDescent="0.25">
      <c r="A3203">
        <v>16</v>
      </c>
      <c r="B3203" t="s">
        <v>9</v>
      </c>
      <c r="C3203">
        <v>25.96</v>
      </c>
      <c r="D3203" t="s">
        <v>16</v>
      </c>
      <c r="E3203" t="s">
        <v>15</v>
      </c>
      <c r="F3203" t="s">
        <v>39</v>
      </c>
      <c r="G3203">
        <v>4</v>
      </c>
      <c r="H3203">
        <v>2</v>
      </c>
      <c r="I3203" s="13">
        <v>45715</v>
      </c>
      <c r="J3203" s="13" t="str">
        <f>TEXT(Table1[[#This Row],[Date]],"[$-en-US]mmm yyyy")</f>
        <v>Feb 2025</v>
      </c>
      <c r="K3203" s="13" t="str">
        <f>TEXT(Table1[[#This Row],[Date]],"[$-en-US]ddd")</f>
        <v>Thu</v>
      </c>
    </row>
    <row r="3204" spans="1:11" x14ac:dyDescent="0.25">
      <c r="A3204">
        <v>17</v>
      </c>
      <c r="B3204" t="s">
        <v>9</v>
      </c>
      <c r="C3204">
        <v>25.96</v>
      </c>
      <c r="D3204" t="s">
        <v>16</v>
      </c>
      <c r="E3204" t="s">
        <v>18</v>
      </c>
      <c r="F3204" t="s">
        <v>39</v>
      </c>
      <c r="G3204">
        <v>4</v>
      </c>
      <c r="H3204">
        <v>2</v>
      </c>
      <c r="I3204" s="13">
        <v>45715</v>
      </c>
      <c r="J3204" s="13" t="str">
        <f>TEXT(Table1[[#This Row],[Date]],"[$-en-US]mmm yyyy")</f>
        <v>Feb 2025</v>
      </c>
      <c r="K3204" s="13" t="str">
        <f>TEXT(Table1[[#This Row],[Date]],"[$-en-US]ddd")</f>
        <v>Thu</v>
      </c>
    </row>
    <row r="3205" spans="1:11" x14ac:dyDescent="0.25">
      <c r="A3205">
        <v>17</v>
      </c>
      <c r="B3205" t="s">
        <v>9</v>
      </c>
      <c r="C3205">
        <v>25.96</v>
      </c>
      <c r="D3205" t="s">
        <v>16</v>
      </c>
      <c r="E3205" t="s">
        <v>18</v>
      </c>
      <c r="F3205" t="s">
        <v>39</v>
      </c>
      <c r="G3205">
        <v>4</v>
      </c>
      <c r="H3205">
        <v>2</v>
      </c>
      <c r="I3205" s="13">
        <v>45715</v>
      </c>
      <c r="J3205" s="13" t="str">
        <f>TEXT(Table1[[#This Row],[Date]],"[$-en-US]mmm yyyy")</f>
        <v>Feb 2025</v>
      </c>
      <c r="K3205" s="13" t="str">
        <f>TEXT(Table1[[#This Row],[Date]],"[$-en-US]ddd")</f>
        <v>Thu</v>
      </c>
    </row>
    <row r="3206" spans="1:11" x14ac:dyDescent="0.25">
      <c r="A3206">
        <v>17</v>
      </c>
      <c r="B3206" t="s">
        <v>9</v>
      </c>
      <c r="C3206">
        <v>35.76</v>
      </c>
      <c r="D3206" t="s">
        <v>10</v>
      </c>
      <c r="E3206" t="s">
        <v>18</v>
      </c>
      <c r="F3206" t="s">
        <v>39</v>
      </c>
      <c r="G3206">
        <v>4</v>
      </c>
      <c r="H3206">
        <v>2</v>
      </c>
      <c r="I3206" s="13">
        <v>45715</v>
      </c>
      <c r="J3206" s="13" t="str">
        <f>TEXT(Table1[[#This Row],[Date]],"[$-en-US]mmm yyyy")</f>
        <v>Feb 2025</v>
      </c>
      <c r="K3206" s="13" t="str">
        <f>TEXT(Table1[[#This Row],[Date]],"[$-en-US]ddd")</f>
        <v>Thu</v>
      </c>
    </row>
    <row r="3207" spans="1:11" x14ac:dyDescent="0.25">
      <c r="A3207">
        <v>18</v>
      </c>
      <c r="B3207" t="s">
        <v>9</v>
      </c>
      <c r="C3207">
        <v>35.76</v>
      </c>
      <c r="D3207" t="s">
        <v>10</v>
      </c>
      <c r="E3207" t="s">
        <v>18</v>
      </c>
      <c r="F3207" t="s">
        <v>39</v>
      </c>
      <c r="G3207">
        <v>4</v>
      </c>
      <c r="H3207">
        <v>2</v>
      </c>
      <c r="I3207" s="13">
        <v>45715</v>
      </c>
      <c r="J3207" s="13" t="str">
        <f>TEXT(Table1[[#This Row],[Date]],"[$-en-US]mmm yyyy")</f>
        <v>Feb 2025</v>
      </c>
      <c r="K3207" s="13" t="str">
        <f>TEXT(Table1[[#This Row],[Date]],"[$-en-US]ddd")</f>
        <v>Thu</v>
      </c>
    </row>
    <row r="3208" spans="1:11" x14ac:dyDescent="0.25">
      <c r="A3208">
        <v>18</v>
      </c>
      <c r="B3208" t="s">
        <v>9</v>
      </c>
      <c r="C3208">
        <v>35.76</v>
      </c>
      <c r="D3208" t="s">
        <v>27</v>
      </c>
      <c r="E3208" t="s">
        <v>18</v>
      </c>
      <c r="F3208" t="s">
        <v>39</v>
      </c>
      <c r="G3208">
        <v>4</v>
      </c>
      <c r="H3208">
        <v>2</v>
      </c>
      <c r="I3208" s="13">
        <v>45715</v>
      </c>
      <c r="J3208" s="13" t="str">
        <f>TEXT(Table1[[#This Row],[Date]],"[$-en-US]mmm yyyy")</f>
        <v>Feb 2025</v>
      </c>
      <c r="K3208" s="13" t="str">
        <f>TEXT(Table1[[#This Row],[Date]],"[$-en-US]ddd")</f>
        <v>Thu</v>
      </c>
    </row>
    <row r="3209" spans="1:11" x14ac:dyDescent="0.25">
      <c r="A3209">
        <v>18</v>
      </c>
      <c r="B3209" t="s">
        <v>9</v>
      </c>
      <c r="C3209">
        <v>35.76</v>
      </c>
      <c r="D3209" t="s">
        <v>19</v>
      </c>
      <c r="E3209" t="s">
        <v>18</v>
      </c>
      <c r="F3209" t="s">
        <v>39</v>
      </c>
      <c r="G3209">
        <v>4</v>
      </c>
      <c r="H3209">
        <v>2</v>
      </c>
      <c r="I3209" s="13">
        <v>45715</v>
      </c>
      <c r="J3209" s="13" t="str">
        <f>TEXT(Table1[[#This Row],[Date]],"[$-en-US]mmm yyyy")</f>
        <v>Feb 2025</v>
      </c>
      <c r="K3209" s="13" t="str">
        <f>TEXT(Table1[[#This Row],[Date]],"[$-en-US]ddd")</f>
        <v>Thu</v>
      </c>
    </row>
    <row r="3210" spans="1:11" x14ac:dyDescent="0.25">
      <c r="A3210">
        <v>18</v>
      </c>
      <c r="B3210" t="s">
        <v>9</v>
      </c>
      <c r="C3210">
        <v>35.76</v>
      </c>
      <c r="D3210" t="s">
        <v>19</v>
      </c>
      <c r="E3210" t="s">
        <v>18</v>
      </c>
      <c r="F3210" t="s">
        <v>39</v>
      </c>
      <c r="G3210">
        <v>4</v>
      </c>
      <c r="H3210">
        <v>2</v>
      </c>
      <c r="I3210" s="13">
        <v>45715</v>
      </c>
      <c r="J3210" s="13" t="str">
        <f>TEXT(Table1[[#This Row],[Date]],"[$-en-US]mmm yyyy")</f>
        <v>Feb 2025</v>
      </c>
      <c r="K3210" s="13" t="str">
        <f>TEXT(Table1[[#This Row],[Date]],"[$-en-US]ddd")</f>
        <v>Thu</v>
      </c>
    </row>
    <row r="3211" spans="1:11" x14ac:dyDescent="0.25">
      <c r="A3211">
        <v>19</v>
      </c>
      <c r="B3211" t="s">
        <v>9</v>
      </c>
      <c r="C3211">
        <v>35.76</v>
      </c>
      <c r="D3211" t="s">
        <v>10</v>
      </c>
      <c r="E3211" t="s">
        <v>18</v>
      </c>
      <c r="F3211" t="s">
        <v>39</v>
      </c>
      <c r="G3211">
        <v>4</v>
      </c>
      <c r="H3211">
        <v>2</v>
      </c>
      <c r="I3211" s="13">
        <v>45715</v>
      </c>
      <c r="J3211" s="13" t="str">
        <f>TEXT(Table1[[#This Row],[Date]],"[$-en-US]mmm yyyy")</f>
        <v>Feb 2025</v>
      </c>
      <c r="K3211" s="13" t="str">
        <f>TEXT(Table1[[#This Row],[Date]],"[$-en-US]ddd")</f>
        <v>Thu</v>
      </c>
    </row>
    <row r="3212" spans="1:11" x14ac:dyDescent="0.25">
      <c r="A3212">
        <v>20</v>
      </c>
      <c r="B3212" t="s">
        <v>9</v>
      </c>
      <c r="C3212">
        <v>35.76</v>
      </c>
      <c r="D3212" t="s">
        <v>27</v>
      </c>
      <c r="E3212" t="s">
        <v>18</v>
      </c>
      <c r="F3212" t="s">
        <v>39</v>
      </c>
      <c r="G3212">
        <v>4</v>
      </c>
      <c r="H3212">
        <v>2</v>
      </c>
      <c r="I3212" s="13">
        <v>45715</v>
      </c>
      <c r="J3212" s="13" t="str">
        <f>TEXT(Table1[[#This Row],[Date]],"[$-en-US]mmm yyyy")</f>
        <v>Feb 2025</v>
      </c>
      <c r="K3212" s="13" t="str">
        <f>TEXT(Table1[[#This Row],[Date]],"[$-en-US]ddd")</f>
        <v>Thu</v>
      </c>
    </row>
    <row r="3213" spans="1:11" x14ac:dyDescent="0.25">
      <c r="A3213">
        <v>6</v>
      </c>
      <c r="B3213" t="s">
        <v>9</v>
      </c>
      <c r="C3213">
        <v>30.86</v>
      </c>
      <c r="D3213" t="s">
        <v>17</v>
      </c>
      <c r="E3213" t="s">
        <v>11</v>
      </c>
      <c r="F3213" t="s">
        <v>39</v>
      </c>
      <c r="G3213">
        <v>5</v>
      </c>
      <c r="H3213">
        <v>2</v>
      </c>
      <c r="I3213" s="13">
        <v>45716</v>
      </c>
      <c r="J3213" s="13" t="str">
        <f>TEXT(Table1[[#This Row],[Date]],"[$-en-US]mmm yyyy")</f>
        <v>Feb 2025</v>
      </c>
      <c r="K3213" s="13" t="str">
        <f>TEXT(Table1[[#This Row],[Date]],"[$-en-US]ddd")</f>
        <v>Fri</v>
      </c>
    </row>
    <row r="3214" spans="1:11" x14ac:dyDescent="0.25">
      <c r="A3214">
        <v>6</v>
      </c>
      <c r="B3214" t="s">
        <v>9</v>
      </c>
      <c r="C3214">
        <v>30.86</v>
      </c>
      <c r="D3214" t="s">
        <v>17</v>
      </c>
      <c r="E3214" t="s">
        <v>11</v>
      </c>
      <c r="F3214" t="s">
        <v>39</v>
      </c>
      <c r="G3214">
        <v>5</v>
      </c>
      <c r="H3214">
        <v>2</v>
      </c>
      <c r="I3214" s="13">
        <v>45716</v>
      </c>
      <c r="J3214" s="13" t="str">
        <f>TEXT(Table1[[#This Row],[Date]],"[$-en-US]mmm yyyy")</f>
        <v>Feb 2025</v>
      </c>
      <c r="K3214" s="13" t="str">
        <f>TEXT(Table1[[#This Row],[Date]],"[$-en-US]ddd")</f>
        <v>Fri</v>
      </c>
    </row>
    <row r="3215" spans="1:11" x14ac:dyDescent="0.25">
      <c r="A3215">
        <v>7</v>
      </c>
      <c r="B3215" t="s">
        <v>9</v>
      </c>
      <c r="C3215">
        <v>35.76</v>
      </c>
      <c r="D3215" t="s">
        <v>27</v>
      </c>
      <c r="E3215" t="s">
        <v>11</v>
      </c>
      <c r="F3215" t="s">
        <v>39</v>
      </c>
      <c r="G3215">
        <v>5</v>
      </c>
      <c r="H3215">
        <v>2</v>
      </c>
      <c r="I3215" s="13">
        <v>45716</v>
      </c>
      <c r="J3215" s="13" t="str">
        <f>TEXT(Table1[[#This Row],[Date]],"[$-en-US]mmm yyyy")</f>
        <v>Feb 2025</v>
      </c>
      <c r="K3215" s="13" t="str">
        <f>TEXT(Table1[[#This Row],[Date]],"[$-en-US]ddd")</f>
        <v>Fri</v>
      </c>
    </row>
    <row r="3216" spans="1:11" x14ac:dyDescent="0.25">
      <c r="A3216">
        <v>8</v>
      </c>
      <c r="B3216" t="s">
        <v>9</v>
      </c>
      <c r="C3216">
        <v>21.06</v>
      </c>
      <c r="D3216" t="s">
        <v>24</v>
      </c>
      <c r="E3216" t="s">
        <v>11</v>
      </c>
      <c r="F3216" t="s">
        <v>39</v>
      </c>
      <c r="G3216">
        <v>5</v>
      </c>
      <c r="H3216">
        <v>2</v>
      </c>
      <c r="I3216" s="13">
        <v>45716</v>
      </c>
      <c r="J3216" s="13" t="str">
        <f>TEXT(Table1[[#This Row],[Date]],"[$-en-US]mmm yyyy")</f>
        <v>Feb 2025</v>
      </c>
      <c r="K3216" s="13" t="str">
        <f>TEXT(Table1[[#This Row],[Date]],"[$-en-US]ddd")</f>
        <v>Fri</v>
      </c>
    </row>
    <row r="3217" spans="1:11" x14ac:dyDescent="0.25">
      <c r="A3217">
        <v>9</v>
      </c>
      <c r="B3217" t="s">
        <v>9</v>
      </c>
      <c r="C3217">
        <v>30.86</v>
      </c>
      <c r="D3217" t="s">
        <v>17</v>
      </c>
      <c r="E3217" t="s">
        <v>11</v>
      </c>
      <c r="F3217" t="s">
        <v>39</v>
      </c>
      <c r="G3217">
        <v>5</v>
      </c>
      <c r="H3217">
        <v>2</v>
      </c>
      <c r="I3217" s="13">
        <v>45716</v>
      </c>
      <c r="J3217" s="13" t="str">
        <f>TEXT(Table1[[#This Row],[Date]],"[$-en-US]mmm yyyy")</f>
        <v>Feb 2025</v>
      </c>
      <c r="K3217" s="13" t="str">
        <f>TEXT(Table1[[#This Row],[Date]],"[$-en-US]ddd")</f>
        <v>Fri</v>
      </c>
    </row>
    <row r="3218" spans="1:11" x14ac:dyDescent="0.25">
      <c r="A3218">
        <v>14</v>
      </c>
      <c r="B3218" t="s">
        <v>9</v>
      </c>
      <c r="C3218">
        <v>25.96</v>
      </c>
      <c r="D3218" t="s">
        <v>16</v>
      </c>
      <c r="E3218" t="s">
        <v>15</v>
      </c>
      <c r="F3218" t="s">
        <v>39</v>
      </c>
      <c r="G3218">
        <v>5</v>
      </c>
      <c r="H3218">
        <v>2</v>
      </c>
      <c r="I3218" s="13">
        <v>45716</v>
      </c>
      <c r="J3218" s="13" t="str">
        <f>TEXT(Table1[[#This Row],[Date]],"[$-en-US]mmm yyyy")</f>
        <v>Feb 2025</v>
      </c>
      <c r="K3218" s="13" t="str">
        <f>TEXT(Table1[[#This Row],[Date]],"[$-en-US]ddd")</f>
        <v>Fri</v>
      </c>
    </row>
    <row r="3219" spans="1:11" x14ac:dyDescent="0.25">
      <c r="A3219">
        <v>14</v>
      </c>
      <c r="B3219" t="s">
        <v>9</v>
      </c>
      <c r="C3219">
        <v>25.96</v>
      </c>
      <c r="D3219" t="s">
        <v>16</v>
      </c>
      <c r="E3219" t="s">
        <v>15</v>
      </c>
      <c r="F3219" t="s">
        <v>39</v>
      </c>
      <c r="G3219">
        <v>5</v>
      </c>
      <c r="H3219">
        <v>2</v>
      </c>
      <c r="I3219" s="13">
        <v>45716</v>
      </c>
      <c r="J3219" s="13" t="str">
        <f>TEXT(Table1[[#This Row],[Date]],"[$-en-US]mmm yyyy")</f>
        <v>Feb 2025</v>
      </c>
      <c r="K3219" s="13" t="str">
        <f>TEXT(Table1[[#This Row],[Date]],"[$-en-US]ddd")</f>
        <v>Fri</v>
      </c>
    </row>
    <row r="3220" spans="1:11" x14ac:dyDescent="0.25">
      <c r="A3220">
        <v>14</v>
      </c>
      <c r="B3220" t="s">
        <v>9</v>
      </c>
      <c r="C3220">
        <v>25.96</v>
      </c>
      <c r="D3220" t="s">
        <v>16</v>
      </c>
      <c r="E3220" t="s">
        <v>15</v>
      </c>
      <c r="F3220" t="s">
        <v>39</v>
      </c>
      <c r="G3220">
        <v>5</v>
      </c>
      <c r="H3220">
        <v>2</v>
      </c>
      <c r="I3220" s="13">
        <v>45716</v>
      </c>
      <c r="J3220" s="13" t="str">
        <f>TEXT(Table1[[#This Row],[Date]],"[$-en-US]mmm yyyy")</f>
        <v>Feb 2025</v>
      </c>
      <c r="K3220" s="13" t="str">
        <f>TEXT(Table1[[#This Row],[Date]],"[$-en-US]ddd")</f>
        <v>Fri</v>
      </c>
    </row>
    <row r="3221" spans="1:11" x14ac:dyDescent="0.25">
      <c r="A3221">
        <v>14</v>
      </c>
      <c r="B3221" t="s">
        <v>9</v>
      </c>
      <c r="C3221">
        <v>35.76</v>
      </c>
      <c r="D3221" t="s">
        <v>10</v>
      </c>
      <c r="E3221" t="s">
        <v>15</v>
      </c>
      <c r="F3221" t="s">
        <v>39</v>
      </c>
      <c r="G3221">
        <v>5</v>
      </c>
      <c r="H3221">
        <v>2</v>
      </c>
      <c r="I3221" s="13">
        <v>45716</v>
      </c>
      <c r="J3221" s="13" t="str">
        <f>TEXT(Table1[[#This Row],[Date]],"[$-en-US]mmm yyyy")</f>
        <v>Feb 2025</v>
      </c>
      <c r="K3221" s="13" t="str">
        <f>TEXT(Table1[[#This Row],[Date]],"[$-en-US]ddd")</f>
        <v>Fri</v>
      </c>
    </row>
    <row r="3222" spans="1:11" x14ac:dyDescent="0.25">
      <c r="A3222">
        <v>15</v>
      </c>
      <c r="B3222" t="s">
        <v>9</v>
      </c>
      <c r="C3222">
        <v>25.96</v>
      </c>
      <c r="D3222" t="s">
        <v>16</v>
      </c>
      <c r="E3222" t="s">
        <v>15</v>
      </c>
      <c r="F3222" t="s">
        <v>39</v>
      </c>
      <c r="G3222">
        <v>5</v>
      </c>
      <c r="H3222">
        <v>2</v>
      </c>
      <c r="I3222" s="13">
        <v>45716</v>
      </c>
      <c r="J3222" s="13" t="str">
        <f>TEXT(Table1[[#This Row],[Date]],"[$-en-US]mmm yyyy")</f>
        <v>Feb 2025</v>
      </c>
      <c r="K3222" s="13" t="str">
        <f>TEXT(Table1[[#This Row],[Date]],"[$-en-US]ddd")</f>
        <v>Fri</v>
      </c>
    </row>
    <row r="3223" spans="1:11" x14ac:dyDescent="0.25">
      <c r="A3223">
        <v>16</v>
      </c>
      <c r="B3223" t="s">
        <v>9</v>
      </c>
      <c r="C3223">
        <v>35.76</v>
      </c>
      <c r="D3223" t="s">
        <v>19</v>
      </c>
      <c r="E3223" t="s">
        <v>15</v>
      </c>
      <c r="F3223" t="s">
        <v>39</v>
      </c>
      <c r="G3223">
        <v>5</v>
      </c>
      <c r="H3223">
        <v>2</v>
      </c>
      <c r="I3223" s="13">
        <v>45716</v>
      </c>
      <c r="J3223" s="13" t="str">
        <f>TEXT(Table1[[#This Row],[Date]],"[$-en-US]mmm yyyy")</f>
        <v>Feb 2025</v>
      </c>
      <c r="K3223" s="13" t="str">
        <f>TEXT(Table1[[#This Row],[Date]],"[$-en-US]ddd")</f>
        <v>Fri</v>
      </c>
    </row>
    <row r="3224" spans="1:11" x14ac:dyDescent="0.25">
      <c r="A3224">
        <v>16</v>
      </c>
      <c r="B3224" t="s">
        <v>9</v>
      </c>
      <c r="C3224">
        <v>25.96</v>
      </c>
      <c r="D3224" t="s">
        <v>16</v>
      </c>
      <c r="E3224" t="s">
        <v>15</v>
      </c>
      <c r="F3224" t="s">
        <v>39</v>
      </c>
      <c r="G3224">
        <v>5</v>
      </c>
      <c r="H3224">
        <v>2</v>
      </c>
      <c r="I3224" s="13">
        <v>45716</v>
      </c>
      <c r="J3224" s="13" t="str">
        <f>TEXT(Table1[[#This Row],[Date]],"[$-en-US]mmm yyyy")</f>
        <v>Feb 2025</v>
      </c>
      <c r="K3224" s="13" t="str">
        <f>TEXT(Table1[[#This Row],[Date]],"[$-en-US]ddd")</f>
        <v>Fri</v>
      </c>
    </row>
    <row r="3225" spans="1:11" x14ac:dyDescent="0.25">
      <c r="A3225">
        <v>17</v>
      </c>
      <c r="B3225" t="s">
        <v>9</v>
      </c>
      <c r="C3225">
        <v>35.76</v>
      </c>
      <c r="D3225" t="s">
        <v>10</v>
      </c>
      <c r="E3225" t="s">
        <v>18</v>
      </c>
      <c r="F3225" t="s">
        <v>39</v>
      </c>
      <c r="G3225">
        <v>5</v>
      </c>
      <c r="H3225">
        <v>2</v>
      </c>
      <c r="I3225" s="13">
        <v>45716</v>
      </c>
      <c r="J3225" s="13" t="str">
        <f>TEXT(Table1[[#This Row],[Date]],"[$-en-US]mmm yyyy")</f>
        <v>Feb 2025</v>
      </c>
      <c r="K3225" s="13" t="str">
        <f>TEXT(Table1[[#This Row],[Date]],"[$-en-US]ddd")</f>
        <v>Fri</v>
      </c>
    </row>
    <row r="3226" spans="1:11" x14ac:dyDescent="0.25">
      <c r="A3226">
        <v>17</v>
      </c>
      <c r="B3226" t="s">
        <v>9</v>
      </c>
      <c r="C3226">
        <v>30.86</v>
      </c>
      <c r="D3226" t="s">
        <v>17</v>
      </c>
      <c r="E3226" t="s">
        <v>18</v>
      </c>
      <c r="F3226" t="s">
        <v>39</v>
      </c>
      <c r="G3226">
        <v>5</v>
      </c>
      <c r="H3226">
        <v>2</v>
      </c>
      <c r="I3226" s="13">
        <v>45716</v>
      </c>
      <c r="J3226" s="13" t="str">
        <f>TEXT(Table1[[#This Row],[Date]],"[$-en-US]mmm yyyy")</f>
        <v>Feb 2025</v>
      </c>
      <c r="K3226" s="13" t="str">
        <f>TEXT(Table1[[#This Row],[Date]],"[$-en-US]ddd")</f>
        <v>Fri</v>
      </c>
    </row>
    <row r="3227" spans="1:11" x14ac:dyDescent="0.25">
      <c r="A3227">
        <v>17</v>
      </c>
      <c r="B3227" t="s">
        <v>9</v>
      </c>
      <c r="C3227">
        <v>25.96</v>
      </c>
      <c r="D3227" t="s">
        <v>16</v>
      </c>
      <c r="E3227" t="s">
        <v>18</v>
      </c>
      <c r="F3227" t="s">
        <v>39</v>
      </c>
      <c r="G3227">
        <v>5</v>
      </c>
      <c r="H3227">
        <v>2</v>
      </c>
      <c r="I3227" s="13">
        <v>45716</v>
      </c>
      <c r="J3227" s="13" t="str">
        <f>TEXT(Table1[[#This Row],[Date]],"[$-en-US]mmm yyyy")</f>
        <v>Feb 2025</v>
      </c>
      <c r="K3227" s="13" t="str">
        <f>TEXT(Table1[[#This Row],[Date]],"[$-en-US]ddd")</f>
        <v>Fri</v>
      </c>
    </row>
    <row r="3228" spans="1:11" x14ac:dyDescent="0.25">
      <c r="A3228">
        <v>17</v>
      </c>
      <c r="B3228" t="s">
        <v>9</v>
      </c>
      <c r="C3228">
        <v>25.96</v>
      </c>
      <c r="D3228" t="s">
        <v>16</v>
      </c>
      <c r="E3228" t="s">
        <v>18</v>
      </c>
      <c r="F3228" t="s">
        <v>39</v>
      </c>
      <c r="G3228">
        <v>5</v>
      </c>
      <c r="H3228">
        <v>2</v>
      </c>
      <c r="I3228" s="13">
        <v>45716</v>
      </c>
      <c r="J3228" s="13" t="str">
        <f>TEXT(Table1[[#This Row],[Date]],"[$-en-US]mmm yyyy")</f>
        <v>Feb 2025</v>
      </c>
      <c r="K3228" s="13" t="str">
        <f>TEXT(Table1[[#This Row],[Date]],"[$-en-US]ddd")</f>
        <v>Fri</v>
      </c>
    </row>
    <row r="3229" spans="1:11" x14ac:dyDescent="0.25">
      <c r="A3229">
        <v>18</v>
      </c>
      <c r="B3229" t="s">
        <v>9</v>
      </c>
      <c r="C3229">
        <v>35.76</v>
      </c>
      <c r="D3229" t="s">
        <v>10</v>
      </c>
      <c r="E3229" t="s">
        <v>18</v>
      </c>
      <c r="F3229" t="s">
        <v>39</v>
      </c>
      <c r="G3229">
        <v>5</v>
      </c>
      <c r="H3229">
        <v>2</v>
      </c>
      <c r="I3229" s="13">
        <v>45716</v>
      </c>
      <c r="J3229" s="13" t="str">
        <f>TEXT(Table1[[#This Row],[Date]],"[$-en-US]mmm yyyy")</f>
        <v>Feb 2025</v>
      </c>
      <c r="K3229" s="13" t="str">
        <f>TEXT(Table1[[#This Row],[Date]],"[$-en-US]ddd")</f>
        <v>Fri</v>
      </c>
    </row>
    <row r="3230" spans="1:11" x14ac:dyDescent="0.25">
      <c r="A3230">
        <v>10</v>
      </c>
      <c r="B3230" t="s">
        <v>9</v>
      </c>
      <c r="C3230">
        <v>35.76</v>
      </c>
      <c r="D3230" t="s">
        <v>27</v>
      </c>
      <c r="E3230" t="s">
        <v>11</v>
      </c>
      <c r="F3230" t="s">
        <v>13</v>
      </c>
      <c r="G3230">
        <v>6</v>
      </c>
      <c r="H3230">
        <v>3</v>
      </c>
      <c r="I3230" s="13">
        <v>45717</v>
      </c>
      <c r="J3230" s="13" t="str">
        <f>TEXT(Table1[[#This Row],[Date]],"[$-en-US]mmm yyyy")</f>
        <v>Mar 2025</v>
      </c>
      <c r="K3230" s="13" t="str">
        <f>TEXT(Table1[[#This Row],[Date]],"[$-en-US]ddd")</f>
        <v>Sat</v>
      </c>
    </row>
    <row r="3231" spans="1:11" x14ac:dyDescent="0.25">
      <c r="A3231">
        <v>11</v>
      </c>
      <c r="B3231" t="s">
        <v>9</v>
      </c>
      <c r="C3231">
        <v>25.96</v>
      </c>
      <c r="D3231" t="s">
        <v>16</v>
      </c>
      <c r="E3231" t="s">
        <v>11</v>
      </c>
      <c r="F3231" t="s">
        <v>13</v>
      </c>
      <c r="G3231">
        <v>6</v>
      </c>
      <c r="H3231">
        <v>3</v>
      </c>
      <c r="I3231" s="13">
        <v>45717</v>
      </c>
      <c r="J3231" s="13" t="str">
        <f>TEXT(Table1[[#This Row],[Date]],"[$-en-US]mmm yyyy")</f>
        <v>Mar 2025</v>
      </c>
      <c r="K3231" s="13" t="str">
        <f>TEXT(Table1[[#This Row],[Date]],"[$-en-US]ddd")</f>
        <v>Sat</v>
      </c>
    </row>
    <row r="3232" spans="1:11" x14ac:dyDescent="0.25">
      <c r="A3232">
        <v>11</v>
      </c>
      <c r="B3232" t="s">
        <v>9</v>
      </c>
      <c r="C3232">
        <v>25.96</v>
      </c>
      <c r="D3232" t="s">
        <v>16</v>
      </c>
      <c r="E3232" t="s">
        <v>11</v>
      </c>
      <c r="F3232" t="s">
        <v>13</v>
      </c>
      <c r="G3232">
        <v>6</v>
      </c>
      <c r="H3232">
        <v>3</v>
      </c>
      <c r="I3232" s="13">
        <v>45717</v>
      </c>
      <c r="J3232" s="13" t="str">
        <f>TEXT(Table1[[#This Row],[Date]],"[$-en-US]mmm yyyy")</f>
        <v>Mar 2025</v>
      </c>
      <c r="K3232" s="13" t="str">
        <f>TEXT(Table1[[#This Row],[Date]],"[$-en-US]ddd")</f>
        <v>Sat</v>
      </c>
    </row>
    <row r="3233" spans="1:11" x14ac:dyDescent="0.25">
      <c r="A3233">
        <v>14</v>
      </c>
      <c r="B3233" t="s">
        <v>9</v>
      </c>
      <c r="C3233">
        <v>35.76</v>
      </c>
      <c r="D3233" t="s">
        <v>10</v>
      </c>
      <c r="E3233" t="s">
        <v>15</v>
      </c>
      <c r="F3233" t="s">
        <v>13</v>
      </c>
      <c r="G3233">
        <v>6</v>
      </c>
      <c r="H3233">
        <v>3</v>
      </c>
      <c r="I3233" s="13">
        <v>45717</v>
      </c>
      <c r="J3233" s="13" t="str">
        <f>TEXT(Table1[[#This Row],[Date]],"[$-en-US]mmm yyyy")</f>
        <v>Mar 2025</v>
      </c>
      <c r="K3233" s="13" t="str">
        <f>TEXT(Table1[[#This Row],[Date]],"[$-en-US]ddd")</f>
        <v>Sat</v>
      </c>
    </row>
    <row r="3234" spans="1:11" x14ac:dyDescent="0.25">
      <c r="A3234">
        <v>15</v>
      </c>
      <c r="B3234" t="s">
        <v>9</v>
      </c>
      <c r="C3234">
        <v>25.96</v>
      </c>
      <c r="D3234" t="s">
        <v>16</v>
      </c>
      <c r="E3234" t="s">
        <v>15</v>
      </c>
      <c r="F3234" t="s">
        <v>13</v>
      </c>
      <c r="G3234">
        <v>6</v>
      </c>
      <c r="H3234">
        <v>3</v>
      </c>
      <c r="I3234" s="13">
        <v>45717</v>
      </c>
      <c r="J3234" s="13" t="str">
        <f>TEXT(Table1[[#This Row],[Date]],"[$-en-US]mmm yyyy")</f>
        <v>Mar 2025</v>
      </c>
      <c r="K3234" s="13" t="str">
        <f>TEXT(Table1[[#This Row],[Date]],"[$-en-US]ddd")</f>
        <v>Sat</v>
      </c>
    </row>
    <row r="3235" spans="1:11" x14ac:dyDescent="0.25">
      <c r="A3235">
        <v>15</v>
      </c>
      <c r="B3235" t="s">
        <v>9</v>
      </c>
      <c r="C3235">
        <v>30.86</v>
      </c>
      <c r="D3235" t="s">
        <v>17</v>
      </c>
      <c r="E3235" t="s">
        <v>15</v>
      </c>
      <c r="F3235" t="s">
        <v>13</v>
      </c>
      <c r="G3235">
        <v>6</v>
      </c>
      <c r="H3235">
        <v>3</v>
      </c>
      <c r="I3235" s="13">
        <v>45717</v>
      </c>
      <c r="J3235" s="13" t="str">
        <f>TEXT(Table1[[#This Row],[Date]],"[$-en-US]mmm yyyy")</f>
        <v>Mar 2025</v>
      </c>
      <c r="K3235" s="13" t="str">
        <f>TEXT(Table1[[#This Row],[Date]],"[$-en-US]ddd")</f>
        <v>Sat</v>
      </c>
    </row>
    <row r="3236" spans="1:11" x14ac:dyDescent="0.25">
      <c r="A3236">
        <v>16</v>
      </c>
      <c r="B3236" t="s">
        <v>9</v>
      </c>
      <c r="C3236">
        <v>35.76</v>
      </c>
      <c r="D3236" t="s">
        <v>27</v>
      </c>
      <c r="E3236" t="s">
        <v>15</v>
      </c>
      <c r="F3236" t="s">
        <v>13</v>
      </c>
      <c r="G3236">
        <v>6</v>
      </c>
      <c r="H3236">
        <v>3</v>
      </c>
      <c r="I3236" s="13">
        <v>45717</v>
      </c>
      <c r="J3236" s="13" t="str">
        <f>TEXT(Table1[[#This Row],[Date]],"[$-en-US]mmm yyyy")</f>
        <v>Mar 2025</v>
      </c>
      <c r="K3236" s="13" t="str">
        <f>TEXT(Table1[[#This Row],[Date]],"[$-en-US]ddd")</f>
        <v>Sat</v>
      </c>
    </row>
    <row r="3237" spans="1:11" x14ac:dyDescent="0.25">
      <c r="A3237">
        <v>17</v>
      </c>
      <c r="B3237" t="s">
        <v>9</v>
      </c>
      <c r="C3237">
        <v>25.96</v>
      </c>
      <c r="D3237" t="s">
        <v>16</v>
      </c>
      <c r="E3237" t="s">
        <v>18</v>
      </c>
      <c r="F3237" t="s">
        <v>13</v>
      </c>
      <c r="G3237">
        <v>6</v>
      </c>
      <c r="H3237">
        <v>3</v>
      </c>
      <c r="I3237" s="13">
        <v>45717</v>
      </c>
      <c r="J3237" s="13" t="str">
        <f>TEXT(Table1[[#This Row],[Date]],"[$-en-US]mmm yyyy")</f>
        <v>Mar 2025</v>
      </c>
      <c r="K3237" s="13" t="str">
        <f>TEXT(Table1[[#This Row],[Date]],"[$-en-US]ddd")</f>
        <v>Sat</v>
      </c>
    </row>
    <row r="3238" spans="1:11" x14ac:dyDescent="0.25">
      <c r="A3238">
        <v>9</v>
      </c>
      <c r="B3238" t="s">
        <v>9</v>
      </c>
      <c r="C3238">
        <v>35.76</v>
      </c>
      <c r="D3238" t="s">
        <v>19</v>
      </c>
      <c r="E3238" t="s">
        <v>11</v>
      </c>
      <c r="F3238" t="s">
        <v>13</v>
      </c>
      <c r="G3238">
        <v>7</v>
      </c>
      <c r="H3238">
        <v>3</v>
      </c>
      <c r="I3238" s="13">
        <v>45718</v>
      </c>
      <c r="J3238" s="13" t="str">
        <f>TEXT(Table1[[#This Row],[Date]],"[$-en-US]mmm yyyy")</f>
        <v>Mar 2025</v>
      </c>
      <c r="K3238" s="13" t="str">
        <f>TEXT(Table1[[#This Row],[Date]],"[$-en-US]ddd")</f>
        <v>Sun</v>
      </c>
    </row>
    <row r="3239" spans="1:11" x14ac:dyDescent="0.25">
      <c r="A3239">
        <v>12</v>
      </c>
      <c r="B3239" t="s">
        <v>9</v>
      </c>
      <c r="C3239">
        <v>35.76</v>
      </c>
      <c r="D3239" t="s">
        <v>10</v>
      </c>
      <c r="E3239" t="s">
        <v>15</v>
      </c>
      <c r="F3239" t="s">
        <v>13</v>
      </c>
      <c r="G3239">
        <v>7</v>
      </c>
      <c r="H3239">
        <v>3</v>
      </c>
      <c r="I3239" s="13">
        <v>45718</v>
      </c>
      <c r="J3239" s="13" t="str">
        <f>TEXT(Table1[[#This Row],[Date]],"[$-en-US]mmm yyyy")</f>
        <v>Mar 2025</v>
      </c>
      <c r="K3239" s="13" t="str">
        <f>TEXT(Table1[[#This Row],[Date]],"[$-en-US]ddd")</f>
        <v>Sun</v>
      </c>
    </row>
    <row r="3240" spans="1:11" x14ac:dyDescent="0.25">
      <c r="A3240">
        <v>13</v>
      </c>
      <c r="B3240" t="s">
        <v>9</v>
      </c>
      <c r="C3240">
        <v>30.86</v>
      </c>
      <c r="D3240" t="s">
        <v>17</v>
      </c>
      <c r="E3240" t="s">
        <v>15</v>
      </c>
      <c r="F3240" t="s">
        <v>13</v>
      </c>
      <c r="G3240">
        <v>7</v>
      </c>
      <c r="H3240">
        <v>3</v>
      </c>
      <c r="I3240" s="13">
        <v>45718</v>
      </c>
      <c r="J3240" s="13" t="str">
        <f>TEXT(Table1[[#This Row],[Date]],"[$-en-US]mmm yyyy")</f>
        <v>Mar 2025</v>
      </c>
      <c r="K3240" s="13" t="str">
        <f>TEXT(Table1[[#This Row],[Date]],"[$-en-US]ddd")</f>
        <v>Sun</v>
      </c>
    </row>
    <row r="3241" spans="1:11" x14ac:dyDescent="0.25">
      <c r="A3241">
        <v>15</v>
      </c>
      <c r="B3241" t="s">
        <v>9</v>
      </c>
      <c r="C3241">
        <v>30.86</v>
      </c>
      <c r="D3241" t="s">
        <v>17</v>
      </c>
      <c r="E3241" t="s">
        <v>15</v>
      </c>
      <c r="F3241" t="s">
        <v>13</v>
      </c>
      <c r="G3241">
        <v>7</v>
      </c>
      <c r="H3241">
        <v>3</v>
      </c>
      <c r="I3241" s="13">
        <v>45718</v>
      </c>
      <c r="J3241" s="13" t="str">
        <f>TEXT(Table1[[#This Row],[Date]],"[$-en-US]mmm yyyy")</f>
        <v>Mar 2025</v>
      </c>
      <c r="K3241" s="13" t="str">
        <f>TEXT(Table1[[#This Row],[Date]],"[$-en-US]ddd")</f>
        <v>Sun</v>
      </c>
    </row>
    <row r="3242" spans="1:11" x14ac:dyDescent="0.25">
      <c r="A3242">
        <v>15</v>
      </c>
      <c r="B3242" t="s">
        <v>9</v>
      </c>
      <c r="C3242">
        <v>25.96</v>
      </c>
      <c r="D3242" t="s">
        <v>16</v>
      </c>
      <c r="E3242" t="s">
        <v>15</v>
      </c>
      <c r="F3242" t="s">
        <v>13</v>
      </c>
      <c r="G3242">
        <v>7</v>
      </c>
      <c r="H3242">
        <v>3</v>
      </c>
      <c r="I3242" s="13">
        <v>45718</v>
      </c>
      <c r="J3242" s="13" t="str">
        <f>TEXT(Table1[[#This Row],[Date]],"[$-en-US]mmm yyyy")</f>
        <v>Mar 2025</v>
      </c>
      <c r="K3242" s="13" t="str">
        <f>TEXT(Table1[[#This Row],[Date]],"[$-en-US]ddd")</f>
        <v>Sun</v>
      </c>
    </row>
    <row r="3243" spans="1:11" x14ac:dyDescent="0.25">
      <c r="A3243">
        <v>15</v>
      </c>
      <c r="B3243" t="s">
        <v>9</v>
      </c>
      <c r="C3243">
        <v>25.96</v>
      </c>
      <c r="D3243" t="s">
        <v>16</v>
      </c>
      <c r="E3243" t="s">
        <v>15</v>
      </c>
      <c r="F3243" t="s">
        <v>13</v>
      </c>
      <c r="G3243">
        <v>7</v>
      </c>
      <c r="H3243">
        <v>3</v>
      </c>
      <c r="I3243" s="13">
        <v>45718</v>
      </c>
      <c r="J3243" s="13" t="str">
        <f>TEXT(Table1[[#This Row],[Date]],"[$-en-US]mmm yyyy")</f>
        <v>Mar 2025</v>
      </c>
      <c r="K3243" s="13" t="str">
        <f>TEXT(Table1[[#This Row],[Date]],"[$-en-US]ddd")</f>
        <v>Sun</v>
      </c>
    </row>
    <row r="3244" spans="1:11" x14ac:dyDescent="0.25">
      <c r="A3244">
        <v>8</v>
      </c>
      <c r="B3244" t="s">
        <v>9</v>
      </c>
      <c r="C3244">
        <v>35.76</v>
      </c>
      <c r="D3244" t="s">
        <v>27</v>
      </c>
      <c r="E3244" t="s">
        <v>11</v>
      </c>
      <c r="F3244" t="s">
        <v>13</v>
      </c>
      <c r="G3244">
        <v>1</v>
      </c>
      <c r="H3244">
        <v>3</v>
      </c>
      <c r="I3244" s="13">
        <v>45719</v>
      </c>
      <c r="J3244" s="13" t="str">
        <f>TEXT(Table1[[#This Row],[Date]],"[$-en-US]mmm yyyy")</f>
        <v>Mar 2025</v>
      </c>
      <c r="K3244" s="13" t="str">
        <f>TEXT(Table1[[#This Row],[Date]],"[$-en-US]ddd")</f>
        <v>Mon</v>
      </c>
    </row>
    <row r="3245" spans="1:11" x14ac:dyDescent="0.25">
      <c r="A3245">
        <v>9</v>
      </c>
      <c r="B3245" t="s">
        <v>9</v>
      </c>
      <c r="C3245">
        <v>35.76</v>
      </c>
      <c r="D3245" t="s">
        <v>19</v>
      </c>
      <c r="E3245" t="s">
        <v>11</v>
      </c>
      <c r="F3245" t="s">
        <v>13</v>
      </c>
      <c r="G3245">
        <v>1</v>
      </c>
      <c r="H3245">
        <v>3</v>
      </c>
      <c r="I3245" s="13">
        <v>45719</v>
      </c>
      <c r="J3245" s="13" t="str">
        <f>TEXT(Table1[[#This Row],[Date]],"[$-en-US]mmm yyyy")</f>
        <v>Mar 2025</v>
      </c>
      <c r="K3245" s="13" t="str">
        <f>TEXT(Table1[[#This Row],[Date]],"[$-en-US]ddd")</f>
        <v>Mon</v>
      </c>
    </row>
    <row r="3246" spans="1:11" x14ac:dyDescent="0.25">
      <c r="A3246">
        <v>9</v>
      </c>
      <c r="B3246" t="s">
        <v>9</v>
      </c>
      <c r="C3246">
        <v>35.76</v>
      </c>
      <c r="D3246" t="s">
        <v>10</v>
      </c>
      <c r="E3246" t="s">
        <v>11</v>
      </c>
      <c r="F3246" t="s">
        <v>13</v>
      </c>
      <c r="G3246">
        <v>1</v>
      </c>
      <c r="H3246">
        <v>3</v>
      </c>
      <c r="I3246" s="13">
        <v>45719</v>
      </c>
      <c r="J3246" s="13" t="str">
        <f>TEXT(Table1[[#This Row],[Date]],"[$-en-US]mmm yyyy")</f>
        <v>Mar 2025</v>
      </c>
      <c r="K3246" s="13" t="str">
        <f>TEXT(Table1[[#This Row],[Date]],"[$-en-US]ddd")</f>
        <v>Mon</v>
      </c>
    </row>
    <row r="3247" spans="1:11" x14ac:dyDescent="0.25">
      <c r="A3247">
        <v>10</v>
      </c>
      <c r="B3247" t="s">
        <v>9</v>
      </c>
      <c r="C3247">
        <v>35.76</v>
      </c>
      <c r="D3247" t="s">
        <v>14</v>
      </c>
      <c r="E3247" t="s">
        <v>11</v>
      </c>
      <c r="F3247" t="s">
        <v>13</v>
      </c>
      <c r="G3247">
        <v>1</v>
      </c>
      <c r="H3247">
        <v>3</v>
      </c>
      <c r="I3247" s="13">
        <v>45719</v>
      </c>
      <c r="J3247" s="13" t="str">
        <f>TEXT(Table1[[#This Row],[Date]],"[$-en-US]mmm yyyy")</f>
        <v>Mar 2025</v>
      </c>
      <c r="K3247" s="13" t="str">
        <f>TEXT(Table1[[#This Row],[Date]],"[$-en-US]ddd")</f>
        <v>Mon</v>
      </c>
    </row>
    <row r="3248" spans="1:11" x14ac:dyDescent="0.25">
      <c r="A3248">
        <v>10</v>
      </c>
      <c r="B3248" t="s">
        <v>9</v>
      </c>
      <c r="C3248">
        <v>35.76</v>
      </c>
      <c r="D3248" t="s">
        <v>14</v>
      </c>
      <c r="E3248" t="s">
        <v>11</v>
      </c>
      <c r="F3248" t="s">
        <v>13</v>
      </c>
      <c r="G3248">
        <v>1</v>
      </c>
      <c r="H3248">
        <v>3</v>
      </c>
      <c r="I3248" s="13">
        <v>45719</v>
      </c>
      <c r="J3248" s="13" t="str">
        <f>TEXT(Table1[[#This Row],[Date]],"[$-en-US]mmm yyyy")</f>
        <v>Mar 2025</v>
      </c>
      <c r="K3248" s="13" t="str">
        <f>TEXT(Table1[[#This Row],[Date]],"[$-en-US]ddd")</f>
        <v>Mon</v>
      </c>
    </row>
    <row r="3249" spans="1:11" x14ac:dyDescent="0.25">
      <c r="A3249">
        <v>12</v>
      </c>
      <c r="B3249" t="s">
        <v>9</v>
      </c>
      <c r="C3249">
        <v>35.76</v>
      </c>
      <c r="D3249" t="s">
        <v>27</v>
      </c>
      <c r="E3249" t="s">
        <v>15</v>
      </c>
      <c r="F3249" t="s">
        <v>13</v>
      </c>
      <c r="G3249">
        <v>1</v>
      </c>
      <c r="H3249">
        <v>3</v>
      </c>
      <c r="I3249" s="13">
        <v>45719</v>
      </c>
      <c r="J3249" s="13" t="str">
        <f>TEXT(Table1[[#This Row],[Date]],"[$-en-US]mmm yyyy")</f>
        <v>Mar 2025</v>
      </c>
      <c r="K3249" s="13" t="str">
        <f>TEXT(Table1[[#This Row],[Date]],"[$-en-US]ddd")</f>
        <v>Mon</v>
      </c>
    </row>
    <row r="3250" spans="1:11" x14ac:dyDescent="0.25">
      <c r="A3250">
        <v>15</v>
      </c>
      <c r="B3250" t="s">
        <v>9</v>
      </c>
      <c r="C3250">
        <v>35.76</v>
      </c>
      <c r="D3250" t="s">
        <v>10</v>
      </c>
      <c r="E3250" t="s">
        <v>15</v>
      </c>
      <c r="F3250" t="s">
        <v>13</v>
      </c>
      <c r="G3250">
        <v>1</v>
      </c>
      <c r="H3250">
        <v>3</v>
      </c>
      <c r="I3250" s="13">
        <v>45719</v>
      </c>
      <c r="J3250" s="13" t="str">
        <f>TEXT(Table1[[#This Row],[Date]],"[$-en-US]mmm yyyy")</f>
        <v>Mar 2025</v>
      </c>
      <c r="K3250" s="13" t="str">
        <f>TEXT(Table1[[#This Row],[Date]],"[$-en-US]ddd")</f>
        <v>Mon</v>
      </c>
    </row>
    <row r="3251" spans="1:11" x14ac:dyDescent="0.25">
      <c r="A3251">
        <v>15</v>
      </c>
      <c r="B3251" t="s">
        <v>9</v>
      </c>
      <c r="C3251">
        <v>25.96</v>
      </c>
      <c r="D3251" t="s">
        <v>16</v>
      </c>
      <c r="E3251" t="s">
        <v>15</v>
      </c>
      <c r="F3251" t="s">
        <v>13</v>
      </c>
      <c r="G3251">
        <v>1</v>
      </c>
      <c r="H3251">
        <v>3</v>
      </c>
      <c r="I3251" s="13">
        <v>45719</v>
      </c>
      <c r="J3251" s="13" t="str">
        <f>TEXT(Table1[[#This Row],[Date]],"[$-en-US]mmm yyyy")</f>
        <v>Mar 2025</v>
      </c>
      <c r="K3251" s="13" t="str">
        <f>TEXT(Table1[[#This Row],[Date]],"[$-en-US]ddd")</f>
        <v>Mon</v>
      </c>
    </row>
    <row r="3252" spans="1:11" x14ac:dyDescent="0.25">
      <c r="A3252">
        <v>16</v>
      </c>
      <c r="B3252" t="s">
        <v>9</v>
      </c>
      <c r="C3252">
        <v>35.76</v>
      </c>
      <c r="D3252" t="s">
        <v>19</v>
      </c>
      <c r="E3252" t="s">
        <v>15</v>
      </c>
      <c r="F3252" t="s">
        <v>13</v>
      </c>
      <c r="G3252">
        <v>1</v>
      </c>
      <c r="H3252">
        <v>3</v>
      </c>
      <c r="I3252" s="13">
        <v>45719</v>
      </c>
      <c r="J3252" s="13" t="str">
        <f>TEXT(Table1[[#This Row],[Date]],"[$-en-US]mmm yyyy")</f>
        <v>Mar 2025</v>
      </c>
      <c r="K3252" s="13" t="str">
        <f>TEXT(Table1[[#This Row],[Date]],"[$-en-US]ddd")</f>
        <v>Mon</v>
      </c>
    </row>
    <row r="3253" spans="1:11" x14ac:dyDescent="0.25">
      <c r="A3253">
        <v>16</v>
      </c>
      <c r="B3253" t="s">
        <v>9</v>
      </c>
      <c r="C3253">
        <v>35.76</v>
      </c>
      <c r="D3253" t="s">
        <v>10</v>
      </c>
      <c r="E3253" t="s">
        <v>15</v>
      </c>
      <c r="F3253" t="s">
        <v>13</v>
      </c>
      <c r="G3253">
        <v>1</v>
      </c>
      <c r="H3253">
        <v>3</v>
      </c>
      <c r="I3253" s="13">
        <v>45719</v>
      </c>
      <c r="J3253" s="13" t="str">
        <f>TEXT(Table1[[#This Row],[Date]],"[$-en-US]mmm yyyy")</f>
        <v>Mar 2025</v>
      </c>
      <c r="K3253" s="13" t="str">
        <f>TEXT(Table1[[#This Row],[Date]],"[$-en-US]ddd")</f>
        <v>Mon</v>
      </c>
    </row>
    <row r="3254" spans="1:11" x14ac:dyDescent="0.25">
      <c r="A3254">
        <v>16</v>
      </c>
      <c r="B3254" t="s">
        <v>9</v>
      </c>
      <c r="C3254">
        <v>35.76</v>
      </c>
      <c r="D3254" t="s">
        <v>10</v>
      </c>
      <c r="E3254" t="s">
        <v>15</v>
      </c>
      <c r="F3254" t="s">
        <v>13</v>
      </c>
      <c r="G3254">
        <v>1</v>
      </c>
      <c r="H3254">
        <v>3</v>
      </c>
      <c r="I3254" s="13">
        <v>45719</v>
      </c>
      <c r="J3254" s="13" t="str">
        <f>TEXT(Table1[[#This Row],[Date]],"[$-en-US]mmm yyyy")</f>
        <v>Mar 2025</v>
      </c>
      <c r="K3254" s="13" t="str">
        <f>TEXT(Table1[[#This Row],[Date]],"[$-en-US]ddd")</f>
        <v>Mon</v>
      </c>
    </row>
    <row r="3255" spans="1:11" x14ac:dyDescent="0.25">
      <c r="A3255">
        <v>16</v>
      </c>
      <c r="B3255" t="s">
        <v>9</v>
      </c>
      <c r="C3255">
        <v>35.76</v>
      </c>
      <c r="D3255" t="s">
        <v>27</v>
      </c>
      <c r="E3255" t="s">
        <v>15</v>
      </c>
      <c r="F3255" t="s">
        <v>13</v>
      </c>
      <c r="G3255">
        <v>1</v>
      </c>
      <c r="H3255">
        <v>3</v>
      </c>
      <c r="I3255" s="13">
        <v>45719</v>
      </c>
      <c r="J3255" s="13" t="str">
        <f>TEXT(Table1[[#This Row],[Date]],"[$-en-US]mmm yyyy")</f>
        <v>Mar 2025</v>
      </c>
      <c r="K3255" s="13" t="str">
        <f>TEXT(Table1[[#This Row],[Date]],"[$-en-US]ddd")</f>
        <v>Mon</v>
      </c>
    </row>
    <row r="3256" spans="1:11" x14ac:dyDescent="0.25">
      <c r="A3256">
        <v>16</v>
      </c>
      <c r="B3256" t="s">
        <v>9</v>
      </c>
      <c r="C3256">
        <v>35.76</v>
      </c>
      <c r="D3256" t="s">
        <v>27</v>
      </c>
      <c r="E3256" t="s">
        <v>15</v>
      </c>
      <c r="F3256" t="s">
        <v>13</v>
      </c>
      <c r="G3256">
        <v>1</v>
      </c>
      <c r="H3256">
        <v>3</v>
      </c>
      <c r="I3256" s="13">
        <v>45719</v>
      </c>
      <c r="J3256" s="13" t="str">
        <f>TEXT(Table1[[#This Row],[Date]],"[$-en-US]mmm yyyy")</f>
        <v>Mar 2025</v>
      </c>
      <c r="K3256" s="13" t="str">
        <f>TEXT(Table1[[#This Row],[Date]],"[$-en-US]ddd")</f>
        <v>Mon</v>
      </c>
    </row>
    <row r="3257" spans="1:11" x14ac:dyDescent="0.25">
      <c r="A3257">
        <v>16</v>
      </c>
      <c r="B3257" t="s">
        <v>9</v>
      </c>
      <c r="C3257">
        <v>25.96</v>
      </c>
      <c r="D3257" t="s">
        <v>16</v>
      </c>
      <c r="E3257" t="s">
        <v>15</v>
      </c>
      <c r="F3257" t="s">
        <v>13</v>
      </c>
      <c r="G3257">
        <v>1</v>
      </c>
      <c r="H3257">
        <v>3</v>
      </c>
      <c r="I3257" s="13">
        <v>45719</v>
      </c>
      <c r="J3257" s="13" t="str">
        <f>TEXT(Table1[[#This Row],[Date]],"[$-en-US]mmm yyyy")</f>
        <v>Mar 2025</v>
      </c>
      <c r="K3257" s="13" t="str">
        <f>TEXT(Table1[[#This Row],[Date]],"[$-en-US]ddd")</f>
        <v>Mon</v>
      </c>
    </row>
    <row r="3258" spans="1:11" x14ac:dyDescent="0.25">
      <c r="A3258">
        <v>17</v>
      </c>
      <c r="B3258" t="s">
        <v>9</v>
      </c>
      <c r="C3258">
        <v>30.86</v>
      </c>
      <c r="D3258" t="s">
        <v>17</v>
      </c>
      <c r="E3258" t="s">
        <v>18</v>
      </c>
      <c r="F3258" t="s">
        <v>13</v>
      </c>
      <c r="G3258">
        <v>1</v>
      </c>
      <c r="H3258">
        <v>3</v>
      </c>
      <c r="I3258" s="13">
        <v>45719</v>
      </c>
      <c r="J3258" s="13" t="str">
        <f>TEXT(Table1[[#This Row],[Date]],"[$-en-US]mmm yyyy")</f>
        <v>Mar 2025</v>
      </c>
      <c r="K3258" s="13" t="str">
        <f>TEXT(Table1[[#This Row],[Date]],"[$-en-US]ddd")</f>
        <v>Mon</v>
      </c>
    </row>
    <row r="3259" spans="1:11" x14ac:dyDescent="0.25">
      <c r="A3259">
        <v>17</v>
      </c>
      <c r="B3259" t="s">
        <v>9</v>
      </c>
      <c r="C3259">
        <v>25.96</v>
      </c>
      <c r="D3259" t="s">
        <v>16</v>
      </c>
      <c r="E3259" t="s">
        <v>18</v>
      </c>
      <c r="F3259" t="s">
        <v>13</v>
      </c>
      <c r="G3259">
        <v>1</v>
      </c>
      <c r="H3259">
        <v>3</v>
      </c>
      <c r="I3259" s="13">
        <v>45719</v>
      </c>
      <c r="J3259" s="13" t="str">
        <f>TEXT(Table1[[#This Row],[Date]],"[$-en-US]mmm yyyy")</f>
        <v>Mar 2025</v>
      </c>
      <c r="K3259" s="13" t="str">
        <f>TEXT(Table1[[#This Row],[Date]],"[$-en-US]ddd")</f>
        <v>Mon</v>
      </c>
    </row>
    <row r="3260" spans="1:11" x14ac:dyDescent="0.25">
      <c r="A3260">
        <v>17</v>
      </c>
      <c r="B3260" t="s">
        <v>9</v>
      </c>
      <c r="C3260">
        <v>35.76</v>
      </c>
      <c r="D3260" t="s">
        <v>14</v>
      </c>
      <c r="E3260" t="s">
        <v>18</v>
      </c>
      <c r="F3260" t="s">
        <v>13</v>
      </c>
      <c r="G3260">
        <v>1</v>
      </c>
      <c r="H3260">
        <v>3</v>
      </c>
      <c r="I3260" s="13">
        <v>45719</v>
      </c>
      <c r="J3260" s="13" t="str">
        <f>TEXT(Table1[[#This Row],[Date]],"[$-en-US]mmm yyyy")</f>
        <v>Mar 2025</v>
      </c>
      <c r="K3260" s="13" t="str">
        <f>TEXT(Table1[[#This Row],[Date]],"[$-en-US]ddd")</f>
        <v>Mon</v>
      </c>
    </row>
    <row r="3261" spans="1:11" x14ac:dyDescent="0.25">
      <c r="A3261">
        <v>17</v>
      </c>
      <c r="B3261" t="s">
        <v>9</v>
      </c>
      <c r="C3261">
        <v>25.96</v>
      </c>
      <c r="D3261" t="s">
        <v>16</v>
      </c>
      <c r="E3261" t="s">
        <v>18</v>
      </c>
      <c r="F3261" t="s">
        <v>13</v>
      </c>
      <c r="G3261">
        <v>1</v>
      </c>
      <c r="H3261">
        <v>3</v>
      </c>
      <c r="I3261" s="13">
        <v>45719</v>
      </c>
      <c r="J3261" s="13" t="str">
        <f>TEXT(Table1[[#This Row],[Date]],"[$-en-US]mmm yyyy")</f>
        <v>Mar 2025</v>
      </c>
      <c r="K3261" s="13" t="str">
        <f>TEXT(Table1[[#This Row],[Date]],"[$-en-US]ddd")</f>
        <v>Mon</v>
      </c>
    </row>
    <row r="3262" spans="1:11" x14ac:dyDescent="0.25">
      <c r="A3262">
        <v>17</v>
      </c>
      <c r="B3262" t="s">
        <v>9</v>
      </c>
      <c r="C3262">
        <v>35.76</v>
      </c>
      <c r="D3262" t="s">
        <v>14</v>
      </c>
      <c r="E3262" t="s">
        <v>18</v>
      </c>
      <c r="F3262" t="s">
        <v>13</v>
      </c>
      <c r="G3262">
        <v>1</v>
      </c>
      <c r="H3262">
        <v>3</v>
      </c>
      <c r="I3262" s="13">
        <v>45719</v>
      </c>
      <c r="J3262" s="13" t="str">
        <f>TEXT(Table1[[#This Row],[Date]],"[$-en-US]mmm yyyy")</f>
        <v>Mar 2025</v>
      </c>
      <c r="K3262" s="13" t="str">
        <f>TEXT(Table1[[#This Row],[Date]],"[$-en-US]ddd")</f>
        <v>Mon</v>
      </c>
    </row>
    <row r="3263" spans="1:11" x14ac:dyDescent="0.25">
      <c r="A3263">
        <v>17</v>
      </c>
      <c r="B3263" t="s">
        <v>9</v>
      </c>
      <c r="C3263">
        <v>35.76</v>
      </c>
      <c r="D3263" t="s">
        <v>14</v>
      </c>
      <c r="E3263" t="s">
        <v>18</v>
      </c>
      <c r="F3263" t="s">
        <v>13</v>
      </c>
      <c r="G3263">
        <v>1</v>
      </c>
      <c r="H3263">
        <v>3</v>
      </c>
      <c r="I3263" s="13">
        <v>45719</v>
      </c>
      <c r="J3263" s="13" t="str">
        <f>TEXT(Table1[[#This Row],[Date]],"[$-en-US]mmm yyyy")</f>
        <v>Mar 2025</v>
      </c>
      <c r="K3263" s="13" t="str">
        <f>TEXT(Table1[[#This Row],[Date]],"[$-en-US]ddd")</f>
        <v>Mon</v>
      </c>
    </row>
    <row r="3264" spans="1:11" x14ac:dyDescent="0.25">
      <c r="A3264">
        <v>18</v>
      </c>
      <c r="B3264" t="s">
        <v>9</v>
      </c>
      <c r="C3264">
        <v>30.86</v>
      </c>
      <c r="D3264" t="s">
        <v>17</v>
      </c>
      <c r="E3264" t="s">
        <v>18</v>
      </c>
      <c r="F3264" t="s">
        <v>13</v>
      </c>
      <c r="G3264">
        <v>1</v>
      </c>
      <c r="H3264">
        <v>3</v>
      </c>
      <c r="I3264" s="13">
        <v>45719</v>
      </c>
      <c r="J3264" s="13" t="str">
        <f>TEXT(Table1[[#This Row],[Date]],"[$-en-US]mmm yyyy")</f>
        <v>Mar 2025</v>
      </c>
      <c r="K3264" s="13" t="str">
        <f>TEXT(Table1[[#This Row],[Date]],"[$-en-US]ddd")</f>
        <v>Mon</v>
      </c>
    </row>
    <row r="3265" spans="1:11" x14ac:dyDescent="0.25">
      <c r="A3265">
        <v>18</v>
      </c>
      <c r="B3265" t="s">
        <v>9</v>
      </c>
      <c r="C3265">
        <v>35.76</v>
      </c>
      <c r="D3265" t="s">
        <v>10</v>
      </c>
      <c r="E3265" t="s">
        <v>18</v>
      </c>
      <c r="F3265" t="s">
        <v>13</v>
      </c>
      <c r="G3265">
        <v>1</v>
      </c>
      <c r="H3265">
        <v>3</v>
      </c>
      <c r="I3265" s="13">
        <v>45719</v>
      </c>
      <c r="J3265" s="13" t="str">
        <f>TEXT(Table1[[#This Row],[Date]],"[$-en-US]mmm yyyy")</f>
        <v>Mar 2025</v>
      </c>
      <c r="K3265" s="13" t="str">
        <f>TEXT(Table1[[#This Row],[Date]],"[$-en-US]ddd")</f>
        <v>Mon</v>
      </c>
    </row>
    <row r="3266" spans="1:11" x14ac:dyDescent="0.25">
      <c r="A3266">
        <v>7</v>
      </c>
      <c r="B3266" t="s">
        <v>9</v>
      </c>
      <c r="C3266">
        <v>35.76</v>
      </c>
      <c r="D3266" t="s">
        <v>27</v>
      </c>
      <c r="E3266" t="s">
        <v>11</v>
      </c>
      <c r="F3266" t="s">
        <v>13</v>
      </c>
      <c r="G3266">
        <v>2</v>
      </c>
      <c r="H3266">
        <v>3</v>
      </c>
      <c r="I3266" s="13">
        <v>45720</v>
      </c>
      <c r="J3266" s="13" t="str">
        <f>TEXT(Table1[[#This Row],[Date]],"[$-en-US]mmm yyyy")</f>
        <v>Mar 2025</v>
      </c>
      <c r="K3266" s="13" t="str">
        <f>TEXT(Table1[[#This Row],[Date]],"[$-en-US]ddd")</f>
        <v>Tue</v>
      </c>
    </row>
    <row r="3267" spans="1:11" x14ac:dyDescent="0.25">
      <c r="A3267">
        <v>7</v>
      </c>
      <c r="B3267" t="s">
        <v>9</v>
      </c>
      <c r="C3267">
        <v>25.96</v>
      </c>
      <c r="D3267" t="s">
        <v>16</v>
      </c>
      <c r="E3267" t="s">
        <v>11</v>
      </c>
      <c r="F3267" t="s">
        <v>13</v>
      </c>
      <c r="G3267">
        <v>2</v>
      </c>
      <c r="H3267">
        <v>3</v>
      </c>
      <c r="I3267" s="13">
        <v>45720</v>
      </c>
      <c r="J3267" s="13" t="str">
        <f>TEXT(Table1[[#This Row],[Date]],"[$-en-US]mmm yyyy")</f>
        <v>Mar 2025</v>
      </c>
      <c r="K3267" s="13" t="str">
        <f>TEXT(Table1[[#This Row],[Date]],"[$-en-US]ddd")</f>
        <v>Tue</v>
      </c>
    </row>
    <row r="3268" spans="1:11" x14ac:dyDescent="0.25">
      <c r="A3268">
        <v>8</v>
      </c>
      <c r="B3268" t="s">
        <v>9</v>
      </c>
      <c r="C3268">
        <v>30.86</v>
      </c>
      <c r="D3268" t="s">
        <v>17</v>
      </c>
      <c r="E3268" t="s">
        <v>11</v>
      </c>
      <c r="F3268" t="s">
        <v>13</v>
      </c>
      <c r="G3268">
        <v>2</v>
      </c>
      <c r="H3268">
        <v>3</v>
      </c>
      <c r="I3268" s="13">
        <v>45720</v>
      </c>
      <c r="J3268" s="13" t="str">
        <f>TEXT(Table1[[#This Row],[Date]],"[$-en-US]mmm yyyy")</f>
        <v>Mar 2025</v>
      </c>
      <c r="K3268" s="13" t="str">
        <f>TEXT(Table1[[#This Row],[Date]],"[$-en-US]ddd")</f>
        <v>Tue</v>
      </c>
    </row>
    <row r="3269" spans="1:11" x14ac:dyDescent="0.25">
      <c r="A3269">
        <v>9</v>
      </c>
      <c r="B3269" t="s">
        <v>9</v>
      </c>
      <c r="C3269">
        <v>25.96</v>
      </c>
      <c r="D3269" t="s">
        <v>16</v>
      </c>
      <c r="E3269" t="s">
        <v>11</v>
      </c>
      <c r="F3269" t="s">
        <v>13</v>
      </c>
      <c r="G3269">
        <v>2</v>
      </c>
      <c r="H3269">
        <v>3</v>
      </c>
      <c r="I3269" s="13">
        <v>45720</v>
      </c>
      <c r="J3269" s="13" t="str">
        <f>TEXT(Table1[[#This Row],[Date]],"[$-en-US]mmm yyyy")</f>
        <v>Mar 2025</v>
      </c>
      <c r="K3269" s="13" t="str">
        <f>TEXT(Table1[[#This Row],[Date]],"[$-en-US]ddd")</f>
        <v>Tue</v>
      </c>
    </row>
    <row r="3270" spans="1:11" x14ac:dyDescent="0.25">
      <c r="A3270">
        <v>9</v>
      </c>
      <c r="B3270" t="s">
        <v>9</v>
      </c>
      <c r="C3270">
        <v>25.96</v>
      </c>
      <c r="D3270" t="s">
        <v>16</v>
      </c>
      <c r="E3270" t="s">
        <v>11</v>
      </c>
      <c r="F3270" t="s">
        <v>13</v>
      </c>
      <c r="G3270">
        <v>2</v>
      </c>
      <c r="H3270">
        <v>3</v>
      </c>
      <c r="I3270" s="13">
        <v>45720</v>
      </c>
      <c r="J3270" s="13" t="str">
        <f>TEXT(Table1[[#This Row],[Date]],"[$-en-US]mmm yyyy")</f>
        <v>Mar 2025</v>
      </c>
      <c r="K3270" s="13" t="str">
        <f>TEXT(Table1[[#This Row],[Date]],"[$-en-US]ddd")</f>
        <v>Tue</v>
      </c>
    </row>
    <row r="3271" spans="1:11" x14ac:dyDescent="0.25">
      <c r="A3271">
        <v>9</v>
      </c>
      <c r="B3271" t="s">
        <v>9</v>
      </c>
      <c r="C3271">
        <v>25.96</v>
      </c>
      <c r="D3271" t="s">
        <v>16</v>
      </c>
      <c r="E3271" t="s">
        <v>11</v>
      </c>
      <c r="F3271" t="s">
        <v>13</v>
      </c>
      <c r="G3271">
        <v>2</v>
      </c>
      <c r="H3271">
        <v>3</v>
      </c>
      <c r="I3271" s="13">
        <v>45720</v>
      </c>
      <c r="J3271" s="13" t="str">
        <f>TEXT(Table1[[#This Row],[Date]],"[$-en-US]mmm yyyy")</f>
        <v>Mar 2025</v>
      </c>
      <c r="K3271" s="13" t="str">
        <f>TEXT(Table1[[#This Row],[Date]],"[$-en-US]ddd")</f>
        <v>Tue</v>
      </c>
    </row>
    <row r="3272" spans="1:11" x14ac:dyDescent="0.25">
      <c r="A3272">
        <v>11</v>
      </c>
      <c r="B3272" t="s">
        <v>9</v>
      </c>
      <c r="C3272">
        <v>30.86</v>
      </c>
      <c r="D3272" t="s">
        <v>17</v>
      </c>
      <c r="E3272" t="s">
        <v>11</v>
      </c>
      <c r="F3272" t="s">
        <v>13</v>
      </c>
      <c r="G3272">
        <v>2</v>
      </c>
      <c r="H3272">
        <v>3</v>
      </c>
      <c r="I3272" s="13">
        <v>45720</v>
      </c>
      <c r="J3272" s="13" t="str">
        <f>TEXT(Table1[[#This Row],[Date]],"[$-en-US]mmm yyyy")</f>
        <v>Mar 2025</v>
      </c>
      <c r="K3272" s="13" t="str">
        <f>TEXT(Table1[[#This Row],[Date]],"[$-en-US]ddd")</f>
        <v>Tue</v>
      </c>
    </row>
    <row r="3273" spans="1:11" x14ac:dyDescent="0.25">
      <c r="A3273">
        <v>11</v>
      </c>
      <c r="B3273" t="s">
        <v>9</v>
      </c>
      <c r="C3273">
        <v>25.96</v>
      </c>
      <c r="D3273" t="s">
        <v>16</v>
      </c>
      <c r="E3273" t="s">
        <v>11</v>
      </c>
      <c r="F3273" t="s">
        <v>13</v>
      </c>
      <c r="G3273">
        <v>2</v>
      </c>
      <c r="H3273">
        <v>3</v>
      </c>
      <c r="I3273" s="13">
        <v>45720</v>
      </c>
      <c r="J3273" s="13" t="str">
        <f>TEXT(Table1[[#This Row],[Date]],"[$-en-US]mmm yyyy")</f>
        <v>Mar 2025</v>
      </c>
      <c r="K3273" s="13" t="str">
        <f>TEXT(Table1[[#This Row],[Date]],"[$-en-US]ddd")</f>
        <v>Tue</v>
      </c>
    </row>
    <row r="3274" spans="1:11" x14ac:dyDescent="0.25">
      <c r="A3274">
        <v>11</v>
      </c>
      <c r="B3274" t="s">
        <v>9</v>
      </c>
      <c r="C3274">
        <v>25.96</v>
      </c>
      <c r="D3274" t="s">
        <v>16</v>
      </c>
      <c r="E3274" t="s">
        <v>11</v>
      </c>
      <c r="F3274" t="s">
        <v>13</v>
      </c>
      <c r="G3274">
        <v>2</v>
      </c>
      <c r="H3274">
        <v>3</v>
      </c>
      <c r="I3274" s="13">
        <v>45720</v>
      </c>
      <c r="J3274" s="13" t="str">
        <f>TEXT(Table1[[#This Row],[Date]],"[$-en-US]mmm yyyy")</f>
        <v>Mar 2025</v>
      </c>
      <c r="K3274" s="13" t="str">
        <f>TEXT(Table1[[#This Row],[Date]],"[$-en-US]ddd")</f>
        <v>Tue</v>
      </c>
    </row>
    <row r="3275" spans="1:11" x14ac:dyDescent="0.25">
      <c r="A3275">
        <v>11</v>
      </c>
      <c r="B3275" t="s">
        <v>9</v>
      </c>
      <c r="C3275">
        <v>25.96</v>
      </c>
      <c r="D3275" t="s">
        <v>16</v>
      </c>
      <c r="E3275" t="s">
        <v>11</v>
      </c>
      <c r="F3275" t="s">
        <v>13</v>
      </c>
      <c r="G3275">
        <v>2</v>
      </c>
      <c r="H3275">
        <v>3</v>
      </c>
      <c r="I3275" s="13">
        <v>45720</v>
      </c>
      <c r="J3275" s="13" t="str">
        <f>TEXT(Table1[[#This Row],[Date]],"[$-en-US]mmm yyyy")</f>
        <v>Mar 2025</v>
      </c>
      <c r="K3275" s="13" t="str">
        <f>TEXT(Table1[[#This Row],[Date]],"[$-en-US]ddd")</f>
        <v>Tue</v>
      </c>
    </row>
    <row r="3276" spans="1:11" x14ac:dyDescent="0.25">
      <c r="A3276">
        <v>11</v>
      </c>
      <c r="B3276" t="s">
        <v>9</v>
      </c>
      <c r="C3276">
        <v>25.96</v>
      </c>
      <c r="D3276" t="s">
        <v>16</v>
      </c>
      <c r="E3276" t="s">
        <v>11</v>
      </c>
      <c r="F3276" t="s">
        <v>13</v>
      </c>
      <c r="G3276">
        <v>2</v>
      </c>
      <c r="H3276">
        <v>3</v>
      </c>
      <c r="I3276" s="13">
        <v>45720</v>
      </c>
      <c r="J3276" s="13" t="str">
        <f>TEXT(Table1[[#This Row],[Date]],"[$-en-US]mmm yyyy")</f>
        <v>Mar 2025</v>
      </c>
      <c r="K3276" s="13" t="str">
        <f>TEXT(Table1[[#This Row],[Date]],"[$-en-US]ddd")</f>
        <v>Tue</v>
      </c>
    </row>
    <row r="3277" spans="1:11" x14ac:dyDescent="0.25">
      <c r="A3277">
        <v>12</v>
      </c>
      <c r="B3277" t="s">
        <v>9</v>
      </c>
      <c r="C3277">
        <v>35.76</v>
      </c>
      <c r="D3277" t="s">
        <v>19</v>
      </c>
      <c r="E3277" t="s">
        <v>15</v>
      </c>
      <c r="F3277" t="s">
        <v>13</v>
      </c>
      <c r="G3277">
        <v>2</v>
      </c>
      <c r="H3277">
        <v>3</v>
      </c>
      <c r="I3277" s="13">
        <v>45720</v>
      </c>
      <c r="J3277" s="13" t="str">
        <f>TEXT(Table1[[#This Row],[Date]],"[$-en-US]mmm yyyy")</f>
        <v>Mar 2025</v>
      </c>
      <c r="K3277" s="13" t="str">
        <f>TEXT(Table1[[#This Row],[Date]],"[$-en-US]ddd")</f>
        <v>Tue</v>
      </c>
    </row>
    <row r="3278" spans="1:11" x14ac:dyDescent="0.25">
      <c r="A3278">
        <v>16</v>
      </c>
      <c r="B3278" t="s">
        <v>9</v>
      </c>
      <c r="C3278">
        <v>25.96</v>
      </c>
      <c r="D3278" t="s">
        <v>16</v>
      </c>
      <c r="E3278" t="s">
        <v>15</v>
      </c>
      <c r="F3278" t="s">
        <v>13</v>
      </c>
      <c r="G3278">
        <v>2</v>
      </c>
      <c r="H3278">
        <v>3</v>
      </c>
      <c r="I3278" s="13">
        <v>45720</v>
      </c>
      <c r="J3278" s="13" t="str">
        <f>TEXT(Table1[[#This Row],[Date]],"[$-en-US]mmm yyyy")</f>
        <v>Mar 2025</v>
      </c>
      <c r="K3278" s="13" t="str">
        <f>TEXT(Table1[[#This Row],[Date]],"[$-en-US]ddd")</f>
        <v>Tue</v>
      </c>
    </row>
    <row r="3279" spans="1:11" x14ac:dyDescent="0.25">
      <c r="A3279">
        <v>18</v>
      </c>
      <c r="B3279" t="s">
        <v>9</v>
      </c>
      <c r="C3279">
        <v>35.76</v>
      </c>
      <c r="D3279" t="s">
        <v>19</v>
      </c>
      <c r="E3279" t="s">
        <v>18</v>
      </c>
      <c r="F3279" t="s">
        <v>13</v>
      </c>
      <c r="G3279">
        <v>2</v>
      </c>
      <c r="H3279">
        <v>3</v>
      </c>
      <c r="I3279" s="13">
        <v>45720</v>
      </c>
      <c r="J3279" s="13" t="str">
        <f>TEXT(Table1[[#This Row],[Date]],"[$-en-US]mmm yyyy")</f>
        <v>Mar 2025</v>
      </c>
      <c r="K3279" s="13" t="str">
        <f>TEXT(Table1[[#This Row],[Date]],"[$-en-US]ddd")</f>
        <v>Tue</v>
      </c>
    </row>
    <row r="3280" spans="1:11" x14ac:dyDescent="0.25">
      <c r="A3280">
        <v>19</v>
      </c>
      <c r="B3280" t="s">
        <v>9</v>
      </c>
      <c r="C3280">
        <v>35.76</v>
      </c>
      <c r="D3280" t="s">
        <v>10</v>
      </c>
      <c r="E3280" t="s">
        <v>18</v>
      </c>
      <c r="F3280" t="s">
        <v>13</v>
      </c>
      <c r="G3280">
        <v>2</v>
      </c>
      <c r="H3280">
        <v>3</v>
      </c>
      <c r="I3280" s="13">
        <v>45720</v>
      </c>
      <c r="J3280" s="13" t="str">
        <f>TEXT(Table1[[#This Row],[Date]],"[$-en-US]mmm yyyy")</f>
        <v>Mar 2025</v>
      </c>
      <c r="K3280" s="13" t="str">
        <f>TEXT(Table1[[#This Row],[Date]],"[$-en-US]ddd")</f>
        <v>Tue</v>
      </c>
    </row>
    <row r="3281" spans="1:11" x14ac:dyDescent="0.25">
      <c r="A3281">
        <v>20</v>
      </c>
      <c r="B3281" t="s">
        <v>9</v>
      </c>
      <c r="C3281">
        <v>35.76</v>
      </c>
      <c r="D3281" t="s">
        <v>10</v>
      </c>
      <c r="E3281" t="s">
        <v>18</v>
      </c>
      <c r="F3281" t="s">
        <v>13</v>
      </c>
      <c r="G3281">
        <v>2</v>
      </c>
      <c r="H3281">
        <v>3</v>
      </c>
      <c r="I3281" s="13">
        <v>45720</v>
      </c>
      <c r="J3281" s="13" t="str">
        <f>TEXT(Table1[[#This Row],[Date]],"[$-en-US]mmm yyyy")</f>
        <v>Mar 2025</v>
      </c>
      <c r="K3281" s="13" t="str">
        <f>TEXT(Table1[[#This Row],[Date]],"[$-en-US]ddd")</f>
        <v>Tue</v>
      </c>
    </row>
    <row r="3282" spans="1:11" x14ac:dyDescent="0.25">
      <c r="A3282">
        <v>8</v>
      </c>
      <c r="B3282" t="s">
        <v>9</v>
      </c>
      <c r="C3282">
        <v>30.86</v>
      </c>
      <c r="D3282" t="s">
        <v>17</v>
      </c>
      <c r="E3282" t="s">
        <v>11</v>
      </c>
      <c r="F3282" t="s">
        <v>13</v>
      </c>
      <c r="G3282">
        <v>3</v>
      </c>
      <c r="H3282">
        <v>3</v>
      </c>
      <c r="I3282" s="13">
        <v>45721</v>
      </c>
      <c r="J3282" s="13" t="str">
        <f>TEXT(Table1[[#This Row],[Date]],"[$-en-US]mmm yyyy")</f>
        <v>Mar 2025</v>
      </c>
      <c r="K3282" s="13" t="str">
        <f>TEXT(Table1[[#This Row],[Date]],"[$-en-US]ddd")</f>
        <v>Wed</v>
      </c>
    </row>
    <row r="3283" spans="1:11" x14ac:dyDescent="0.25">
      <c r="A3283">
        <v>9</v>
      </c>
      <c r="B3283" t="s">
        <v>9</v>
      </c>
      <c r="C3283">
        <v>25.96</v>
      </c>
      <c r="D3283" t="s">
        <v>16</v>
      </c>
      <c r="E3283" t="s">
        <v>11</v>
      </c>
      <c r="F3283" t="s">
        <v>13</v>
      </c>
      <c r="G3283">
        <v>3</v>
      </c>
      <c r="H3283">
        <v>3</v>
      </c>
      <c r="I3283" s="13">
        <v>45721</v>
      </c>
      <c r="J3283" s="13" t="str">
        <f>TEXT(Table1[[#This Row],[Date]],"[$-en-US]mmm yyyy")</f>
        <v>Mar 2025</v>
      </c>
      <c r="K3283" s="13" t="str">
        <f>TEXT(Table1[[#This Row],[Date]],"[$-en-US]ddd")</f>
        <v>Wed</v>
      </c>
    </row>
    <row r="3284" spans="1:11" x14ac:dyDescent="0.25">
      <c r="A3284">
        <v>10</v>
      </c>
      <c r="B3284" t="s">
        <v>9</v>
      </c>
      <c r="C3284">
        <v>25.96</v>
      </c>
      <c r="D3284" t="s">
        <v>16</v>
      </c>
      <c r="E3284" t="s">
        <v>11</v>
      </c>
      <c r="F3284" t="s">
        <v>13</v>
      </c>
      <c r="G3284">
        <v>3</v>
      </c>
      <c r="H3284">
        <v>3</v>
      </c>
      <c r="I3284" s="13">
        <v>45721</v>
      </c>
      <c r="J3284" s="13" t="str">
        <f>TEXT(Table1[[#This Row],[Date]],"[$-en-US]mmm yyyy")</f>
        <v>Mar 2025</v>
      </c>
      <c r="K3284" s="13" t="str">
        <f>TEXT(Table1[[#This Row],[Date]],"[$-en-US]ddd")</f>
        <v>Wed</v>
      </c>
    </row>
    <row r="3285" spans="1:11" x14ac:dyDescent="0.25">
      <c r="A3285">
        <v>10</v>
      </c>
      <c r="B3285" t="s">
        <v>9</v>
      </c>
      <c r="C3285">
        <v>25.96</v>
      </c>
      <c r="D3285" t="s">
        <v>16</v>
      </c>
      <c r="E3285" t="s">
        <v>11</v>
      </c>
      <c r="F3285" t="s">
        <v>13</v>
      </c>
      <c r="G3285">
        <v>3</v>
      </c>
      <c r="H3285">
        <v>3</v>
      </c>
      <c r="I3285" s="13">
        <v>45721</v>
      </c>
      <c r="J3285" s="13" t="str">
        <f>TEXT(Table1[[#This Row],[Date]],"[$-en-US]mmm yyyy")</f>
        <v>Mar 2025</v>
      </c>
      <c r="K3285" s="13" t="str">
        <f>TEXT(Table1[[#This Row],[Date]],"[$-en-US]ddd")</f>
        <v>Wed</v>
      </c>
    </row>
    <row r="3286" spans="1:11" x14ac:dyDescent="0.25">
      <c r="A3286">
        <v>10</v>
      </c>
      <c r="B3286" t="s">
        <v>9</v>
      </c>
      <c r="C3286">
        <v>35.76</v>
      </c>
      <c r="D3286" t="s">
        <v>27</v>
      </c>
      <c r="E3286" t="s">
        <v>11</v>
      </c>
      <c r="F3286" t="s">
        <v>13</v>
      </c>
      <c r="G3286">
        <v>3</v>
      </c>
      <c r="H3286">
        <v>3</v>
      </c>
      <c r="I3286" s="13">
        <v>45721</v>
      </c>
      <c r="J3286" s="13" t="str">
        <f>TEXT(Table1[[#This Row],[Date]],"[$-en-US]mmm yyyy")</f>
        <v>Mar 2025</v>
      </c>
      <c r="K3286" s="13" t="str">
        <f>TEXT(Table1[[#This Row],[Date]],"[$-en-US]ddd")</f>
        <v>Wed</v>
      </c>
    </row>
    <row r="3287" spans="1:11" x14ac:dyDescent="0.25">
      <c r="A3287">
        <v>10</v>
      </c>
      <c r="B3287" t="s">
        <v>9</v>
      </c>
      <c r="C3287">
        <v>30.86</v>
      </c>
      <c r="D3287" t="s">
        <v>17</v>
      </c>
      <c r="E3287" t="s">
        <v>11</v>
      </c>
      <c r="F3287" t="s">
        <v>13</v>
      </c>
      <c r="G3287">
        <v>3</v>
      </c>
      <c r="H3287">
        <v>3</v>
      </c>
      <c r="I3287" s="13">
        <v>45721</v>
      </c>
      <c r="J3287" s="13" t="str">
        <f>TEXT(Table1[[#This Row],[Date]],"[$-en-US]mmm yyyy")</f>
        <v>Mar 2025</v>
      </c>
      <c r="K3287" s="13" t="str">
        <f>TEXT(Table1[[#This Row],[Date]],"[$-en-US]ddd")</f>
        <v>Wed</v>
      </c>
    </row>
    <row r="3288" spans="1:11" x14ac:dyDescent="0.25">
      <c r="A3288">
        <v>11</v>
      </c>
      <c r="B3288" t="s">
        <v>9</v>
      </c>
      <c r="C3288">
        <v>35.76</v>
      </c>
      <c r="D3288" t="s">
        <v>27</v>
      </c>
      <c r="E3288" t="s">
        <v>11</v>
      </c>
      <c r="F3288" t="s">
        <v>13</v>
      </c>
      <c r="G3288">
        <v>3</v>
      </c>
      <c r="H3288">
        <v>3</v>
      </c>
      <c r="I3288" s="13">
        <v>45721</v>
      </c>
      <c r="J3288" s="13" t="str">
        <f>TEXT(Table1[[#This Row],[Date]],"[$-en-US]mmm yyyy")</f>
        <v>Mar 2025</v>
      </c>
      <c r="K3288" s="13" t="str">
        <f>TEXT(Table1[[#This Row],[Date]],"[$-en-US]ddd")</f>
        <v>Wed</v>
      </c>
    </row>
    <row r="3289" spans="1:11" x14ac:dyDescent="0.25">
      <c r="A3289">
        <v>11</v>
      </c>
      <c r="B3289" t="s">
        <v>9</v>
      </c>
      <c r="C3289">
        <v>35.76</v>
      </c>
      <c r="D3289" t="s">
        <v>19</v>
      </c>
      <c r="E3289" t="s">
        <v>11</v>
      </c>
      <c r="F3289" t="s">
        <v>13</v>
      </c>
      <c r="G3289">
        <v>3</v>
      </c>
      <c r="H3289">
        <v>3</v>
      </c>
      <c r="I3289" s="13">
        <v>45721</v>
      </c>
      <c r="J3289" s="13" t="str">
        <f>TEXT(Table1[[#This Row],[Date]],"[$-en-US]mmm yyyy")</f>
        <v>Mar 2025</v>
      </c>
      <c r="K3289" s="13" t="str">
        <f>TEXT(Table1[[#This Row],[Date]],"[$-en-US]ddd")</f>
        <v>Wed</v>
      </c>
    </row>
    <row r="3290" spans="1:11" x14ac:dyDescent="0.25">
      <c r="A3290">
        <v>11</v>
      </c>
      <c r="B3290" t="s">
        <v>9</v>
      </c>
      <c r="C3290">
        <v>25.96</v>
      </c>
      <c r="D3290" t="s">
        <v>16</v>
      </c>
      <c r="E3290" t="s">
        <v>11</v>
      </c>
      <c r="F3290" t="s">
        <v>13</v>
      </c>
      <c r="G3290">
        <v>3</v>
      </c>
      <c r="H3290">
        <v>3</v>
      </c>
      <c r="I3290" s="13">
        <v>45721</v>
      </c>
      <c r="J3290" s="13" t="str">
        <f>TEXT(Table1[[#This Row],[Date]],"[$-en-US]mmm yyyy")</f>
        <v>Mar 2025</v>
      </c>
      <c r="K3290" s="13" t="str">
        <f>TEXT(Table1[[#This Row],[Date]],"[$-en-US]ddd")</f>
        <v>Wed</v>
      </c>
    </row>
    <row r="3291" spans="1:11" x14ac:dyDescent="0.25">
      <c r="A3291">
        <v>11</v>
      </c>
      <c r="B3291" t="s">
        <v>9</v>
      </c>
      <c r="C3291">
        <v>25.96</v>
      </c>
      <c r="D3291" t="s">
        <v>16</v>
      </c>
      <c r="E3291" t="s">
        <v>11</v>
      </c>
      <c r="F3291" t="s">
        <v>13</v>
      </c>
      <c r="G3291">
        <v>3</v>
      </c>
      <c r="H3291">
        <v>3</v>
      </c>
      <c r="I3291" s="13">
        <v>45721</v>
      </c>
      <c r="J3291" s="13" t="str">
        <f>TEXT(Table1[[#This Row],[Date]],"[$-en-US]mmm yyyy")</f>
        <v>Mar 2025</v>
      </c>
      <c r="K3291" s="13" t="str">
        <f>TEXT(Table1[[#This Row],[Date]],"[$-en-US]ddd")</f>
        <v>Wed</v>
      </c>
    </row>
    <row r="3292" spans="1:11" x14ac:dyDescent="0.25">
      <c r="A3292">
        <v>12</v>
      </c>
      <c r="B3292" t="s">
        <v>9</v>
      </c>
      <c r="C3292">
        <v>25.96</v>
      </c>
      <c r="D3292" t="s">
        <v>16</v>
      </c>
      <c r="E3292" t="s">
        <v>15</v>
      </c>
      <c r="F3292" t="s">
        <v>13</v>
      </c>
      <c r="G3292">
        <v>3</v>
      </c>
      <c r="H3292">
        <v>3</v>
      </c>
      <c r="I3292" s="13">
        <v>45721</v>
      </c>
      <c r="J3292" s="13" t="str">
        <f>TEXT(Table1[[#This Row],[Date]],"[$-en-US]mmm yyyy")</f>
        <v>Mar 2025</v>
      </c>
      <c r="K3292" s="13" t="str">
        <f>TEXT(Table1[[#This Row],[Date]],"[$-en-US]ddd")</f>
        <v>Wed</v>
      </c>
    </row>
    <row r="3293" spans="1:11" x14ac:dyDescent="0.25">
      <c r="A3293">
        <v>15</v>
      </c>
      <c r="B3293" t="s">
        <v>9</v>
      </c>
      <c r="C3293">
        <v>35.76</v>
      </c>
      <c r="D3293" t="s">
        <v>10</v>
      </c>
      <c r="E3293" t="s">
        <v>15</v>
      </c>
      <c r="F3293" t="s">
        <v>13</v>
      </c>
      <c r="G3293">
        <v>3</v>
      </c>
      <c r="H3293">
        <v>3</v>
      </c>
      <c r="I3293" s="13">
        <v>45721</v>
      </c>
      <c r="J3293" s="13" t="str">
        <f>TEXT(Table1[[#This Row],[Date]],"[$-en-US]mmm yyyy")</f>
        <v>Mar 2025</v>
      </c>
      <c r="K3293" s="13" t="str">
        <f>TEXT(Table1[[#This Row],[Date]],"[$-en-US]ddd")</f>
        <v>Wed</v>
      </c>
    </row>
    <row r="3294" spans="1:11" x14ac:dyDescent="0.25">
      <c r="A3294">
        <v>15</v>
      </c>
      <c r="B3294" t="s">
        <v>9</v>
      </c>
      <c r="C3294">
        <v>35.76</v>
      </c>
      <c r="D3294" t="s">
        <v>10</v>
      </c>
      <c r="E3294" t="s">
        <v>15</v>
      </c>
      <c r="F3294" t="s">
        <v>13</v>
      </c>
      <c r="G3294">
        <v>3</v>
      </c>
      <c r="H3294">
        <v>3</v>
      </c>
      <c r="I3294" s="13">
        <v>45721</v>
      </c>
      <c r="J3294" s="13" t="str">
        <f>TEXT(Table1[[#This Row],[Date]],"[$-en-US]mmm yyyy")</f>
        <v>Mar 2025</v>
      </c>
      <c r="K3294" s="13" t="str">
        <f>TEXT(Table1[[#This Row],[Date]],"[$-en-US]ddd")</f>
        <v>Wed</v>
      </c>
    </row>
    <row r="3295" spans="1:11" x14ac:dyDescent="0.25">
      <c r="A3295">
        <v>15</v>
      </c>
      <c r="B3295" t="s">
        <v>9</v>
      </c>
      <c r="C3295">
        <v>35.76</v>
      </c>
      <c r="D3295" t="s">
        <v>14</v>
      </c>
      <c r="E3295" t="s">
        <v>15</v>
      </c>
      <c r="F3295" t="s">
        <v>13</v>
      </c>
      <c r="G3295">
        <v>3</v>
      </c>
      <c r="H3295">
        <v>3</v>
      </c>
      <c r="I3295" s="13">
        <v>45721</v>
      </c>
      <c r="J3295" s="13" t="str">
        <f>TEXT(Table1[[#This Row],[Date]],"[$-en-US]mmm yyyy")</f>
        <v>Mar 2025</v>
      </c>
      <c r="K3295" s="13" t="str">
        <f>TEXT(Table1[[#This Row],[Date]],"[$-en-US]ddd")</f>
        <v>Wed</v>
      </c>
    </row>
    <row r="3296" spans="1:11" x14ac:dyDescent="0.25">
      <c r="A3296">
        <v>17</v>
      </c>
      <c r="B3296" t="s">
        <v>9</v>
      </c>
      <c r="C3296">
        <v>30.86</v>
      </c>
      <c r="D3296" t="s">
        <v>17</v>
      </c>
      <c r="E3296" t="s">
        <v>18</v>
      </c>
      <c r="F3296" t="s">
        <v>13</v>
      </c>
      <c r="G3296">
        <v>3</v>
      </c>
      <c r="H3296">
        <v>3</v>
      </c>
      <c r="I3296" s="13">
        <v>45721</v>
      </c>
      <c r="J3296" s="13" t="str">
        <f>TEXT(Table1[[#This Row],[Date]],"[$-en-US]mmm yyyy")</f>
        <v>Mar 2025</v>
      </c>
      <c r="K3296" s="13" t="str">
        <f>TEXT(Table1[[#This Row],[Date]],"[$-en-US]ddd")</f>
        <v>Wed</v>
      </c>
    </row>
    <row r="3297" spans="1:11" x14ac:dyDescent="0.25">
      <c r="A3297">
        <v>17</v>
      </c>
      <c r="B3297" t="s">
        <v>9</v>
      </c>
      <c r="C3297">
        <v>21.06</v>
      </c>
      <c r="D3297" t="s">
        <v>24</v>
      </c>
      <c r="E3297" t="s">
        <v>18</v>
      </c>
      <c r="F3297" t="s">
        <v>13</v>
      </c>
      <c r="G3297">
        <v>3</v>
      </c>
      <c r="H3297">
        <v>3</v>
      </c>
      <c r="I3297" s="13">
        <v>45721</v>
      </c>
      <c r="J3297" s="13" t="str">
        <f>TEXT(Table1[[#This Row],[Date]],"[$-en-US]mmm yyyy")</f>
        <v>Mar 2025</v>
      </c>
      <c r="K3297" s="13" t="str">
        <f>TEXT(Table1[[#This Row],[Date]],"[$-en-US]ddd")</f>
        <v>Wed</v>
      </c>
    </row>
    <row r="3298" spans="1:11" x14ac:dyDescent="0.25">
      <c r="A3298">
        <v>17</v>
      </c>
      <c r="B3298" t="s">
        <v>9</v>
      </c>
      <c r="C3298">
        <v>35.76</v>
      </c>
      <c r="D3298" t="s">
        <v>10</v>
      </c>
      <c r="E3298" t="s">
        <v>18</v>
      </c>
      <c r="F3298" t="s">
        <v>13</v>
      </c>
      <c r="G3298">
        <v>3</v>
      </c>
      <c r="H3298">
        <v>3</v>
      </c>
      <c r="I3298" s="13">
        <v>45721</v>
      </c>
      <c r="J3298" s="13" t="str">
        <f>TEXT(Table1[[#This Row],[Date]],"[$-en-US]mmm yyyy")</f>
        <v>Mar 2025</v>
      </c>
      <c r="K3298" s="13" t="str">
        <f>TEXT(Table1[[#This Row],[Date]],"[$-en-US]ddd")</f>
        <v>Wed</v>
      </c>
    </row>
    <row r="3299" spans="1:11" x14ac:dyDescent="0.25">
      <c r="A3299">
        <v>18</v>
      </c>
      <c r="B3299" t="s">
        <v>9</v>
      </c>
      <c r="C3299">
        <v>35.76</v>
      </c>
      <c r="D3299" t="s">
        <v>27</v>
      </c>
      <c r="E3299" t="s">
        <v>18</v>
      </c>
      <c r="F3299" t="s">
        <v>13</v>
      </c>
      <c r="G3299">
        <v>3</v>
      </c>
      <c r="H3299">
        <v>3</v>
      </c>
      <c r="I3299" s="13">
        <v>45721</v>
      </c>
      <c r="J3299" s="13" t="str">
        <f>TEXT(Table1[[#This Row],[Date]],"[$-en-US]mmm yyyy")</f>
        <v>Mar 2025</v>
      </c>
      <c r="K3299" s="13" t="str">
        <f>TEXT(Table1[[#This Row],[Date]],"[$-en-US]ddd")</f>
        <v>Wed</v>
      </c>
    </row>
    <row r="3300" spans="1:11" x14ac:dyDescent="0.25">
      <c r="A3300">
        <v>19</v>
      </c>
      <c r="B3300" t="s">
        <v>9</v>
      </c>
      <c r="C3300">
        <v>35.76</v>
      </c>
      <c r="D3300" t="s">
        <v>19</v>
      </c>
      <c r="E3300" t="s">
        <v>18</v>
      </c>
      <c r="F3300" t="s">
        <v>13</v>
      </c>
      <c r="G3300">
        <v>3</v>
      </c>
      <c r="H3300">
        <v>3</v>
      </c>
      <c r="I3300" s="13">
        <v>45721</v>
      </c>
      <c r="J3300" s="13" t="str">
        <f>TEXT(Table1[[#This Row],[Date]],"[$-en-US]mmm yyyy")</f>
        <v>Mar 2025</v>
      </c>
      <c r="K3300" s="13" t="str">
        <f>TEXT(Table1[[#This Row],[Date]],"[$-en-US]ddd")</f>
        <v>Wed</v>
      </c>
    </row>
    <row r="3301" spans="1:11" x14ac:dyDescent="0.25">
      <c r="A3301">
        <v>9</v>
      </c>
      <c r="B3301" t="s">
        <v>9</v>
      </c>
      <c r="C3301">
        <v>35.76</v>
      </c>
      <c r="D3301" t="s">
        <v>14</v>
      </c>
      <c r="E3301" t="s">
        <v>11</v>
      </c>
      <c r="F3301" t="s">
        <v>13</v>
      </c>
      <c r="G3301">
        <v>4</v>
      </c>
      <c r="H3301">
        <v>3</v>
      </c>
      <c r="I3301" s="13">
        <v>45722</v>
      </c>
      <c r="J3301" s="13" t="str">
        <f>TEXT(Table1[[#This Row],[Date]],"[$-en-US]mmm yyyy")</f>
        <v>Mar 2025</v>
      </c>
      <c r="K3301" s="13" t="str">
        <f>TEXT(Table1[[#This Row],[Date]],"[$-en-US]ddd")</f>
        <v>Thu</v>
      </c>
    </row>
    <row r="3302" spans="1:11" x14ac:dyDescent="0.25">
      <c r="A3302">
        <v>9</v>
      </c>
      <c r="B3302" t="s">
        <v>9</v>
      </c>
      <c r="C3302">
        <v>21.06</v>
      </c>
      <c r="D3302" t="s">
        <v>24</v>
      </c>
      <c r="E3302" t="s">
        <v>11</v>
      </c>
      <c r="F3302" t="s">
        <v>13</v>
      </c>
      <c r="G3302">
        <v>4</v>
      </c>
      <c r="H3302">
        <v>3</v>
      </c>
      <c r="I3302" s="13">
        <v>45722</v>
      </c>
      <c r="J3302" s="13" t="str">
        <f>TEXT(Table1[[#This Row],[Date]],"[$-en-US]mmm yyyy")</f>
        <v>Mar 2025</v>
      </c>
      <c r="K3302" s="13" t="str">
        <f>TEXT(Table1[[#This Row],[Date]],"[$-en-US]ddd")</f>
        <v>Thu</v>
      </c>
    </row>
    <row r="3303" spans="1:11" x14ac:dyDescent="0.25">
      <c r="A3303">
        <v>10</v>
      </c>
      <c r="B3303" t="s">
        <v>9</v>
      </c>
      <c r="C3303">
        <v>30.86</v>
      </c>
      <c r="D3303" t="s">
        <v>17</v>
      </c>
      <c r="E3303" t="s">
        <v>11</v>
      </c>
      <c r="F3303" t="s">
        <v>13</v>
      </c>
      <c r="G3303">
        <v>4</v>
      </c>
      <c r="H3303">
        <v>3</v>
      </c>
      <c r="I3303" s="13">
        <v>45722</v>
      </c>
      <c r="J3303" s="13" t="str">
        <f>TEXT(Table1[[#This Row],[Date]],"[$-en-US]mmm yyyy")</f>
        <v>Mar 2025</v>
      </c>
      <c r="K3303" s="13" t="str">
        <f>TEXT(Table1[[#This Row],[Date]],"[$-en-US]ddd")</f>
        <v>Thu</v>
      </c>
    </row>
    <row r="3304" spans="1:11" x14ac:dyDescent="0.25">
      <c r="A3304">
        <v>10</v>
      </c>
      <c r="B3304" t="s">
        <v>9</v>
      </c>
      <c r="C3304">
        <v>25.96</v>
      </c>
      <c r="D3304" t="s">
        <v>16</v>
      </c>
      <c r="E3304" t="s">
        <v>11</v>
      </c>
      <c r="F3304" t="s">
        <v>13</v>
      </c>
      <c r="G3304">
        <v>4</v>
      </c>
      <c r="H3304">
        <v>3</v>
      </c>
      <c r="I3304" s="13">
        <v>45722</v>
      </c>
      <c r="J3304" s="13" t="str">
        <f>TEXT(Table1[[#This Row],[Date]],"[$-en-US]mmm yyyy")</f>
        <v>Mar 2025</v>
      </c>
      <c r="K3304" s="13" t="str">
        <f>TEXT(Table1[[#This Row],[Date]],"[$-en-US]ddd")</f>
        <v>Thu</v>
      </c>
    </row>
    <row r="3305" spans="1:11" x14ac:dyDescent="0.25">
      <c r="A3305">
        <v>10</v>
      </c>
      <c r="B3305" t="s">
        <v>9</v>
      </c>
      <c r="C3305">
        <v>25.96</v>
      </c>
      <c r="D3305" t="s">
        <v>16</v>
      </c>
      <c r="E3305" t="s">
        <v>11</v>
      </c>
      <c r="F3305" t="s">
        <v>13</v>
      </c>
      <c r="G3305">
        <v>4</v>
      </c>
      <c r="H3305">
        <v>3</v>
      </c>
      <c r="I3305" s="13">
        <v>45722</v>
      </c>
      <c r="J3305" s="13" t="str">
        <f>TEXT(Table1[[#This Row],[Date]],"[$-en-US]mmm yyyy")</f>
        <v>Mar 2025</v>
      </c>
      <c r="K3305" s="13" t="str">
        <f>TEXT(Table1[[#This Row],[Date]],"[$-en-US]ddd")</f>
        <v>Thu</v>
      </c>
    </row>
    <row r="3306" spans="1:11" x14ac:dyDescent="0.25">
      <c r="A3306">
        <v>11</v>
      </c>
      <c r="B3306" t="s">
        <v>9</v>
      </c>
      <c r="C3306">
        <v>25.96</v>
      </c>
      <c r="D3306" t="s">
        <v>16</v>
      </c>
      <c r="E3306" t="s">
        <v>11</v>
      </c>
      <c r="F3306" t="s">
        <v>13</v>
      </c>
      <c r="G3306">
        <v>4</v>
      </c>
      <c r="H3306">
        <v>3</v>
      </c>
      <c r="I3306" s="13">
        <v>45722</v>
      </c>
      <c r="J3306" s="13" t="str">
        <f>TEXT(Table1[[#This Row],[Date]],"[$-en-US]mmm yyyy")</f>
        <v>Mar 2025</v>
      </c>
      <c r="K3306" s="13" t="str">
        <f>TEXT(Table1[[#This Row],[Date]],"[$-en-US]ddd")</f>
        <v>Thu</v>
      </c>
    </row>
    <row r="3307" spans="1:11" x14ac:dyDescent="0.25">
      <c r="A3307">
        <v>11</v>
      </c>
      <c r="B3307" t="s">
        <v>9</v>
      </c>
      <c r="C3307">
        <v>35.76</v>
      </c>
      <c r="D3307" t="s">
        <v>27</v>
      </c>
      <c r="E3307" t="s">
        <v>11</v>
      </c>
      <c r="F3307" t="s">
        <v>13</v>
      </c>
      <c r="G3307">
        <v>4</v>
      </c>
      <c r="H3307">
        <v>3</v>
      </c>
      <c r="I3307" s="13">
        <v>45722</v>
      </c>
      <c r="J3307" s="13" t="str">
        <f>TEXT(Table1[[#This Row],[Date]],"[$-en-US]mmm yyyy")</f>
        <v>Mar 2025</v>
      </c>
      <c r="K3307" s="13" t="str">
        <f>TEXT(Table1[[#This Row],[Date]],"[$-en-US]ddd")</f>
        <v>Thu</v>
      </c>
    </row>
    <row r="3308" spans="1:11" x14ac:dyDescent="0.25">
      <c r="A3308">
        <v>13</v>
      </c>
      <c r="B3308" t="s">
        <v>9</v>
      </c>
      <c r="C3308">
        <v>35.76</v>
      </c>
      <c r="D3308" t="s">
        <v>10</v>
      </c>
      <c r="E3308" t="s">
        <v>15</v>
      </c>
      <c r="F3308" t="s">
        <v>13</v>
      </c>
      <c r="G3308">
        <v>4</v>
      </c>
      <c r="H3308">
        <v>3</v>
      </c>
      <c r="I3308" s="13">
        <v>45722</v>
      </c>
      <c r="J3308" s="13" t="str">
        <f>TEXT(Table1[[#This Row],[Date]],"[$-en-US]mmm yyyy")</f>
        <v>Mar 2025</v>
      </c>
      <c r="K3308" s="13" t="str">
        <f>TEXT(Table1[[#This Row],[Date]],"[$-en-US]ddd")</f>
        <v>Thu</v>
      </c>
    </row>
    <row r="3309" spans="1:11" x14ac:dyDescent="0.25">
      <c r="A3309">
        <v>16</v>
      </c>
      <c r="B3309" t="s">
        <v>9</v>
      </c>
      <c r="C3309">
        <v>30.86</v>
      </c>
      <c r="D3309" t="s">
        <v>17</v>
      </c>
      <c r="E3309" t="s">
        <v>15</v>
      </c>
      <c r="F3309" t="s">
        <v>13</v>
      </c>
      <c r="G3309">
        <v>4</v>
      </c>
      <c r="H3309">
        <v>3</v>
      </c>
      <c r="I3309" s="13">
        <v>45722</v>
      </c>
      <c r="J3309" s="13" t="str">
        <f>TEXT(Table1[[#This Row],[Date]],"[$-en-US]mmm yyyy")</f>
        <v>Mar 2025</v>
      </c>
      <c r="K3309" s="13" t="str">
        <f>TEXT(Table1[[#This Row],[Date]],"[$-en-US]ddd")</f>
        <v>Thu</v>
      </c>
    </row>
    <row r="3310" spans="1:11" x14ac:dyDescent="0.25">
      <c r="A3310">
        <v>17</v>
      </c>
      <c r="B3310" t="s">
        <v>9</v>
      </c>
      <c r="C3310">
        <v>35.76</v>
      </c>
      <c r="D3310" t="s">
        <v>19</v>
      </c>
      <c r="E3310" t="s">
        <v>18</v>
      </c>
      <c r="F3310" t="s">
        <v>13</v>
      </c>
      <c r="G3310">
        <v>4</v>
      </c>
      <c r="H3310">
        <v>3</v>
      </c>
      <c r="I3310" s="13">
        <v>45722</v>
      </c>
      <c r="J3310" s="13" t="str">
        <f>TEXT(Table1[[#This Row],[Date]],"[$-en-US]mmm yyyy")</f>
        <v>Mar 2025</v>
      </c>
      <c r="K3310" s="13" t="str">
        <f>TEXT(Table1[[#This Row],[Date]],"[$-en-US]ddd")</f>
        <v>Thu</v>
      </c>
    </row>
    <row r="3311" spans="1:11" x14ac:dyDescent="0.25">
      <c r="A3311">
        <v>18</v>
      </c>
      <c r="B3311" t="s">
        <v>9</v>
      </c>
      <c r="C3311">
        <v>35.76</v>
      </c>
      <c r="D3311" t="s">
        <v>27</v>
      </c>
      <c r="E3311" t="s">
        <v>18</v>
      </c>
      <c r="F3311" t="s">
        <v>13</v>
      </c>
      <c r="G3311">
        <v>4</v>
      </c>
      <c r="H3311">
        <v>3</v>
      </c>
      <c r="I3311" s="13">
        <v>45722</v>
      </c>
      <c r="J3311" s="13" t="str">
        <f>TEXT(Table1[[#This Row],[Date]],"[$-en-US]mmm yyyy")</f>
        <v>Mar 2025</v>
      </c>
      <c r="K3311" s="13" t="str">
        <f>TEXT(Table1[[#This Row],[Date]],"[$-en-US]ddd")</f>
        <v>Thu</v>
      </c>
    </row>
    <row r="3312" spans="1:11" x14ac:dyDescent="0.25">
      <c r="A3312">
        <v>19</v>
      </c>
      <c r="B3312" t="s">
        <v>9</v>
      </c>
      <c r="C3312">
        <v>30.86</v>
      </c>
      <c r="D3312" t="s">
        <v>17</v>
      </c>
      <c r="E3312" t="s">
        <v>18</v>
      </c>
      <c r="F3312" t="s">
        <v>13</v>
      </c>
      <c r="G3312">
        <v>4</v>
      </c>
      <c r="H3312">
        <v>3</v>
      </c>
      <c r="I3312" s="13">
        <v>45722</v>
      </c>
      <c r="J3312" s="13" t="str">
        <f>TEXT(Table1[[#This Row],[Date]],"[$-en-US]mmm yyyy")</f>
        <v>Mar 2025</v>
      </c>
      <c r="K3312" s="13" t="str">
        <f>TEXT(Table1[[#This Row],[Date]],"[$-en-US]ddd")</f>
        <v>Thu</v>
      </c>
    </row>
    <row r="3313" spans="1:11" x14ac:dyDescent="0.25">
      <c r="A3313">
        <v>7</v>
      </c>
      <c r="B3313" t="s">
        <v>9</v>
      </c>
      <c r="C3313">
        <v>35.76</v>
      </c>
      <c r="D3313" t="s">
        <v>27</v>
      </c>
      <c r="E3313" t="s">
        <v>11</v>
      </c>
      <c r="F3313" t="s">
        <v>13</v>
      </c>
      <c r="G3313">
        <v>5</v>
      </c>
      <c r="H3313">
        <v>3</v>
      </c>
      <c r="I3313" s="13">
        <v>45723</v>
      </c>
      <c r="J3313" s="13" t="str">
        <f>TEXT(Table1[[#This Row],[Date]],"[$-en-US]mmm yyyy")</f>
        <v>Mar 2025</v>
      </c>
      <c r="K3313" s="13" t="str">
        <f>TEXT(Table1[[#This Row],[Date]],"[$-en-US]ddd")</f>
        <v>Fri</v>
      </c>
    </row>
    <row r="3314" spans="1:11" x14ac:dyDescent="0.25">
      <c r="A3314">
        <v>8</v>
      </c>
      <c r="B3314" t="s">
        <v>9</v>
      </c>
      <c r="C3314">
        <v>25.96</v>
      </c>
      <c r="D3314" t="s">
        <v>16</v>
      </c>
      <c r="E3314" t="s">
        <v>11</v>
      </c>
      <c r="F3314" t="s">
        <v>13</v>
      </c>
      <c r="G3314">
        <v>5</v>
      </c>
      <c r="H3314">
        <v>3</v>
      </c>
      <c r="I3314" s="13">
        <v>45723</v>
      </c>
      <c r="J3314" s="13" t="str">
        <f>TEXT(Table1[[#This Row],[Date]],"[$-en-US]mmm yyyy")</f>
        <v>Mar 2025</v>
      </c>
      <c r="K3314" s="13" t="str">
        <f>TEXT(Table1[[#This Row],[Date]],"[$-en-US]ddd")</f>
        <v>Fri</v>
      </c>
    </row>
    <row r="3315" spans="1:11" x14ac:dyDescent="0.25">
      <c r="A3315">
        <v>8</v>
      </c>
      <c r="B3315" t="s">
        <v>9</v>
      </c>
      <c r="C3315">
        <v>25.96</v>
      </c>
      <c r="D3315" t="s">
        <v>16</v>
      </c>
      <c r="E3315" t="s">
        <v>11</v>
      </c>
      <c r="F3315" t="s">
        <v>13</v>
      </c>
      <c r="G3315">
        <v>5</v>
      </c>
      <c r="H3315">
        <v>3</v>
      </c>
      <c r="I3315" s="13">
        <v>45723</v>
      </c>
      <c r="J3315" s="13" t="str">
        <f>TEXT(Table1[[#This Row],[Date]],"[$-en-US]mmm yyyy")</f>
        <v>Mar 2025</v>
      </c>
      <c r="K3315" s="13" t="str">
        <f>TEXT(Table1[[#This Row],[Date]],"[$-en-US]ddd")</f>
        <v>Fri</v>
      </c>
    </row>
    <row r="3316" spans="1:11" x14ac:dyDescent="0.25">
      <c r="A3316">
        <v>9</v>
      </c>
      <c r="B3316" t="s">
        <v>9</v>
      </c>
      <c r="C3316">
        <v>25.96</v>
      </c>
      <c r="D3316" t="s">
        <v>16</v>
      </c>
      <c r="E3316" t="s">
        <v>11</v>
      </c>
      <c r="F3316" t="s">
        <v>13</v>
      </c>
      <c r="G3316">
        <v>5</v>
      </c>
      <c r="H3316">
        <v>3</v>
      </c>
      <c r="I3316" s="13">
        <v>45723</v>
      </c>
      <c r="J3316" s="13" t="str">
        <f>TEXT(Table1[[#This Row],[Date]],"[$-en-US]mmm yyyy")</f>
        <v>Mar 2025</v>
      </c>
      <c r="K3316" s="13" t="str">
        <f>TEXT(Table1[[#This Row],[Date]],"[$-en-US]ddd")</f>
        <v>Fri</v>
      </c>
    </row>
    <row r="3317" spans="1:11" x14ac:dyDescent="0.25">
      <c r="A3317">
        <v>10</v>
      </c>
      <c r="B3317" t="s">
        <v>9</v>
      </c>
      <c r="C3317">
        <v>35.76</v>
      </c>
      <c r="D3317" t="s">
        <v>14</v>
      </c>
      <c r="E3317" t="s">
        <v>11</v>
      </c>
      <c r="F3317" t="s">
        <v>13</v>
      </c>
      <c r="G3317">
        <v>5</v>
      </c>
      <c r="H3317">
        <v>3</v>
      </c>
      <c r="I3317" s="13">
        <v>45723</v>
      </c>
      <c r="J3317" s="13" t="str">
        <f>TEXT(Table1[[#This Row],[Date]],"[$-en-US]mmm yyyy")</f>
        <v>Mar 2025</v>
      </c>
      <c r="K3317" s="13" t="str">
        <f>TEXT(Table1[[#This Row],[Date]],"[$-en-US]ddd")</f>
        <v>Fri</v>
      </c>
    </row>
    <row r="3318" spans="1:11" x14ac:dyDescent="0.25">
      <c r="A3318">
        <v>10</v>
      </c>
      <c r="B3318" t="s">
        <v>9</v>
      </c>
      <c r="C3318">
        <v>30.86</v>
      </c>
      <c r="D3318" t="s">
        <v>17</v>
      </c>
      <c r="E3318" t="s">
        <v>11</v>
      </c>
      <c r="F3318" t="s">
        <v>13</v>
      </c>
      <c r="G3318">
        <v>5</v>
      </c>
      <c r="H3318">
        <v>3</v>
      </c>
      <c r="I3318" s="13">
        <v>45723</v>
      </c>
      <c r="J3318" s="13" t="str">
        <f>TEXT(Table1[[#This Row],[Date]],"[$-en-US]mmm yyyy")</f>
        <v>Mar 2025</v>
      </c>
      <c r="K3318" s="13" t="str">
        <f>TEXT(Table1[[#This Row],[Date]],"[$-en-US]ddd")</f>
        <v>Fri</v>
      </c>
    </row>
    <row r="3319" spans="1:11" x14ac:dyDescent="0.25">
      <c r="A3319">
        <v>10</v>
      </c>
      <c r="B3319" t="s">
        <v>9</v>
      </c>
      <c r="C3319">
        <v>30.86</v>
      </c>
      <c r="D3319" t="s">
        <v>17</v>
      </c>
      <c r="E3319" t="s">
        <v>11</v>
      </c>
      <c r="F3319" t="s">
        <v>13</v>
      </c>
      <c r="G3319">
        <v>5</v>
      </c>
      <c r="H3319">
        <v>3</v>
      </c>
      <c r="I3319" s="13">
        <v>45723</v>
      </c>
      <c r="J3319" s="13" t="str">
        <f>TEXT(Table1[[#This Row],[Date]],"[$-en-US]mmm yyyy")</f>
        <v>Mar 2025</v>
      </c>
      <c r="K3319" s="13" t="str">
        <f>TEXT(Table1[[#This Row],[Date]],"[$-en-US]ddd")</f>
        <v>Fri</v>
      </c>
    </row>
    <row r="3320" spans="1:11" x14ac:dyDescent="0.25">
      <c r="A3320">
        <v>10</v>
      </c>
      <c r="B3320" t="s">
        <v>9</v>
      </c>
      <c r="C3320">
        <v>35.76</v>
      </c>
      <c r="D3320" t="s">
        <v>19</v>
      </c>
      <c r="E3320" t="s">
        <v>11</v>
      </c>
      <c r="F3320" t="s">
        <v>13</v>
      </c>
      <c r="G3320">
        <v>5</v>
      </c>
      <c r="H3320">
        <v>3</v>
      </c>
      <c r="I3320" s="13">
        <v>45723</v>
      </c>
      <c r="J3320" s="13" t="str">
        <f>TEXT(Table1[[#This Row],[Date]],"[$-en-US]mmm yyyy")</f>
        <v>Mar 2025</v>
      </c>
      <c r="K3320" s="13" t="str">
        <f>TEXT(Table1[[#This Row],[Date]],"[$-en-US]ddd")</f>
        <v>Fri</v>
      </c>
    </row>
    <row r="3321" spans="1:11" x14ac:dyDescent="0.25">
      <c r="A3321">
        <v>11</v>
      </c>
      <c r="B3321" t="s">
        <v>9</v>
      </c>
      <c r="C3321">
        <v>35.76</v>
      </c>
      <c r="D3321" t="s">
        <v>19</v>
      </c>
      <c r="E3321" t="s">
        <v>11</v>
      </c>
      <c r="F3321" t="s">
        <v>13</v>
      </c>
      <c r="G3321">
        <v>5</v>
      </c>
      <c r="H3321">
        <v>3</v>
      </c>
      <c r="I3321" s="13">
        <v>45723</v>
      </c>
      <c r="J3321" s="13" t="str">
        <f>TEXT(Table1[[#This Row],[Date]],"[$-en-US]mmm yyyy")</f>
        <v>Mar 2025</v>
      </c>
      <c r="K3321" s="13" t="str">
        <f>TEXT(Table1[[#This Row],[Date]],"[$-en-US]ddd")</f>
        <v>Fri</v>
      </c>
    </row>
    <row r="3322" spans="1:11" x14ac:dyDescent="0.25">
      <c r="A3322">
        <v>12</v>
      </c>
      <c r="B3322" t="s">
        <v>9</v>
      </c>
      <c r="C3322">
        <v>30.86</v>
      </c>
      <c r="D3322" t="s">
        <v>17</v>
      </c>
      <c r="E3322" t="s">
        <v>15</v>
      </c>
      <c r="F3322" t="s">
        <v>13</v>
      </c>
      <c r="G3322">
        <v>5</v>
      </c>
      <c r="H3322">
        <v>3</v>
      </c>
      <c r="I3322" s="13">
        <v>45723</v>
      </c>
      <c r="J3322" s="13" t="str">
        <f>TEXT(Table1[[#This Row],[Date]],"[$-en-US]mmm yyyy")</f>
        <v>Mar 2025</v>
      </c>
      <c r="K3322" s="13" t="str">
        <f>TEXT(Table1[[#This Row],[Date]],"[$-en-US]ddd")</f>
        <v>Fri</v>
      </c>
    </row>
    <row r="3323" spans="1:11" x14ac:dyDescent="0.25">
      <c r="A3323">
        <v>13</v>
      </c>
      <c r="B3323" t="s">
        <v>9</v>
      </c>
      <c r="C3323">
        <v>35.76</v>
      </c>
      <c r="D3323" t="s">
        <v>14</v>
      </c>
      <c r="E3323" t="s">
        <v>15</v>
      </c>
      <c r="F3323" t="s">
        <v>13</v>
      </c>
      <c r="G3323">
        <v>5</v>
      </c>
      <c r="H3323">
        <v>3</v>
      </c>
      <c r="I3323" s="13">
        <v>45723</v>
      </c>
      <c r="J3323" s="13" t="str">
        <f>TEXT(Table1[[#This Row],[Date]],"[$-en-US]mmm yyyy")</f>
        <v>Mar 2025</v>
      </c>
      <c r="K3323" s="13" t="str">
        <f>TEXT(Table1[[#This Row],[Date]],"[$-en-US]ddd")</f>
        <v>Fri</v>
      </c>
    </row>
    <row r="3324" spans="1:11" x14ac:dyDescent="0.25">
      <c r="A3324">
        <v>13</v>
      </c>
      <c r="B3324" t="s">
        <v>9</v>
      </c>
      <c r="C3324">
        <v>25.96</v>
      </c>
      <c r="D3324" t="s">
        <v>16</v>
      </c>
      <c r="E3324" t="s">
        <v>15</v>
      </c>
      <c r="F3324" t="s">
        <v>13</v>
      </c>
      <c r="G3324">
        <v>5</v>
      </c>
      <c r="H3324">
        <v>3</v>
      </c>
      <c r="I3324" s="13">
        <v>45723</v>
      </c>
      <c r="J3324" s="13" t="str">
        <f>TEXT(Table1[[#This Row],[Date]],"[$-en-US]mmm yyyy")</f>
        <v>Mar 2025</v>
      </c>
      <c r="K3324" s="13" t="str">
        <f>TEXT(Table1[[#This Row],[Date]],"[$-en-US]ddd")</f>
        <v>Fri</v>
      </c>
    </row>
    <row r="3325" spans="1:11" x14ac:dyDescent="0.25">
      <c r="A3325">
        <v>14</v>
      </c>
      <c r="B3325" t="s">
        <v>9</v>
      </c>
      <c r="C3325">
        <v>35.76</v>
      </c>
      <c r="D3325" t="s">
        <v>27</v>
      </c>
      <c r="E3325" t="s">
        <v>15</v>
      </c>
      <c r="F3325" t="s">
        <v>13</v>
      </c>
      <c r="G3325">
        <v>5</v>
      </c>
      <c r="H3325">
        <v>3</v>
      </c>
      <c r="I3325" s="13">
        <v>45723</v>
      </c>
      <c r="J3325" s="13" t="str">
        <f>TEXT(Table1[[#This Row],[Date]],"[$-en-US]mmm yyyy")</f>
        <v>Mar 2025</v>
      </c>
      <c r="K3325" s="13" t="str">
        <f>TEXT(Table1[[#This Row],[Date]],"[$-en-US]ddd")</f>
        <v>Fri</v>
      </c>
    </row>
    <row r="3326" spans="1:11" x14ac:dyDescent="0.25">
      <c r="A3326">
        <v>15</v>
      </c>
      <c r="B3326" t="s">
        <v>9</v>
      </c>
      <c r="C3326">
        <v>35.76</v>
      </c>
      <c r="D3326" t="s">
        <v>10</v>
      </c>
      <c r="E3326" t="s">
        <v>15</v>
      </c>
      <c r="F3326" t="s">
        <v>13</v>
      </c>
      <c r="G3326">
        <v>5</v>
      </c>
      <c r="H3326">
        <v>3</v>
      </c>
      <c r="I3326" s="13">
        <v>45723</v>
      </c>
      <c r="J3326" s="13" t="str">
        <f>TEXT(Table1[[#This Row],[Date]],"[$-en-US]mmm yyyy")</f>
        <v>Mar 2025</v>
      </c>
      <c r="K3326" s="13" t="str">
        <f>TEXT(Table1[[#This Row],[Date]],"[$-en-US]ddd")</f>
        <v>Fri</v>
      </c>
    </row>
    <row r="3327" spans="1:11" x14ac:dyDescent="0.25">
      <c r="A3327">
        <v>15</v>
      </c>
      <c r="B3327" t="s">
        <v>9</v>
      </c>
      <c r="C3327">
        <v>35.76</v>
      </c>
      <c r="D3327" t="s">
        <v>10</v>
      </c>
      <c r="E3327" t="s">
        <v>15</v>
      </c>
      <c r="F3327" t="s">
        <v>13</v>
      </c>
      <c r="G3327">
        <v>5</v>
      </c>
      <c r="H3327">
        <v>3</v>
      </c>
      <c r="I3327" s="13">
        <v>45723</v>
      </c>
      <c r="J3327" s="13" t="str">
        <f>TEXT(Table1[[#This Row],[Date]],"[$-en-US]mmm yyyy")</f>
        <v>Mar 2025</v>
      </c>
      <c r="K3327" s="13" t="str">
        <f>TEXT(Table1[[#This Row],[Date]],"[$-en-US]ddd")</f>
        <v>Fri</v>
      </c>
    </row>
    <row r="3328" spans="1:11" x14ac:dyDescent="0.25">
      <c r="A3328">
        <v>17</v>
      </c>
      <c r="B3328" t="s">
        <v>9</v>
      </c>
      <c r="C3328">
        <v>35.76</v>
      </c>
      <c r="D3328" t="s">
        <v>10</v>
      </c>
      <c r="E3328" t="s">
        <v>18</v>
      </c>
      <c r="F3328" t="s">
        <v>13</v>
      </c>
      <c r="G3328">
        <v>5</v>
      </c>
      <c r="H3328">
        <v>3</v>
      </c>
      <c r="I3328" s="13">
        <v>45723</v>
      </c>
      <c r="J3328" s="13" t="str">
        <f>TEXT(Table1[[#This Row],[Date]],"[$-en-US]mmm yyyy")</f>
        <v>Mar 2025</v>
      </c>
      <c r="K3328" s="13" t="str">
        <f>TEXT(Table1[[#This Row],[Date]],"[$-en-US]ddd")</f>
        <v>Fri</v>
      </c>
    </row>
    <row r="3329" spans="1:11" x14ac:dyDescent="0.25">
      <c r="A3329">
        <v>17</v>
      </c>
      <c r="B3329" t="s">
        <v>9</v>
      </c>
      <c r="C3329">
        <v>35.76</v>
      </c>
      <c r="D3329" t="s">
        <v>14</v>
      </c>
      <c r="E3329" t="s">
        <v>18</v>
      </c>
      <c r="F3329" t="s">
        <v>13</v>
      </c>
      <c r="G3329">
        <v>5</v>
      </c>
      <c r="H3329">
        <v>3</v>
      </c>
      <c r="I3329" s="13">
        <v>45723</v>
      </c>
      <c r="J3329" s="13" t="str">
        <f>TEXT(Table1[[#This Row],[Date]],"[$-en-US]mmm yyyy")</f>
        <v>Mar 2025</v>
      </c>
      <c r="K3329" s="13" t="str">
        <f>TEXT(Table1[[#This Row],[Date]],"[$-en-US]ddd")</f>
        <v>Fri</v>
      </c>
    </row>
    <row r="3330" spans="1:11" x14ac:dyDescent="0.25">
      <c r="A3330">
        <v>9</v>
      </c>
      <c r="B3330" t="s">
        <v>9</v>
      </c>
      <c r="C3330">
        <v>30.86</v>
      </c>
      <c r="D3330" t="s">
        <v>17</v>
      </c>
      <c r="E3330" t="s">
        <v>11</v>
      </c>
      <c r="F3330" t="s">
        <v>13</v>
      </c>
      <c r="G3330">
        <v>6</v>
      </c>
      <c r="H3330">
        <v>3</v>
      </c>
      <c r="I3330" s="13">
        <v>45724</v>
      </c>
      <c r="J3330" s="13" t="str">
        <f>TEXT(Table1[[#This Row],[Date]],"[$-en-US]mmm yyyy")</f>
        <v>Mar 2025</v>
      </c>
      <c r="K3330" s="13" t="str">
        <f>TEXT(Table1[[#This Row],[Date]],"[$-en-US]ddd")</f>
        <v>Sat</v>
      </c>
    </row>
    <row r="3331" spans="1:11" x14ac:dyDescent="0.25">
      <c r="A3331">
        <v>9</v>
      </c>
      <c r="B3331" t="s">
        <v>9</v>
      </c>
      <c r="C3331">
        <v>30.86</v>
      </c>
      <c r="D3331" t="s">
        <v>17</v>
      </c>
      <c r="E3331" t="s">
        <v>11</v>
      </c>
      <c r="F3331" t="s">
        <v>13</v>
      </c>
      <c r="G3331">
        <v>6</v>
      </c>
      <c r="H3331">
        <v>3</v>
      </c>
      <c r="I3331" s="13">
        <v>45724</v>
      </c>
      <c r="J3331" s="13" t="str">
        <f>TEXT(Table1[[#This Row],[Date]],"[$-en-US]mmm yyyy")</f>
        <v>Mar 2025</v>
      </c>
      <c r="K3331" s="13" t="str">
        <f>TEXT(Table1[[#This Row],[Date]],"[$-en-US]ddd")</f>
        <v>Sat</v>
      </c>
    </row>
    <row r="3332" spans="1:11" x14ac:dyDescent="0.25">
      <c r="A3332">
        <v>10</v>
      </c>
      <c r="B3332" t="s">
        <v>9</v>
      </c>
      <c r="C3332">
        <v>25.96</v>
      </c>
      <c r="D3332" t="s">
        <v>16</v>
      </c>
      <c r="E3332" t="s">
        <v>11</v>
      </c>
      <c r="F3332" t="s">
        <v>13</v>
      </c>
      <c r="G3332">
        <v>6</v>
      </c>
      <c r="H3332">
        <v>3</v>
      </c>
      <c r="I3332" s="13">
        <v>45724</v>
      </c>
      <c r="J3332" s="13" t="str">
        <f>TEXT(Table1[[#This Row],[Date]],"[$-en-US]mmm yyyy")</f>
        <v>Mar 2025</v>
      </c>
      <c r="K3332" s="13" t="str">
        <f>TEXT(Table1[[#This Row],[Date]],"[$-en-US]ddd")</f>
        <v>Sat</v>
      </c>
    </row>
    <row r="3333" spans="1:11" x14ac:dyDescent="0.25">
      <c r="A3333">
        <v>11</v>
      </c>
      <c r="B3333" t="s">
        <v>9</v>
      </c>
      <c r="C3333">
        <v>25.96</v>
      </c>
      <c r="D3333" t="s">
        <v>16</v>
      </c>
      <c r="E3333" t="s">
        <v>11</v>
      </c>
      <c r="F3333" t="s">
        <v>13</v>
      </c>
      <c r="G3333">
        <v>6</v>
      </c>
      <c r="H3333">
        <v>3</v>
      </c>
      <c r="I3333" s="13">
        <v>45724</v>
      </c>
      <c r="J3333" s="13" t="str">
        <f>TEXT(Table1[[#This Row],[Date]],"[$-en-US]mmm yyyy")</f>
        <v>Mar 2025</v>
      </c>
      <c r="K3333" s="13" t="str">
        <f>TEXT(Table1[[#This Row],[Date]],"[$-en-US]ddd")</f>
        <v>Sat</v>
      </c>
    </row>
    <row r="3334" spans="1:11" x14ac:dyDescent="0.25">
      <c r="A3334">
        <v>11</v>
      </c>
      <c r="B3334" t="s">
        <v>9</v>
      </c>
      <c r="C3334">
        <v>25.96</v>
      </c>
      <c r="D3334" t="s">
        <v>16</v>
      </c>
      <c r="E3334" t="s">
        <v>11</v>
      </c>
      <c r="F3334" t="s">
        <v>13</v>
      </c>
      <c r="G3334">
        <v>6</v>
      </c>
      <c r="H3334">
        <v>3</v>
      </c>
      <c r="I3334" s="13">
        <v>45724</v>
      </c>
      <c r="J3334" s="13" t="str">
        <f>TEXT(Table1[[#This Row],[Date]],"[$-en-US]mmm yyyy")</f>
        <v>Mar 2025</v>
      </c>
      <c r="K3334" s="13" t="str">
        <f>TEXT(Table1[[#This Row],[Date]],"[$-en-US]ddd")</f>
        <v>Sat</v>
      </c>
    </row>
    <row r="3335" spans="1:11" x14ac:dyDescent="0.25">
      <c r="A3335">
        <v>12</v>
      </c>
      <c r="B3335" t="s">
        <v>9</v>
      </c>
      <c r="C3335">
        <v>30.86</v>
      </c>
      <c r="D3335" t="s">
        <v>17</v>
      </c>
      <c r="E3335" t="s">
        <v>15</v>
      </c>
      <c r="F3335" t="s">
        <v>13</v>
      </c>
      <c r="G3335">
        <v>6</v>
      </c>
      <c r="H3335">
        <v>3</v>
      </c>
      <c r="I3335" s="13">
        <v>45724</v>
      </c>
      <c r="J3335" s="13" t="str">
        <f>TEXT(Table1[[#This Row],[Date]],"[$-en-US]mmm yyyy")</f>
        <v>Mar 2025</v>
      </c>
      <c r="K3335" s="13" t="str">
        <f>TEXT(Table1[[#This Row],[Date]],"[$-en-US]ddd")</f>
        <v>Sat</v>
      </c>
    </row>
    <row r="3336" spans="1:11" x14ac:dyDescent="0.25">
      <c r="A3336">
        <v>12</v>
      </c>
      <c r="B3336" t="s">
        <v>9</v>
      </c>
      <c r="C3336">
        <v>25.96</v>
      </c>
      <c r="D3336" t="s">
        <v>16</v>
      </c>
      <c r="E3336" t="s">
        <v>15</v>
      </c>
      <c r="F3336" t="s">
        <v>13</v>
      </c>
      <c r="G3336">
        <v>6</v>
      </c>
      <c r="H3336">
        <v>3</v>
      </c>
      <c r="I3336" s="13">
        <v>45724</v>
      </c>
      <c r="J3336" s="13" t="str">
        <f>TEXT(Table1[[#This Row],[Date]],"[$-en-US]mmm yyyy")</f>
        <v>Mar 2025</v>
      </c>
      <c r="K3336" s="13" t="str">
        <f>TEXT(Table1[[#This Row],[Date]],"[$-en-US]ddd")</f>
        <v>Sat</v>
      </c>
    </row>
    <row r="3337" spans="1:11" x14ac:dyDescent="0.25">
      <c r="A3337">
        <v>13</v>
      </c>
      <c r="B3337" t="s">
        <v>9</v>
      </c>
      <c r="C3337">
        <v>35.76</v>
      </c>
      <c r="D3337" t="s">
        <v>27</v>
      </c>
      <c r="E3337" t="s">
        <v>15</v>
      </c>
      <c r="F3337" t="s">
        <v>13</v>
      </c>
      <c r="G3337">
        <v>6</v>
      </c>
      <c r="H3337">
        <v>3</v>
      </c>
      <c r="I3337" s="13">
        <v>45724</v>
      </c>
      <c r="J3337" s="13" t="str">
        <f>TEXT(Table1[[#This Row],[Date]],"[$-en-US]mmm yyyy")</f>
        <v>Mar 2025</v>
      </c>
      <c r="K3337" s="13" t="str">
        <f>TEXT(Table1[[#This Row],[Date]],"[$-en-US]ddd")</f>
        <v>Sat</v>
      </c>
    </row>
    <row r="3338" spans="1:11" x14ac:dyDescent="0.25">
      <c r="A3338">
        <v>9</v>
      </c>
      <c r="B3338" t="s">
        <v>9</v>
      </c>
      <c r="C3338">
        <v>21.06</v>
      </c>
      <c r="D3338" t="s">
        <v>24</v>
      </c>
      <c r="E3338" t="s">
        <v>11</v>
      </c>
      <c r="F3338" t="s">
        <v>13</v>
      </c>
      <c r="G3338">
        <v>7</v>
      </c>
      <c r="H3338">
        <v>3</v>
      </c>
      <c r="I3338" s="13">
        <v>45725</v>
      </c>
      <c r="J3338" s="13" t="str">
        <f>TEXT(Table1[[#This Row],[Date]],"[$-en-US]mmm yyyy")</f>
        <v>Mar 2025</v>
      </c>
      <c r="K3338" s="13" t="str">
        <f>TEXT(Table1[[#This Row],[Date]],"[$-en-US]ddd")</f>
        <v>Sun</v>
      </c>
    </row>
    <row r="3339" spans="1:11" x14ac:dyDescent="0.25">
      <c r="A3339">
        <v>11</v>
      </c>
      <c r="B3339" t="s">
        <v>9</v>
      </c>
      <c r="C3339">
        <v>30.86</v>
      </c>
      <c r="D3339" t="s">
        <v>17</v>
      </c>
      <c r="E3339" t="s">
        <v>11</v>
      </c>
      <c r="F3339" t="s">
        <v>13</v>
      </c>
      <c r="G3339">
        <v>7</v>
      </c>
      <c r="H3339">
        <v>3</v>
      </c>
      <c r="I3339" s="13">
        <v>45725</v>
      </c>
      <c r="J3339" s="13" t="str">
        <f>TEXT(Table1[[#This Row],[Date]],"[$-en-US]mmm yyyy")</f>
        <v>Mar 2025</v>
      </c>
      <c r="K3339" s="13" t="str">
        <f>TEXT(Table1[[#This Row],[Date]],"[$-en-US]ddd")</f>
        <v>Sun</v>
      </c>
    </row>
    <row r="3340" spans="1:11" x14ac:dyDescent="0.25">
      <c r="A3340">
        <v>13</v>
      </c>
      <c r="B3340" t="s">
        <v>9</v>
      </c>
      <c r="C3340">
        <v>35.76</v>
      </c>
      <c r="D3340" t="s">
        <v>27</v>
      </c>
      <c r="E3340" t="s">
        <v>15</v>
      </c>
      <c r="F3340" t="s">
        <v>13</v>
      </c>
      <c r="G3340">
        <v>7</v>
      </c>
      <c r="H3340">
        <v>3</v>
      </c>
      <c r="I3340" s="13">
        <v>45725</v>
      </c>
      <c r="J3340" s="13" t="str">
        <f>TEXT(Table1[[#This Row],[Date]],"[$-en-US]mmm yyyy")</f>
        <v>Mar 2025</v>
      </c>
      <c r="K3340" s="13" t="str">
        <f>TEXT(Table1[[#This Row],[Date]],"[$-en-US]ddd")</f>
        <v>Sun</v>
      </c>
    </row>
    <row r="3341" spans="1:11" x14ac:dyDescent="0.25">
      <c r="A3341">
        <v>14</v>
      </c>
      <c r="B3341" t="s">
        <v>9</v>
      </c>
      <c r="C3341">
        <v>25.96</v>
      </c>
      <c r="D3341" t="s">
        <v>16</v>
      </c>
      <c r="E3341" t="s">
        <v>15</v>
      </c>
      <c r="F3341" t="s">
        <v>13</v>
      </c>
      <c r="G3341">
        <v>7</v>
      </c>
      <c r="H3341">
        <v>3</v>
      </c>
      <c r="I3341" s="13">
        <v>45725</v>
      </c>
      <c r="J3341" s="13" t="str">
        <f>TEXT(Table1[[#This Row],[Date]],"[$-en-US]mmm yyyy")</f>
        <v>Mar 2025</v>
      </c>
      <c r="K3341" s="13" t="str">
        <f>TEXT(Table1[[#This Row],[Date]],"[$-en-US]ddd")</f>
        <v>Sun</v>
      </c>
    </row>
    <row r="3342" spans="1:11" x14ac:dyDescent="0.25">
      <c r="A3342">
        <v>15</v>
      </c>
      <c r="B3342" t="s">
        <v>9</v>
      </c>
      <c r="C3342">
        <v>35.76</v>
      </c>
      <c r="D3342" t="s">
        <v>27</v>
      </c>
      <c r="E3342" t="s">
        <v>15</v>
      </c>
      <c r="F3342" t="s">
        <v>13</v>
      </c>
      <c r="G3342">
        <v>7</v>
      </c>
      <c r="H3342">
        <v>3</v>
      </c>
      <c r="I3342" s="13">
        <v>45725</v>
      </c>
      <c r="J3342" s="13" t="str">
        <f>TEXT(Table1[[#This Row],[Date]],"[$-en-US]mmm yyyy")</f>
        <v>Mar 2025</v>
      </c>
      <c r="K3342" s="13" t="str">
        <f>TEXT(Table1[[#This Row],[Date]],"[$-en-US]ddd")</f>
        <v>Sun</v>
      </c>
    </row>
    <row r="3343" spans="1:11" x14ac:dyDescent="0.25">
      <c r="A3343">
        <v>15</v>
      </c>
      <c r="B3343" t="s">
        <v>9</v>
      </c>
      <c r="C3343">
        <v>25.96</v>
      </c>
      <c r="D3343" t="s">
        <v>16</v>
      </c>
      <c r="E3343" t="s">
        <v>15</v>
      </c>
      <c r="F3343" t="s">
        <v>13</v>
      </c>
      <c r="G3343">
        <v>7</v>
      </c>
      <c r="H3343">
        <v>3</v>
      </c>
      <c r="I3343" s="13">
        <v>45725</v>
      </c>
      <c r="J3343" s="13" t="str">
        <f>TEXT(Table1[[#This Row],[Date]],"[$-en-US]mmm yyyy")</f>
        <v>Mar 2025</v>
      </c>
      <c r="K3343" s="13" t="str">
        <f>TEXT(Table1[[#This Row],[Date]],"[$-en-US]ddd")</f>
        <v>Sun</v>
      </c>
    </row>
    <row r="3344" spans="1:11" x14ac:dyDescent="0.25">
      <c r="A3344">
        <v>15</v>
      </c>
      <c r="B3344" t="s">
        <v>9</v>
      </c>
      <c r="C3344">
        <v>30.86</v>
      </c>
      <c r="D3344" t="s">
        <v>17</v>
      </c>
      <c r="E3344" t="s">
        <v>15</v>
      </c>
      <c r="F3344" t="s">
        <v>13</v>
      </c>
      <c r="G3344">
        <v>7</v>
      </c>
      <c r="H3344">
        <v>3</v>
      </c>
      <c r="I3344" s="13">
        <v>45725</v>
      </c>
      <c r="J3344" s="13" t="str">
        <f>TEXT(Table1[[#This Row],[Date]],"[$-en-US]mmm yyyy")</f>
        <v>Mar 2025</v>
      </c>
      <c r="K3344" s="13" t="str">
        <f>TEXT(Table1[[#This Row],[Date]],"[$-en-US]ddd")</f>
        <v>Sun</v>
      </c>
    </row>
    <row r="3345" spans="1:11" x14ac:dyDescent="0.25">
      <c r="A3345">
        <v>15</v>
      </c>
      <c r="B3345" t="s">
        <v>9</v>
      </c>
      <c r="C3345">
        <v>35.76</v>
      </c>
      <c r="D3345" t="s">
        <v>19</v>
      </c>
      <c r="E3345" t="s">
        <v>15</v>
      </c>
      <c r="F3345" t="s">
        <v>13</v>
      </c>
      <c r="G3345">
        <v>7</v>
      </c>
      <c r="H3345">
        <v>3</v>
      </c>
      <c r="I3345" s="13">
        <v>45725</v>
      </c>
      <c r="J3345" s="13" t="str">
        <f>TEXT(Table1[[#This Row],[Date]],"[$-en-US]mmm yyyy")</f>
        <v>Mar 2025</v>
      </c>
      <c r="K3345" s="13" t="str">
        <f>TEXT(Table1[[#This Row],[Date]],"[$-en-US]ddd")</f>
        <v>Sun</v>
      </c>
    </row>
    <row r="3346" spans="1:11" x14ac:dyDescent="0.25">
      <c r="A3346">
        <v>8</v>
      </c>
      <c r="B3346" t="s">
        <v>9</v>
      </c>
      <c r="C3346">
        <v>25.96</v>
      </c>
      <c r="D3346" t="s">
        <v>16</v>
      </c>
      <c r="E3346" t="s">
        <v>11</v>
      </c>
      <c r="F3346" t="s">
        <v>13</v>
      </c>
      <c r="G3346">
        <v>1</v>
      </c>
      <c r="H3346">
        <v>3</v>
      </c>
      <c r="I3346" s="13">
        <v>45726</v>
      </c>
      <c r="J3346" s="13" t="str">
        <f>TEXT(Table1[[#This Row],[Date]],"[$-en-US]mmm yyyy")</f>
        <v>Mar 2025</v>
      </c>
      <c r="K3346" s="13" t="str">
        <f>TEXT(Table1[[#This Row],[Date]],"[$-en-US]ddd")</f>
        <v>Mon</v>
      </c>
    </row>
    <row r="3347" spans="1:11" x14ac:dyDescent="0.25">
      <c r="A3347">
        <v>8</v>
      </c>
      <c r="B3347" t="s">
        <v>9</v>
      </c>
      <c r="C3347">
        <v>35.76</v>
      </c>
      <c r="D3347" t="s">
        <v>10</v>
      </c>
      <c r="E3347" t="s">
        <v>11</v>
      </c>
      <c r="F3347" t="s">
        <v>13</v>
      </c>
      <c r="G3347">
        <v>1</v>
      </c>
      <c r="H3347">
        <v>3</v>
      </c>
      <c r="I3347" s="13">
        <v>45726</v>
      </c>
      <c r="J3347" s="13" t="str">
        <f>TEXT(Table1[[#This Row],[Date]],"[$-en-US]mmm yyyy")</f>
        <v>Mar 2025</v>
      </c>
      <c r="K3347" s="13" t="str">
        <f>TEXT(Table1[[#This Row],[Date]],"[$-en-US]ddd")</f>
        <v>Mon</v>
      </c>
    </row>
    <row r="3348" spans="1:11" x14ac:dyDescent="0.25">
      <c r="A3348">
        <v>9</v>
      </c>
      <c r="B3348" t="s">
        <v>9</v>
      </c>
      <c r="C3348">
        <v>30.86</v>
      </c>
      <c r="D3348" t="s">
        <v>17</v>
      </c>
      <c r="E3348" t="s">
        <v>11</v>
      </c>
      <c r="F3348" t="s">
        <v>13</v>
      </c>
      <c r="G3348">
        <v>1</v>
      </c>
      <c r="H3348">
        <v>3</v>
      </c>
      <c r="I3348" s="13">
        <v>45726</v>
      </c>
      <c r="J3348" s="13" t="str">
        <f>TEXT(Table1[[#This Row],[Date]],"[$-en-US]mmm yyyy")</f>
        <v>Mar 2025</v>
      </c>
      <c r="K3348" s="13" t="str">
        <f>TEXT(Table1[[#This Row],[Date]],"[$-en-US]ddd")</f>
        <v>Mon</v>
      </c>
    </row>
    <row r="3349" spans="1:11" x14ac:dyDescent="0.25">
      <c r="A3349">
        <v>9</v>
      </c>
      <c r="B3349" t="s">
        <v>9</v>
      </c>
      <c r="C3349">
        <v>35.76</v>
      </c>
      <c r="D3349" t="s">
        <v>14</v>
      </c>
      <c r="E3349" t="s">
        <v>11</v>
      </c>
      <c r="F3349" t="s">
        <v>13</v>
      </c>
      <c r="G3349">
        <v>1</v>
      </c>
      <c r="H3349">
        <v>3</v>
      </c>
      <c r="I3349" s="13">
        <v>45726</v>
      </c>
      <c r="J3349" s="13" t="str">
        <f>TEXT(Table1[[#This Row],[Date]],"[$-en-US]mmm yyyy")</f>
        <v>Mar 2025</v>
      </c>
      <c r="K3349" s="13" t="str">
        <f>TEXT(Table1[[#This Row],[Date]],"[$-en-US]ddd")</f>
        <v>Mon</v>
      </c>
    </row>
    <row r="3350" spans="1:11" x14ac:dyDescent="0.25">
      <c r="A3350">
        <v>9</v>
      </c>
      <c r="B3350" t="s">
        <v>9</v>
      </c>
      <c r="C3350">
        <v>35.76</v>
      </c>
      <c r="D3350" t="s">
        <v>19</v>
      </c>
      <c r="E3350" t="s">
        <v>11</v>
      </c>
      <c r="F3350" t="s">
        <v>13</v>
      </c>
      <c r="G3350">
        <v>1</v>
      </c>
      <c r="H3350">
        <v>3</v>
      </c>
      <c r="I3350" s="13">
        <v>45726</v>
      </c>
      <c r="J3350" s="13" t="str">
        <f>TEXT(Table1[[#This Row],[Date]],"[$-en-US]mmm yyyy")</f>
        <v>Mar 2025</v>
      </c>
      <c r="K3350" s="13" t="str">
        <f>TEXT(Table1[[#This Row],[Date]],"[$-en-US]ddd")</f>
        <v>Mon</v>
      </c>
    </row>
    <row r="3351" spans="1:11" x14ac:dyDescent="0.25">
      <c r="A3351">
        <v>10</v>
      </c>
      <c r="B3351" t="s">
        <v>9</v>
      </c>
      <c r="C3351">
        <v>35.76</v>
      </c>
      <c r="D3351" t="s">
        <v>14</v>
      </c>
      <c r="E3351" t="s">
        <v>11</v>
      </c>
      <c r="F3351" t="s">
        <v>13</v>
      </c>
      <c r="G3351">
        <v>1</v>
      </c>
      <c r="H3351">
        <v>3</v>
      </c>
      <c r="I3351" s="13">
        <v>45726</v>
      </c>
      <c r="J3351" s="13" t="str">
        <f>TEXT(Table1[[#This Row],[Date]],"[$-en-US]mmm yyyy")</f>
        <v>Mar 2025</v>
      </c>
      <c r="K3351" s="13" t="str">
        <f>TEXT(Table1[[#This Row],[Date]],"[$-en-US]ddd")</f>
        <v>Mon</v>
      </c>
    </row>
    <row r="3352" spans="1:11" x14ac:dyDescent="0.25">
      <c r="A3352">
        <v>12</v>
      </c>
      <c r="B3352" t="s">
        <v>9</v>
      </c>
      <c r="C3352">
        <v>25.96</v>
      </c>
      <c r="D3352" t="s">
        <v>16</v>
      </c>
      <c r="E3352" t="s">
        <v>15</v>
      </c>
      <c r="F3352" t="s">
        <v>13</v>
      </c>
      <c r="G3352">
        <v>1</v>
      </c>
      <c r="H3352">
        <v>3</v>
      </c>
      <c r="I3352" s="13">
        <v>45726</v>
      </c>
      <c r="J3352" s="13" t="str">
        <f>TEXT(Table1[[#This Row],[Date]],"[$-en-US]mmm yyyy")</f>
        <v>Mar 2025</v>
      </c>
      <c r="K3352" s="13" t="str">
        <f>TEXT(Table1[[#This Row],[Date]],"[$-en-US]ddd")</f>
        <v>Mon</v>
      </c>
    </row>
    <row r="3353" spans="1:11" x14ac:dyDescent="0.25">
      <c r="A3353">
        <v>15</v>
      </c>
      <c r="B3353" t="s">
        <v>9</v>
      </c>
      <c r="C3353">
        <v>25.96</v>
      </c>
      <c r="D3353" t="s">
        <v>16</v>
      </c>
      <c r="E3353" t="s">
        <v>15</v>
      </c>
      <c r="F3353" t="s">
        <v>13</v>
      </c>
      <c r="G3353">
        <v>1</v>
      </c>
      <c r="H3353">
        <v>3</v>
      </c>
      <c r="I3353" s="13">
        <v>45726</v>
      </c>
      <c r="J3353" s="13" t="str">
        <f>TEXT(Table1[[#This Row],[Date]],"[$-en-US]mmm yyyy")</f>
        <v>Mar 2025</v>
      </c>
      <c r="K3353" s="13" t="str">
        <f>TEXT(Table1[[#This Row],[Date]],"[$-en-US]ddd")</f>
        <v>Mon</v>
      </c>
    </row>
    <row r="3354" spans="1:11" x14ac:dyDescent="0.25">
      <c r="A3354">
        <v>15</v>
      </c>
      <c r="B3354" t="s">
        <v>9</v>
      </c>
      <c r="C3354">
        <v>35.76</v>
      </c>
      <c r="D3354" t="s">
        <v>14</v>
      </c>
      <c r="E3354" t="s">
        <v>15</v>
      </c>
      <c r="F3354" t="s">
        <v>13</v>
      </c>
      <c r="G3354">
        <v>1</v>
      </c>
      <c r="H3354">
        <v>3</v>
      </c>
      <c r="I3354" s="13">
        <v>45726</v>
      </c>
      <c r="J3354" s="13" t="str">
        <f>TEXT(Table1[[#This Row],[Date]],"[$-en-US]mmm yyyy")</f>
        <v>Mar 2025</v>
      </c>
      <c r="K3354" s="13" t="str">
        <f>TEXT(Table1[[#This Row],[Date]],"[$-en-US]ddd")</f>
        <v>Mon</v>
      </c>
    </row>
    <row r="3355" spans="1:11" x14ac:dyDescent="0.25">
      <c r="A3355">
        <v>16</v>
      </c>
      <c r="B3355" t="s">
        <v>9</v>
      </c>
      <c r="C3355">
        <v>35.76</v>
      </c>
      <c r="D3355" t="s">
        <v>10</v>
      </c>
      <c r="E3355" t="s">
        <v>15</v>
      </c>
      <c r="F3355" t="s">
        <v>13</v>
      </c>
      <c r="G3355">
        <v>1</v>
      </c>
      <c r="H3355">
        <v>3</v>
      </c>
      <c r="I3355" s="13">
        <v>45726</v>
      </c>
      <c r="J3355" s="13" t="str">
        <f>TEXT(Table1[[#This Row],[Date]],"[$-en-US]mmm yyyy")</f>
        <v>Mar 2025</v>
      </c>
      <c r="K3355" s="13" t="str">
        <f>TEXT(Table1[[#This Row],[Date]],"[$-en-US]ddd")</f>
        <v>Mon</v>
      </c>
    </row>
    <row r="3356" spans="1:11" x14ac:dyDescent="0.25">
      <c r="A3356">
        <v>16</v>
      </c>
      <c r="B3356" t="s">
        <v>9</v>
      </c>
      <c r="C3356">
        <v>35.76</v>
      </c>
      <c r="D3356" t="s">
        <v>10</v>
      </c>
      <c r="E3356" t="s">
        <v>15</v>
      </c>
      <c r="F3356" t="s">
        <v>13</v>
      </c>
      <c r="G3356">
        <v>1</v>
      </c>
      <c r="H3356">
        <v>3</v>
      </c>
      <c r="I3356" s="13">
        <v>45726</v>
      </c>
      <c r="J3356" s="13" t="str">
        <f>TEXT(Table1[[#This Row],[Date]],"[$-en-US]mmm yyyy")</f>
        <v>Mar 2025</v>
      </c>
      <c r="K3356" s="13" t="str">
        <f>TEXT(Table1[[#This Row],[Date]],"[$-en-US]ddd")</f>
        <v>Mon</v>
      </c>
    </row>
    <row r="3357" spans="1:11" x14ac:dyDescent="0.25">
      <c r="A3357">
        <v>16</v>
      </c>
      <c r="B3357" t="s">
        <v>9</v>
      </c>
      <c r="C3357">
        <v>35.76</v>
      </c>
      <c r="D3357" t="s">
        <v>27</v>
      </c>
      <c r="E3357" t="s">
        <v>15</v>
      </c>
      <c r="F3357" t="s">
        <v>13</v>
      </c>
      <c r="G3357">
        <v>1</v>
      </c>
      <c r="H3357">
        <v>3</v>
      </c>
      <c r="I3357" s="13">
        <v>45726</v>
      </c>
      <c r="J3357" s="13" t="str">
        <f>TEXT(Table1[[#This Row],[Date]],"[$-en-US]mmm yyyy")</f>
        <v>Mar 2025</v>
      </c>
      <c r="K3357" s="13" t="str">
        <f>TEXT(Table1[[#This Row],[Date]],"[$-en-US]ddd")</f>
        <v>Mon</v>
      </c>
    </row>
    <row r="3358" spans="1:11" x14ac:dyDescent="0.25">
      <c r="A3358">
        <v>16</v>
      </c>
      <c r="B3358" t="s">
        <v>9</v>
      </c>
      <c r="C3358">
        <v>30.86</v>
      </c>
      <c r="D3358" t="s">
        <v>17</v>
      </c>
      <c r="E3358" t="s">
        <v>15</v>
      </c>
      <c r="F3358" t="s">
        <v>13</v>
      </c>
      <c r="G3358">
        <v>1</v>
      </c>
      <c r="H3358">
        <v>3</v>
      </c>
      <c r="I3358" s="13">
        <v>45726</v>
      </c>
      <c r="J3358" s="13" t="str">
        <f>TEXT(Table1[[#This Row],[Date]],"[$-en-US]mmm yyyy")</f>
        <v>Mar 2025</v>
      </c>
      <c r="K3358" s="13" t="str">
        <f>TEXT(Table1[[#This Row],[Date]],"[$-en-US]ddd")</f>
        <v>Mon</v>
      </c>
    </row>
    <row r="3359" spans="1:11" x14ac:dyDescent="0.25">
      <c r="A3359">
        <v>18</v>
      </c>
      <c r="B3359" t="s">
        <v>9</v>
      </c>
      <c r="C3359">
        <v>25.96</v>
      </c>
      <c r="D3359" t="s">
        <v>16</v>
      </c>
      <c r="E3359" t="s">
        <v>18</v>
      </c>
      <c r="F3359" t="s">
        <v>13</v>
      </c>
      <c r="G3359">
        <v>1</v>
      </c>
      <c r="H3359">
        <v>3</v>
      </c>
      <c r="I3359" s="13">
        <v>45726</v>
      </c>
      <c r="J3359" s="13" t="str">
        <f>TEXT(Table1[[#This Row],[Date]],"[$-en-US]mmm yyyy")</f>
        <v>Mar 2025</v>
      </c>
      <c r="K3359" s="13" t="str">
        <f>TEXT(Table1[[#This Row],[Date]],"[$-en-US]ddd")</f>
        <v>Mon</v>
      </c>
    </row>
    <row r="3360" spans="1:11" x14ac:dyDescent="0.25">
      <c r="A3360">
        <v>18</v>
      </c>
      <c r="B3360" t="s">
        <v>9</v>
      </c>
      <c r="C3360">
        <v>35.76</v>
      </c>
      <c r="D3360" t="s">
        <v>10</v>
      </c>
      <c r="E3360" t="s">
        <v>18</v>
      </c>
      <c r="F3360" t="s">
        <v>13</v>
      </c>
      <c r="G3360">
        <v>1</v>
      </c>
      <c r="H3360">
        <v>3</v>
      </c>
      <c r="I3360" s="13">
        <v>45726</v>
      </c>
      <c r="J3360" s="13" t="str">
        <f>TEXT(Table1[[#This Row],[Date]],"[$-en-US]mmm yyyy")</f>
        <v>Mar 2025</v>
      </c>
      <c r="K3360" s="13" t="str">
        <f>TEXT(Table1[[#This Row],[Date]],"[$-en-US]ddd")</f>
        <v>Mon</v>
      </c>
    </row>
    <row r="3361" spans="1:11" x14ac:dyDescent="0.25">
      <c r="A3361">
        <v>18</v>
      </c>
      <c r="B3361" t="s">
        <v>9</v>
      </c>
      <c r="C3361">
        <v>35.76</v>
      </c>
      <c r="D3361" t="s">
        <v>10</v>
      </c>
      <c r="E3361" t="s">
        <v>18</v>
      </c>
      <c r="F3361" t="s">
        <v>13</v>
      </c>
      <c r="G3361">
        <v>1</v>
      </c>
      <c r="H3361">
        <v>3</v>
      </c>
      <c r="I3361" s="13">
        <v>45726</v>
      </c>
      <c r="J3361" s="13" t="str">
        <f>TEXT(Table1[[#This Row],[Date]],"[$-en-US]mmm yyyy")</f>
        <v>Mar 2025</v>
      </c>
      <c r="K3361" s="13" t="str">
        <f>TEXT(Table1[[#This Row],[Date]],"[$-en-US]ddd")</f>
        <v>Mon</v>
      </c>
    </row>
    <row r="3362" spans="1:11" x14ac:dyDescent="0.25">
      <c r="A3362">
        <v>19</v>
      </c>
      <c r="B3362" t="s">
        <v>9</v>
      </c>
      <c r="C3362">
        <v>30.86</v>
      </c>
      <c r="D3362" t="s">
        <v>17</v>
      </c>
      <c r="E3362" t="s">
        <v>18</v>
      </c>
      <c r="F3362" t="s">
        <v>13</v>
      </c>
      <c r="G3362">
        <v>1</v>
      </c>
      <c r="H3362">
        <v>3</v>
      </c>
      <c r="I3362" s="13">
        <v>45726</v>
      </c>
      <c r="J3362" s="13" t="str">
        <f>TEXT(Table1[[#This Row],[Date]],"[$-en-US]mmm yyyy")</f>
        <v>Mar 2025</v>
      </c>
      <c r="K3362" s="13" t="str">
        <f>TEXT(Table1[[#This Row],[Date]],"[$-en-US]ddd")</f>
        <v>Mon</v>
      </c>
    </row>
    <row r="3363" spans="1:11" x14ac:dyDescent="0.25">
      <c r="A3363">
        <v>8</v>
      </c>
      <c r="B3363" t="s">
        <v>9</v>
      </c>
      <c r="C3363">
        <v>25.96</v>
      </c>
      <c r="D3363" t="s">
        <v>16</v>
      </c>
      <c r="E3363" t="s">
        <v>11</v>
      </c>
      <c r="F3363" t="s">
        <v>13</v>
      </c>
      <c r="G3363">
        <v>2</v>
      </c>
      <c r="H3363">
        <v>3</v>
      </c>
      <c r="I3363" s="13">
        <v>45727</v>
      </c>
      <c r="J3363" s="13" t="str">
        <f>TEXT(Table1[[#This Row],[Date]],"[$-en-US]mmm yyyy")</f>
        <v>Mar 2025</v>
      </c>
      <c r="K3363" s="13" t="str">
        <f>TEXT(Table1[[#This Row],[Date]],"[$-en-US]ddd")</f>
        <v>Tue</v>
      </c>
    </row>
    <row r="3364" spans="1:11" x14ac:dyDescent="0.25">
      <c r="A3364">
        <v>9</v>
      </c>
      <c r="B3364" t="s">
        <v>9</v>
      </c>
      <c r="C3364">
        <v>35.76</v>
      </c>
      <c r="D3364" t="s">
        <v>27</v>
      </c>
      <c r="E3364" t="s">
        <v>11</v>
      </c>
      <c r="F3364" t="s">
        <v>13</v>
      </c>
      <c r="G3364">
        <v>2</v>
      </c>
      <c r="H3364">
        <v>3</v>
      </c>
      <c r="I3364" s="13">
        <v>45727</v>
      </c>
      <c r="J3364" s="13" t="str">
        <f>TEXT(Table1[[#This Row],[Date]],"[$-en-US]mmm yyyy")</f>
        <v>Mar 2025</v>
      </c>
      <c r="K3364" s="13" t="str">
        <f>TEXT(Table1[[#This Row],[Date]],"[$-en-US]ddd")</f>
        <v>Tue</v>
      </c>
    </row>
    <row r="3365" spans="1:11" x14ac:dyDescent="0.25">
      <c r="A3365">
        <v>9</v>
      </c>
      <c r="B3365" t="s">
        <v>9</v>
      </c>
      <c r="C3365">
        <v>35.76</v>
      </c>
      <c r="D3365" t="s">
        <v>10</v>
      </c>
      <c r="E3365" t="s">
        <v>11</v>
      </c>
      <c r="F3365" t="s">
        <v>13</v>
      </c>
      <c r="G3365">
        <v>2</v>
      </c>
      <c r="H3365">
        <v>3</v>
      </c>
      <c r="I3365" s="13">
        <v>45727</v>
      </c>
      <c r="J3365" s="13" t="str">
        <f>TEXT(Table1[[#This Row],[Date]],"[$-en-US]mmm yyyy")</f>
        <v>Mar 2025</v>
      </c>
      <c r="K3365" s="13" t="str">
        <f>TEXT(Table1[[#This Row],[Date]],"[$-en-US]ddd")</f>
        <v>Tue</v>
      </c>
    </row>
    <row r="3366" spans="1:11" x14ac:dyDescent="0.25">
      <c r="A3366">
        <v>10</v>
      </c>
      <c r="B3366" t="s">
        <v>9</v>
      </c>
      <c r="C3366">
        <v>25.96</v>
      </c>
      <c r="D3366" t="s">
        <v>16</v>
      </c>
      <c r="E3366" t="s">
        <v>11</v>
      </c>
      <c r="F3366" t="s">
        <v>13</v>
      </c>
      <c r="G3366">
        <v>2</v>
      </c>
      <c r="H3366">
        <v>3</v>
      </c>
      <c r="I3366" s="13">
        <v>45727</v>
      </c>
      <c r="J3366" s="13" t="str">
        <f>TEXT(Table1[[#This Row],[Date]],"[$-en-US]mmm yyyy")</f>
        <v>Mar 2025</v>
      </c>
      <c r="K3366" s="13" t="str">
        <f>TEXT(Table1[[#This Row],[Date]],"[$-en-US]ddd")</f>
        <v>Tue</v>
      </c>
    </row>
    <row r="3367" spans="1:11" x14ac:dyDescent="0.25">
      <c r="A3367">
        <v>12</v>
      </c>
      <c r="B3367" t="s">
        <v>9</v>
      </c>
      <c r="C3367">
        <v>25.96</v>
      </c>
      <c r="D3367" t="s">
        <v>16</v>
      </c>
      <c r="E3367" t="s">
        <v>15</v>
      </c>
      <c r="F3367" t="s">
        <v>13</v>
      </c>
      <c r="G3367">
        <v>2</v>
      </c>
      <c r="H3367">
        <v>3</v>
      </c>
      <c r="I3367" s="13">
        <v>45727</v>
      </c>
      <c r="J3367" s="13" t="str">
        <f>TEXT(Table1[[#This Row],[Date]],"[$-en-US]mmm yyyy")</f>
        <v>Mar 2025</v>
      </c>
      <c r="K3367" s="13" t="str">
        <f>TEXT(Table1[[#This Row],[Date]],"[$-en-US]ddd")</f>
        <v>Tue</v>
      </c>
    </row>
    <row r="3368" spans="1:11" x14ac:dyDescent="0.25">
      <c r="A3368">
        <v>13</v>
      </c>
      <c r="B3368" t="s">
        <v>9</v>
      </c>
      <c r="C3368">
        <v>25.96</v>
      </c>
      <c r="D3368" t="s">
        <v>16</v>
      </c>
      <c r="E3368" t="s">
        <v>15</v>
      </c>
      <c r="F3368" t="s">
        <v>13</v>
      </c>
      <c r="G3368">
        <v>2</v>
      </c>
      <c r="H3368">
        <v>3</v>
      </c>
      <c r="I3368" s="13">
        <v>45727</v>
      </c>
      <c r="J3368" s="13" t="str">
        <f>TEXT(Table1[[#This Row],[Date]],"[$-en-US]mmm yyyy")</f>
        <v>Mar 2025</v>
      </c>
      <c r="K3368" s="13" t="str">
        <f>TEXT(Table1[[#This Row],[Date]],"[$-en-US]ddd")</f>
        <v>Tue</v>
      </c>
    </row>
    <row r="3369" spans="1:11" x14ac:dyDescent="0.25">
      <c r="A3369">
        <v>16</v>
      </c>
      <c r="B3369" t="s">
        <v>9</v>
      </c>
      <c r="C3369">
        <v>35.76</v>
      </c>
      <c r="D3369" t="s">
        <v>14</v>
      </c>
      <c r="E3369" t="s">
        <v>15</v>
      </c>
      <c r="F3369" t="s">
        <v>13</v>
      </c>
      <c r="G3369">
        <v>2</v>
      </c>
      <c r="H3369">
        <v>3</v>
      </c>
      <c r="I3369" s="13">
        <v>45727</v>
      </c>
      <c r="J3369" s="13" t="str">
        <f>TEXT(Table1[[#This Row],[Date]],"[$-en-US]mmm yyyy")</f>
        <v>Mar 2025</v>
      </c>
      <c r="K3369" s="13" t="str">
        <f>TEXT(Table1[[#This Row],[Date]],"[$-en-US]ddd")</f>
        <v>Tue</v>
      </c>
    </row>
    <row r="3370" spans="1:11" x14ac:dyDescent="0.25">
      <c r="A3370">
        <v>16</v>
      </c>
      <c r="B3370" t="s">
        <v>9</v>
      </c>
      <c r="C3370">
        <v>35.76</v>
      </c>
      <c r="D3370" t="s">
        <v>19</v>
      </c>
      <c r="E3370" t="s">
        <v>15</v>
      </c>
      <c r="F3370" t="s">
        <v>13</v>
      </c>
      <c r="G3370">
        <v>2</v>
      </c>
      <c r="H3370">
        <v>3</v>
      </c>
      <c r="I3370" s="13">
        <v>45727</v>
      </c>
      <c r="J3370" s="13" t="str">
        <f>TEXT(Table1[[#This Row],[Date]],"[$-en-US]mmm yyyy")</f>
        <v>Mar 2025</v>
      </c>
      <c r="K3370" s="13" t="str">
        <f>TEXT(Table1[[#This Row],[Date]],"[$-en-US]ddd")</f>
        <v>Tue</v>
      </c>
    </row>
    <row r="3371" spans="1:11" x14ac:dyDescent="0.25">
      <c r="A3371">
        <v>16</v>
      </c>
      <c r="B3371" t="s">
        <v>9</v>
      </c>
      <c r="C3371">
        <v>35.76</v>
      </c>
      <c r="D3371" t="s">
        <v>14</v>
      </c>
      <c r="E3371" t="s">
        <v>15</v>
      </c>
      <c r="F3371" t="s">
        <v>13</v>
      </c>
      <c r="G3371">
        <v>2</v>
      </c>
      <c r="H3371">
        <v>3</v>
      </c>
      <c r="I3371" s="13">
        <v>45727</v>
      </c>
      <c r="J3371" s="13" t="str">
        <f>TEXT(Table1[[#This Row],[Date]],"[$-en-US]mmm yyyy")</f>
        <v>Mar 2025</v>
      </c>
      <c r="K3371" s="13" t="str">
        <f>TEXT(Table1[[#This Row],[Date]],"[$-en-US]ddd")</f>
        <v>Tue</v>
      </c>
    </row>
    <row r="3372" spans="1:11" x14ac:dyDescent="0.25">
      <c r="A3372">
        <v>17</v>
      </c>
      <c r="B3372" t="s">
        <v>9</v>
      </c>
      <c r="C3372">
        <v>35.76</v>
      </c>
      <c r="D3372" t="s">
        <v>27</v>
      </c>
      <c r="E3372" t="s">
        <v>18</v>
      </c>
      <c r="F3372" t="s">
        <v>13</v>
      </c>
      <c r="G3372">
        <v>2</v>
      </c>
      <c r="H3372">
        <v>3</v>
      </c>
      <c r="I3372" s="13">
        <v>45727</v>
      </c>
      <c r="J3372" s="13" t="str">
        <f>TEXT(Table1[[#This Row],[Date]],"[$-en-US]mmm yyyy")</f>
        <v>Mar 2025</v>
      </c>
      <c r="K3372" s="13" t="str">
        <f>TEXT(Table1[[#This Row],[Date]],"[$-en-US]ddd")</f>
        <v>Tue</v>
      </c>
    </row>
    <row r="3373" spans="1:11" x14ac:dyDescent="0.25">
      <c r="A3373">
        <v>18</v>
      </c>
      <c r="B3373" t="s">
        <v>9</v>
      </c>
      <c r="C3373">
        <v>30.86</v>
      </c>
      <c r="D3373" t="s">
        <v>17</v>
      </c>
      <c r="E3373" t="s">
        <v>18</v>
      </c>
      <c r="F3373" t="s">
        <v>13</v>
      </c>
      <c r="G3373">
        <v>2</v>
      </c>
      <c r="H3373">
        <v>3</v>
      </c>
      <c r="I3373" s="13">
        <v>45727</v>
      </c>
      <c r="J3373" s="13" t="str">
        <f>TEXT(Table1[[#This Row],[Date]],"[$-en-US]mmm yyyy")</f>
        <v>Mar 2025</v>
      </c>
      <c r="K3373" s="13" t="str">
        <f>TEXT(Table1[[#This Row],[Date]],"[$-en-US]ddd")</f>
        <v>Tue</v>
      </c>
    </row>
    <row r="3374" spans="1:11" x14ac:dyDescent="0.25">
      <c r="A3374">
        <v>19</v>
      </c>
      <c r="B3374" t="s">
        <v>9</v>
      </c>
      <c r="C3374">
        <v>35.76</v>
      </c>
      <c r="D3374" t="s">
        <v>10</v>
      </c>
      <c r="E3374" t="s">
        <v>18</v>
      </c>
      <c r="F3374" t="s">
        <v>13</v>
      </c>
      <c r="G3374">
        <v>2</v>
      </c>
      <c r="H3374">
        <v>3</v>
      </c>
      <c r="I3374" s="13">
        <v>45727</v>
      </c>
      <c r="J3374" s="13" t="str">
        <f>TEXT(Table1[[#This Row],[Date]],"[$-en-US]mmm yyyy")</f>
        <v>Mar 2025</v>
      </c>
      <c r="K3374" s="13" t="str">
        <f>TEXT(Table1[[#This Row],[Date]],"[$-en-US]ddd")</f>
        <v>Tue</v>
      </c>
    </row>
    <row r="3375" spans="1:11" x14ac:dyDescent="0.25">
      <c r="A3375">
        <v>20</v>
      </c>
      <c r="B3375" t="s">
        <v>9</v>
      </c>
      <c r="C3375">
        <v>35.76</v>
      </c>
      <c r="D3375" t="s">
        <v>19</v>
      </c>
      <c r="E3375" t="s">
        <v>18</v>
      </c>
      <c r="F3375" t="s">
        <v>13</v>
      </c>
      <c r="G3375">
        <v>2</v>
      </c>
      <c r="H3375">
        <v>3</v>
      </c>
      <c r="I3375" s="13">
        <v>45727</v>
      </c>
      <c r="J3375" s="13" t="str">
        <f>TEXT(Table1[[#This Row],[Date]],"[$-en-US]mmm yyyy")</f>
        <v>Mar 2025</v>
      </c>
      <c r="K3375" s="13" t="str">
        <f>TEXT(Table1[[#This Row],[Date]],"[$-en-US]ddd")</f>
        <v>Tue</v>
      </c>
    </row>
    <row r="3376" spans="1:11" x14ac:dyDescent="0.25">
      <c r="A3376">
        <v>11</v>
      </c>
      <c r="B3376" t="s">
        <v>9</v>
      </c>
      <c r="C3376">
        <v>35.76</v>
      </c>
      <c r="D3376" t="s">
        <v>19</v>
      </c>
      <c r="E3376" t="s">
        <v>11</v>
      </c>
      <c r="F3376" t="s">
        <v>13</v>
      </c>
      <c r="G3376">
        <v>3</v>
      </c>
      <c r="H3376">
        <v>3</v>
      </c>
      <c r="I3376" s="13">
        <v>45728</v>
      </c>
      <c r="J3376" s="13" t="str">
        <f>TEXT(Table1[[#This Row],[Date]],"[$-en-US]mmm yyyy")</f>
        <v>Mar 2025</v>
      </c>
      <c r="K3376" s="13" t="str">
        <f>TEXT(Table1[[#This Row],[Date]],"[$-en-US]ddd")</f>
        <v>Wed</v>
      </c>
    </row>
    <row r="3377" spans="1:11" x14ac:dyDescent="0.25">
      <c r="A3377">
        <v>11</v>
      </c>
      <c r="B3377" t="s">
        <v>9</v>
      </c>
      <c r="C3377">
        <v>30.86</v>
      </c>
      <c r="D3377" t="s">
        <v>17</v>
      </c>
      <c r="E3377" t="s">
        <v>11</v>
      </c>
      <c r="F3377" t="s">
        <v>13</v>
      </c>
      <c r="G3377">
        <v>3</v>
      </c>
      <c r="H3377">
        <v>3</v>
      </c>
      <c r="I3377" s="13">
        <v>45728</v>
      </c>
      <c r="J3377" s="13" t="str">
        <f>TEXT(Table1[[#This Row],[Date]],"[$-en-US]mmm yyyy")</f>
        <v>Mar 2025</v>
      </c>
      <c r="K3377" s="13" t="str">
        <f>TEXT(Table1[[#This Row],[Date]],"[$-en-US]ddd")</f>
        <v>Wed</v>
      </c>
    </row>
    <row r="3378" spans="1:11" x14ac:dyDescent="0.25">
      <c r="A3378">
        <v>11</v>
      </c>
      <c r="B3378" t="s">
        <v>9</v>
      </c>
      <c r="C3378">
        <v>35.76</v>
      </c>
      <c r="D3378" t="s">
        <v>27</v>
      </c>
      <c r="E3378" t="s">
        <v>11</v>
      </c>
      <c r="F3378" t="s">
        <v>13</v>
      </c>
      <c r="G3378">
        <v>3</v>
      </c>
      <c r="H3378">
        <v>3</v>
      </c>
      <c r="I3378" s="13">
        <v>45728</v>
      </c>
      <c r="J3378" s="13" t="str">
        <f>TEXT(Table1[[#This Row],[Date]],"[$-en-US]mmm yyyy")</f>
        <v>Mar 2025</v>
      </c>
      <c r="K3378" s="13" t="str">
        <f>TEXT(Table1[[#This Row],[Date]],"[$-en-US]ddd")</f>
        <v>Wed</v>
      </c>
    </row>
    <row r="3379" spans="1:11" x14ac:dyDescent="0.25">
      <c r="A3379">
        <v>11</v>
      </c>
      <c r="B3379" t="s">
        <v>9</v>
      </c>
      <c r="C3379">
        <v>25.96</v>
      </c>
      <c r="D3379" t="s">
        <v>16</v>
      </c>
      <c r="E3379" t="s">
        <v>11</v>
      </c>
      <c r="F3379" t="s">
        <v>13</v>
      </c>
      <c r="G3379">
        <v>3</v>
      </c>
      <c r="H3379">
        <v>3</v>
      </c>
      <c r="I3379" s="13">
        <v>45728</v>
      </c>
      <c r="J3379" s="13" t="str">
        <f>TEXT(Table1[[#This Row],[Date]],"[$-en-US]mmm yyyy")</f>
        <v>Mar 2025</v>
      </c>
      <c r="K3379" s="13" t="str">
        <f>TEXT(Table1[[#This Row],[Date]],"[$-en-US]ddd")</f>
        <v>Wed</v>
      </c>
    </row>
    <row r="3380" spans="1:11" x14ac:dyDescent="0.25">
      <c r="A3380">
        <v>11</v>
      </c>
      <c r="B3380" t="s">
        <v>9</v>
      </c>
      <c r="C3380">
        <v>25.96</v>
      </c>
      <c r="D3380" t="s">
        <v>16</v>
      </c>
      <c r="E3380" t="s">
        <v>11</v>
      </c>
      <c r="F3380" t="s">
        <v>13</v>
      </c>
      <c r="G3380">
        <v>3</v>
      </c>
      <c r="H3380">
        <v>3</v>
      </c>
      <c r="I3380" s="13">
        <v>45728</v>
      </c>
      <c r="J3380" s="13" t="str">
        <f>TEXT(Table1[[#This Row],[Date]],"[$-en-US]mmm yyyy")</f>
        <v>Mar 2025</v>
      </c>
      <c r="K3380" s="13" t="str">
        <f>TEXT(Table1[[#This Row],[Date]],"[$-en-US]ddd")</f>
        <v>Wed</v>
      </c>
    </row>
    <row r="3381" spans="1:11" x14ac:dyDescent="0.25">
      <c r="A3381">
        <v>12</v>
      </c>
      <c r="B3381" t="s">
        <v>9</v>
      </c>
      <c r="C3381">
        <v>25.96</v>
      </c>
      <c r="D3381" t="s">
        <v>16</v>
      </c>
      <c r="E3381" t="s">
        <v>15</v>
      </c>
      <c r="F3381" t="s">
        <v>13</v>
      </c>
      <c r="G3381">
        <v>3</v>
      </c>
      <c r="H3381">
        <v>3</v>
      </c>
      <c r="I3381" s="13">
        <v>45728</v>
      </c>
      <c r="J3381" s="13" t="str">
        <f>TEXT(Table1[[#This Row],[Date]],"[$-en-US]mmm yyyy")</f>
        <v>Mar 2025</v>
      </c>
      <c r="K3381" s="13" t="str">
        <f>TEXT(Table1[[#This Row],[Date]],"[$-en-US]ddd")</f>
        <v>Wed</v>
      </c>
    </row>
    <row r="3382" spans="1:11" x14ac:dyDescent="0.25">
      <c r="A3382">
        <v>12</v>
      </c>
      <c r="B3382" t="s">
        <v>9</v>
      </c>
      <c r="C3382">
        <v>35.76</v>
      </c>
      <c r="D3382" t="s">
        <v>14</v>
      </c>
      <c r="E3382" t="s">
        <v>15</v>
      </c>
      <c r="F3382" t="s">
        <v>13</v>
      </c>
      <c r="G3382">
        <v>3</v>
      </c>
      <c r="H3382">
        <v>3</v>
      </c>
      <c r="I3382" s="13">
        <v>45728</v>
      </c>
      <c r="J3382" s="13" t="str">
        <f>TEXT(Table1[[#This Row],[Date]],"[$-en-US]mmm yyyy")</f>
        <v>Mar 2025</v>
      </c>
      <c r="K3382" s="13" t="str">
        <f>TEXT(Table1[[#This Row],[Date]],"[$-en-US]ddd")</f>
        <v>Wed</v>
      </c>
    </row>
    <row r="3383" spans="1:11" x14ac:dyDescent="0.25">
      <c r="A3383">
        <v>13</v>
      </c>
      <c r="B3383" t="s">
        <v>9</v>
      </c>
      <c r="C3383">
        <v>35.76</v>
      </c>
      <c r="D3383" t="s">
        <v>10</v>
      </c>
      <c r="E3383" t="s">
        <v>15</v>
      </c>
      <c r="F3383" t="s">
        <v>13</v>
      </c>
      <c r="G3383">
        <v>3</v>
      </c>
      <c r="H3383">
        <v>3</v>
      </c>
      <c r="I3383" s="13">
        <v>45728</v>
      </c>
      <c r="J3383" s="13" t="str">
        <f>TEXT(Table1[[#This Row],[Date]],"[$-en-US]mmm yyyy")</f>
        <v>Mar 2025</v>
      </c>
      <c r="K3383" s="13" t="str">
        <f>TEXT(Table1[[#This Row],[Date]],"[$-en-US]ddd")</f>
        <v>Wed</v>
      </c>
    </row>
    <row r="3384" spans="1:11" x14ac:dyDescent="0.25">
      <c r="A3384">
        <v>13</v>
      </c>
      <c r="B3384" t="s">
        <v>9</v>
      </c>
      <c r="C3384">
        <v>35.76</v>
      </c>
      <c r="D3384" t="s">
        <v>10</v>
      </c>
      <c r="E3384" t="s">
        <v>15</v>
      </c>
      <c r="F3384" t="s">
        <v>13</v>
      </c>
      <c r="G3384">
        <v>3</v>
      </c>
      <c r="H3384">
        <v>3</v>
      </c>
      <c r="I3384" s="13">
        <v>45728</v>
      </c>
      <c r="J3384" s="13" t="str">
        <f>TEXT(Table1[[#This Row],[Date]],"[$-en-US]mmm yyyy")</f>
        <v>Mar 2025</v>
      </c>
      <c r="K3384" s="13" t="str">
        <f>TEXT(Table1[[#This Row],[Date]],"[$-en-US]ddd")</f>
        <v>Wed</v>
      </c>
    </row>
    <row r="3385" spans="1:11" x14ac:dyDescent="0.25">
      <c r="A3385">
        <v>16</v>
      </c>
      <c r="B3385" t="s">
        <v>9</v>
      </c>
      <c r="C3385">
        <v>35.76</v>
      </c>
      <c r="D3385" t="s">
        <v>27</v>
      </c>
      <c r="E3385" t="s">
        <v>15</v>
      </c>
      <c r="F3385" t="s">
        <v>13</v>
      </c>
      <c r="G3385">
        <v>3</v>
      </c>
      <c r="H3385">
        <v>3</v>
      </c>
      <c r="I3385" s="13">
        <v>45728</v>
      </c>
      <c r="J3385" s="13" t="str">
        <f>TEXT(Table1[[#This Row],[Date]],"[$-en-US]mmm yyyy")</f>
        <v>Mar 2025</v>
      </c>
      <c r="K3385" s="13" t="str">
        <f>TEXT(Table1[[#This Row],[Date]],"[$-en-US]ddd")</f>
        <v>Wed</v>
      </c>
    </row>
    <row r="3386" spans="1:11" x14ac:dyDescent="0.25">
      <c r="A3386">
        <v>16</v>
      </c>
      <c r="B3386" t="s">
        <v>9</v>
      </c>
      <c r="C3386">
        <v>35.76</v>
      </c>
      <c r="D3386" t="s">
        <v>10</v>
      </c>
      <c r="E3386" t="s">
        <v>15</v>
      </c>
      <c r="F3386" t="s">
        <v>13</v>
      </c>
      <c r="G3386">
        <v>3</v>
      </c>
      <c r="H3386">
        <v>3</v>
      </c>
      <c r="I3386" s="13">
        <v>45728</v>
      </c>
      <c r="J3386" s="13" t="str">
        <f>TEXT(Table1[[#This Row],[Date]],"[$-en-US]mmm yyyy")</f>
        <v>Mar 2025</v>
      </c>
      <c r="K3386" s="13" t="str">
        <f>TEXT(Table1[[#This Row],[Date]],"[$-en-US]ddd")</f>
        <v>Wed</v>
      </c>
    </row>
    <row r="3387" spans="1:11" x14ac:dyDescent="0.25">
      <c r="A3387">
        <v>16</v>
      </c>
      <c r="B3387" t="s">
        <v>9</v>
      </c>
      <c r="C3387">
        <v>35.76</v>
      </c>
      <c r="D3387" t="s">
        <v>10</v>
      </c>
      <c r="E3387" t="s">
        <v>15</v>
      </c>
      <c r="F3387" t="s">
        <v>13</v>
      </c>
      <c r="G3387">
        <v>3</v>
      </c>
      <c r="H3387">
        <v>3</v>
      </c>
      <c r="I3387" s="13">
        <v>45728</v>
      </c>
      <c r="J3387" s="13" t="str">
        <f>TEXT(Table1[[#This Row],[Date]],"[$-en-US]mmm yyyy")</f>
        <v>Mar 2025</v>
      </c>
      <c r="K3387" s="13" t="str">
        <f>TEXT(Table1[[#This Row],[Date]],"[$-en-US]ddd")</f>
        <v>Wed</v>
      </c>
    </row>
    <row r="3388" spans="1:11" x14ac:dyDescent="0.25">
      <c r="A3388">
        <v>18</v>
      </c>
      <c r="B3388" t="s">
        <v>9</v>
      </c>
      <c r="C3388">
        <v>25.96</v>
      </c>
      <c r="D3388" t="s">
        <v>16</v>
      </c>
      <c r="E3388" t="s">
        <v>18</v>
      </c>
      <c r="F3388" t="s">
        <v>13</v>
      </c>
      <c r="G3388">
        <v>3</v>
      </c>
      <c r="H3388">
        <v>3</v>
      </c>
      <c r="I3388" s="13">
        <v>45728</v>
      </c>
      <c r="J3388" s="13" t="str">
        <f>TEXT(Table1[[#This Row],[Date]],"[$-en-US]mmm yyyy")</f>
        <v>Mar 2025</v>
      </c>
      <c r="K3388" s="13" t="str">
        <f>TEXT(Table1[[#This Row],[Date]],"[$-en-US]ddd")</f>
        <v>Wed</v>
      </c>
    </row>
    <row r="3389" spans="1:11" x14ac:dyDescent="0.25">
      <c r="A3389">
        <v>18</v>
      </c>
      <c r="B3389" t="s">
        <v>9</v>
      </c>
      <c r="C3389">
        <v>35.76</v>
      </c>
      <c r="D3389" t="s">
        <v>19</v>
      </c>
      <c r="E3389" t="s">
        <v>18</v>
      </c>
      <c r="F3389" t="s">
        <v>13</v>
      </c>
      <c r="G3389">
        <v>3</v>
      </c>
      <c r="H3389">
        <v>3</v>
      </c>
      <c r="I3389" s="13">
        <v>45728</v>
      </c>
      <c r="J3389" s="13" t="str">
        <f>TEXT(Table1[[#This Row],[Date]],"[$-en-US]mmm yyyy")</f>
        <v>Mar 2025</v>
      </c>
      <c r="K3389" s="13" t="str">
        <f>TEXT(Table1[[#This Row],[Date]],"[$-en-US]ddd")</f>
        <v>Wed</v>
      </c>
    </row>
    <row r="3390" spans="1:11" x14ac:dyDescent="0.25">
      <c r="A3390">
        <v>18</v>
      </c>
      <c r="B3390" t="s">
        <v>9</v>
      </c>
      <c r="C3390">
        <v>25.96</v>
      </c>
      <c r="D3390" t="s">
        <v>16</v>
      </c>
      <c r="E3390" t="s">
        <v>18</v>
      </c>
      <c r="F3390" t="s">
        <v>13</v>
      </c>
      <c r="G3390">
        <v>3</v>
      </c>
      <c r="H3390">
        <v>3</v>
      </c>
      <c r="I3390" s="13">
        <v>45728</v>
      </c>
      <c r="J3390" s="13" t="str">
        <f>TEXT(Table1[[#This Row],[Date]],"[$-en-US]mmm yyyy")</f>
        <v>Mar 2025</v>
      </c>
      <c r="K3390" s="13" t="str">
        <f>TEXT(Table1[[#This Row],[Date]],"[$-en-US]ddd")</f>
        <v>Wed</v>
      </c>
    </row>
    <row r="3391" spans="1:11" x14ac:dyDescent="0.25">
      <c r="A3391">
        <v>18</v>
      </c>
      <c r="B3391" t="s">
        <v>9</v>
      </c>
      <c r="C3391">
        <v>35.76</v>
      </c>
      <c r="D3391" t="s">
        <v>27</v>
      </c>
      <c r="E3391" t="s">
        <v>18</v>
      </c>
      <c r="F3391" t="s">
        <v>13</v>
      </c>
      <c r="G3391">
        <v>3</v>
      </c>
      <c r="H3391">
        <v>3</v>
      </c>
      <c r="I3391" s="13">
        <v>45728</v>
      </c>
      <c r="J3391" s="13" t="str">
        <f>TEXT(Table1[[#This Row],[Date]],"[$-en-US]mmm yyyy")</f>
        <v>Mar 2025</v>
      </c>
      <c r="K3391" s="13" t="str">
        <f>TEXT(Table1[[#This Row],[Date]],"[$-en-US]ddd")</f>
        <v>Wed</v>
      </c>
    </row>
    <row r="3392" spans="1:11" x14ac:dyDescent="0.25">
      <c r="A3392">
        <v>18</v>
      </c>
      <c r="B3392" t="s">
        <v>9</v>
      </c>
      <c r="C3392">
        <v>25.96</v>
      </c>
      <c r="D3392" t="s">
        <v>16</v>
      </c>
      <c r="E3392" t="s">
        <v>18</v>
      </c>
      <c r="F3392" t="s">
        <v>13</v>
      </c>
      <c r="G3392">
        <v>3</v>
      </c>
      <c r="H3392">
        <v>3</v>
      </c>
      <c r="I3392" s="13">
        <v>45728</v>
      </c>
      <c r="J3392" s="13" t="str">
        <f>TEXT(Table1[[#This Row],[Date]],"[$-en-US]mmm yyyy")</f>
        <v>Mar 2025</v>
      </c>
      <c r="K3392" s="13" t="str">
        <f>TEXT(Table1[[#This Row],[Date]],"[$-en-US]ddd")</f>
        <v>Wed</v>
      </c>
    </row>
    <row r="3393" spans="1:11" x14ac:dyDescent="0.25">
      <c r="A3393">
        <v>7</v>
      </c>
      <c r="B3393" t="s">
        <v>9</v>
      </c>
      <c r="C3393">
        <v>35.76</v>
      </c>
      <c r="D3393" t="s">
        <v>27</v>
      </c>
      <c r="E3393" t="s">
        <v>11</v>
      </c>
      <c r="F3393" t="s">
        <v>13</v>
      </c>
      <c r="G3393">
        <v>4</v>
      </c>
      <c r="H3393">
        <v>3</v>
      </c>
      <c r="I3393" s="13">
        <v>45729</v>
      </c>
      <c r="J3393" s="13" t="str">
        <f>TEXT(Table1[[#This Row],[Date]],"[$-en-US]mmm yyyy")</f>
        <v>Mar 2025</v>
      </c>
      <c r="K3393" s="13" t="str">
        <f>TEXT(Table1[[#This Row],[Date]],"[$-en-US]ddd")</f>
        <v>Thu</v>
      </c>
    </row>
    <row r="3394" spans="1:11" x14ac:dyDescent="0.25">
      <c r="A3394">
        <v>8</v>
      </c>
      <c r="B3394" t="s">
        <v>9</v>
      </c>
      <c r="C3394">
        <v>30.86</v>
      </c>
      <c r="D3394" t="s">
        <v>17</v>
      </c>
      <c r="E3394" t="s">
        <v>11</v>
      </c>
      <c r="F3394" t="s">
        <v>13</v>
      </c>
      <c r="G3394">
        <v>4</v>
      </c>
      <c r="H3394">
        <v>3</v>
      </c>
      <c r="I3394" s="13">
        <v>45729</v>
      </c>
      <c r="J3394" s="13" t="str">
        <f>TEXT(Table1[[#This Row],[Date]],"[$-en-US]mmm yyyy")</f>
        <v>Mar 2025</v>
      </c>
      <c r="K3394" s="13" t="str">
        <f>TEXT(Table1[[#This Row],[Date]],"[$-en-US]ddd")</f>
        <v>Thu</v>
      </c>
    </row>
    <row r="3395" spans="1:11" x14ac:dyDescent="0.25">
      <c r="A3395">
        <v>9</v>
      </c>
      <c r="B3395" t="s">
        <v>9</v>
      </c>
      <c r="C3395">
        <v>30.86</v>
      </c>
      <c r="D3395" t="s">
        <v>17</v>
      </c>
      <c r="E3395" t="s">
        <v>11</v>
      </c>
      <c r="F3395" t="s">
        <v>13</v>
      </c>
      <c r="G3395">
        <v>4</v>
      </c>
      <c r="H3395">
        <v>3</v>
      </c>
      <c r="I3395" s="13">
        <v>45729</v>
      </c>
      <c r="J3395" s="13" t="str">
        <f>TEXT(Table1[[#This Row],[Date]],"[$-en-US]mmm yyyy")</f>
        <v>Mar 2025</v>
      </c>
      <c r="K3395" s="13" t="str">
        <f>TEXT(Table1[[#This Row],[Date]],"[$-en-US]ddd")</f>
        <v>Thu</v>
      </c>
    </row>
    <row r="3396" spans="1:11" x14ac:dyDescent="0.25">
      <c r="A3396">
        <v>9</v>
      </c>
      <c r="B3396" t="s">
        <v>9</v>
      </c>
      <c r="C3396">
        <v>35.76</v>
      </c>
      <c r="D3396" t="s">
        <v>10</v>
      </c>
      <c r="E3396" t="s">
        <v>11</v>
      </c>
      <c r="F3396" t="s">
        <v>13</v>
      </c>
      <c r="G3396">
        <v>4</v>
      </c>
      <c r="H3396">
        <v>3</v>
      </c>
      <c r="I3396" s="13">
        <v>45729</v>
      </c>
      <c r="J3396" s="13" t="str">
        <f>TEXT(Table1[[#This Row],[Date]],"[$-en-US]mmm yyyy")</f>
        <v>Mar 2025</v>
      </c>
      <c r="K3396" s="13" t="str">
        <f>TEXT(Table1[[#This Row],[Date]],"[$-en-US]ddd")</f>
        <v>Thu</v>
      </c>
    </row>
    <row r="3397" spans="1:11" x14ac:dyDescent="0.25">
      <c r="A3397">
        <v>9</v>
      </c>
      <c r="B3397" t="s">
        <v>9</v>
      </c>
      <c r="C3397">
        <v>21.06</v>
      </c>
      <c r="D3397" t="s">
        <v>24</v>
      </c>
      <c r="E3397" t="s">
        <v>11</v>
      </c>
      <c r="F3397" t="s">
        <v>13</v>
      </c>
      <c r="G3397">
        <v>4</v>
      </c>
      <c r="H3397">
        <v>3</v>
      </c>
      <c r="I3397" s="13">
        <v>45729</v>
      </c>
      <c r="J3397" s="13" t="str">
        <f>TEXT(Table1[[#This Row],[Date]],"[$-en-US]mmm yyyy")</f>
        <v>Mar 2025</v>
      </c>
      <c r="K3397" s="13" t="str">
        <f>TEXT(Table1[[#This Row],[Date]],"[$-en-US]ddd")</f>
        <v>Thu</v>
      </c>
    </row>
    <row r="3398" spans="1:11" x14ac:dyDescent="0.25">
      <c r="A3398">
        <v>9</v>
      </c>
      <c r="B3398" t="s">
        <v>9</v>
      </c>
      <c r="C3398">
        <v>25.96</v>
      </c>
      <c r="D3398" t="s">
        <v>16</v>
      </c>
      <c r="E3398" t="s">
        <v>11</v>
      </c>
      <c r="F3398" t="s">
        <v>13</v>
      </c>
      <c r="G3398">
        <v>4</v>
      </c>
      <c r="H3398">
        <v>3</v>
      </c>
      <c r="I3398" s="13">
        <v>45729</v>
      </c>
      <c r="J3398" s="13" t="str">
        <f>TEXT(Table1[[#This Row],[Date]],"[$-en-US]mmm yyyy")</f>
        <v>Mar 2025</v>
      </c>
      <c r="K3398" s="13" t="str">
        <f>TEXT(Table1[[#This Row],[Date]],"[$-en-US]ddd")</f>
        <v>Thu</v>
      </c>
    </row>
    <row r="3399" spans="1:11" x14ac:dyDescent="0.25">
      <c r="A3399">
        <v>9</v>
      </c>
      <c r="B3399" t="s">
        <v>9</v>
      </c>
      <c r="C3399">
        <v>30.86</v>
      </c>
      <c r="D3399" t="s">
        <v>17</v>
      </c>
      <c r="E3399" t="s">
        <v>11</v>
      </c>
      <c r="F3399" t="s">
        <v>13</v>
      </c>
      <c r="G3399">
        <v>4</v>
      </c>
      <c r="H3399">
        <v>3</v>
      </c>
      <c r="I3399" s="13">
        <v>45729</v>
      </c>
      <c r="J3399" s="13" t="str">
        <f>TEXT(Table1[[#This Row],[Date]],"[$-en-US]mmm yyyy")</f>
        <v>Mar 2025</v>
      </c>
      <c r="K3399" s="13" t="str">
        <f>TEXT(Table1[[#This Row],[Date]],"[$-en-US]ddd")</f>
        <v>Thu</v>
      </c>
    </row>
    <row r="3400" spans="1:11" x14ac:dyDescent="0.25">
      <c r="A3400">
        <v>11</v>
      </c>
      <c r="B3400" t="s">
        <v>9</v>
      </c>
      <c r="C3400">
        <v>25.96</v>
      </c>
      <c r="D3400" t="s">
        <v>16</v>
      </c>
      <c r="E3400" t="s">
        <v>11</v>
      </c>
      <c r="F3400" t="s">
        <v>13</v>
      </c>
      <c r="G3400">
        <v>4</v>
      </c>
      <c r="H3400">
        <v>3</v>
      </c>
      <c r="I3400" s="13">
        <v>45729</v>
      </c>
      <c r="J3400" s="13" t="str">
        <f>TEXT(Table1[[#This Row],[Date]],"[$-en-US]mmm yyyy")</f>
        <v>Mar 2025</v>
      </c>
      <c r="K3400" s="13" t="str">
        <f>TEXT(Table1[[#This Row],[Date]],"[$-en-US]ddd")</f>
        <v>Thu</v>
      </c>
    </row>
    <row r="3401" spans="1:11" x14ac:dyDescent="0.25">
      <c r="A3401">
        <v>12</v>
      </c>
      <c r="B3401" t="s">
        <v>9</v>
      </c>
      <c r="C3401">
        <v>35.76</v>
      </c>
      <c r="D3401" t="s">
        <v>10</v>
      </c>
      <c r="E3401" t="s">
        <v>15</v>
      </c>
      <c r="F3401" t="s">
        <v>13</v>
      </c>
      <c r="G3401">
        <v>4</v>
      </c>
      <c r="H3401">
        <v>3</v>
      </c>
      <c r="I3401" s="13">
        <v>45729</v>
      </c>
      <c r="J3401" s="13" t="str">
        <f>TEXT(Table1[[#This Row],[Date]],"[$-en-US]mmm yyyy")</f>
        <v>Mar 2025</v>
      </c>
      <c r="K3401" s="13" t="str">
        <f>TEXT(Table1[[#This Row],[Date]],"[$-en-US]ddd")</f>
        <v>Thu</v>
      </c>
    </row>
    <row r="3402" spans="1:11" x14ac:dyDescent="0.25">
      <c r="A3402">
        <v>14</v>
      </c>
      <c r="B3402" t="s">
        <v>9</v>
      </c>
      <c r="C3402">
        <v>30.86</v>
      </c>
      <c r="D3402" t="s">
        <v>17</v>
      </c>
      <c r="E3402" t="s">
        <v>15</v>
      </c>
      <c r="F3402" t="s">
        <v>13</v>
      </c>
      <c r="G3402">
        <v>4</v>
      </c>
      <c r="H3402">
        <v>3</v>
      </c>
      <c r="I3402" s="13">
        <v>45729</v>
      </c>
      <c r="J3402" s="13" t="str">
        <f>TEXT(Table1[[#This Row],[Date]],"[$-en-US]mmm yyyy")</f>
        <v>Mar 2025</v>
      </c>
      <c r="K3402" s="13" t="str">
        <f>TEXT(Table1[[#This Row],[Date]],"[$-en-US]ddd")</f>
        <v>Thu</v>
      </c>
    </row>
    <row r="3403" spans="1:11" x14ac:dyDescent="0.25">
      <c r="A3403">
        <v>14</v>
      </c>
      <c r="B3403" t="s">
        <v>9</v>
      </c>
      <c r="C3403">
        <v>25.96</v>
      </c>
      <c r="D3403" t="s">
        <v>16</v>
      </c>
      <c r="E3403" t="s">
        <v>15</v>
      </c>
      <c r="F3403" t="s">
        <v>13</v>
      </c>
      <c r="G3403">
        <v>4</v>
      </c>
      <c r="H3403">
        <v>3</v>
      </c>
      <c r="I3403" s="13">
        <v>45729</v>
      </c>
      <c r="J3403" s="13" t="str">
        <f>TEXT(Table1[[#This Row],[Date]],"[$-en-US]mmm yyyy")</f>
        <v>Mar 2025</v>
      </c>
      <c r="K3403" s="13" t="str">
        <f>TEXT(Table1[[#This Row],[Date]],"[$-en-US]ddd")</f>
        <v>Thu</v>
      </c>
    </row>
    <row r="3404" spans="1:11" x14ac:dyDescent="0.25">
      <c r="A3404">
        <v>18</v>
      </c>
      <c r="B3404" t="s">
        <v>9</v>
      </c>
      <c r="C3404">
        <v>35.76</v>
      </c>
      <c r="D3404" t="s">
        <v>27</v>
      </c>
      <c r="E3404" t="s">
        <v>18</v>
      </c>
      <c r="F3404" t="s">
        <v>13</v>
      </c>
      <c r="G3404">
        <v>4</v>
      </c>
      <c r="H3404">
        <v>3</v>
      </c>
      <c r="I3404" s="13">
        <v>45729</v>
      </c>
      <c r="J3404" s="13" t="str">
        <f>TEXT(Table1[[#This Row],[Date]],"[$-en-US]mmm yyyy")</f>
        <v>Mar 2025</v>
      </c>
      <c r="K3404" s="13" t="str">
        <f>TEXT(Table1[[#This Row],[Date]],"[$-en-US]ddd")</f>
        <v>Thu</v>
      </c>
    </row>
    <row r="3405" spans="1:11" x14ac:dyDescent="0.25">
      <c r="A3405">
        <v>7</v>
      </c>
      <c r="B3405" t="s">
        <v>9</v>
      </c>
      <c r="C3405">
        <v>25.96</v>
      </c>
      <c r="D3405" t="s">
        <v>16</v>
      </c>
      <c r="E3405" t="s">
        <v>11</v>
      </c>
      <c r="F3405" t="s">
        <v>13</v>
      </c>
      <c r="G3405">
        <v>5</v>
      </c>
      <c r="H3405">
        <v>3</v>
      </c>
      <c r="I3405" s="13">
        <v>45730</v>
      </c>
      <c r="J3405" s="13" t="str">
        <f>TEXT(Table1[[#This Row],[Date]],"[$-en-US]mmm yyyy")</f>
        <v>Mar 2025</v>
      </c>
      <c r="K3405" s="13" t="str">
        <f>TEXT(Table1[[#This Row],[Date]],"[$-en-US]ddd")</f>
        <v>Fri</v>
      </c>
    </row>
    <row r="3406" spans="1:11" x14ac:dyDescent="0.25">
      <c r="A3406">
        <v>8</v>
      </c>
      <c r="B3406" t="s">
        <v>9</v>
      </c>
      <c r="C3406">
        <v>30.86</v>
      </c>
      <c r="D3406" t="s">
        <v>17</v>
      </c>
      <c r="E3406" t="s">
        <v>11</v>
      </c>
      <c r="F3406" t="s">
        <v>13</v>
      </c>
      <c r="G3406">
        <v>5</v>
      </c>
      <c r="H3406">
        <v>3</v>
      </c>
      <c r="I3406" s="13">
        <v>45730</v>
      </c>
      <c r="J3406" s="13" t="str">
        <f>TEXT(Table1[[#This Row],[Date]],"[$-en-US]mmm yyyy")</f>
        <v>Mar 2025</v>
      </c>
      <c r="K3406" s="13" t="str">
        <f>TEXT(Table1[[#This Row],[Date]],"[$-en-US]ddd")</f>
        <v>Fri</v>
      </c>
    </row>
    <row r="3407" spans="1:11" x14ac:dyDescent="0.25">
      <c r="A3407">
        <v>8</v>
      </c>
      <c r="B3407" t="s">
        <v>9</v>
      </c>
      <c r="C3407">
        <v>25.96</v>
      </c>
      <c r="D3407" t="s">
        <v>16</v>
      </c>
      <c r="E3407" t="s">
        <v>11</v>
      </c>
      <c r="F3407" t="s">
        <v>13</v>
      </c>
      <c r="G3407">
        <v>5</v>
      </c>
      <c r="H3407">
        <v>3</v>
      </c>
      <c r="I3407" s="13">
        <v>45730</v>
      </c>
      <c r="J3407" s="13" t="str">
        <f>TEXT(Table1[[#This Row],[Date]],"[$-en-US]mmm yyyy")</f>
        <v>Mar 2025</v>
      </c>
      <c r="K3407" s="13" t="str">
        <f>TEXT(Table1[[#This Row],[Date]],"[$-en-US]ddd")</f>
        <v>Fri</v>
      </c>
    </row>
    <row r="3408" spans="1:11" x14ac:dyDescent="0.25">
      <c r="A3408">
        <v>9</v>
      </c>
      <c r="B3408" t="s">
        <v>9</v>
      </c>
      <c r="C3408">
        <v>35.76</v>
      </c>
      <c r="D3408" t="s">
        <v>10</v>
      </c>
      <c r="E3408" t="s">
        <v>11</v>
      </c>
      <c r="F3408" t="s">
        <v>13</v>
      </c>
      <c r="G3408">
        <v>5</v>
      </c>
      <c r="H3408">
        <v>3</v>
      </c>
      <c r="I3408" s="13">
        <v>45730</v>
      </c>
      <c r="J3408" s="13" t="str">
        <f>TEXT(Table1[[#This Row],[Date]],"[$-en-US]mmm yyyy")</f>
        <v>Mar 2025</v>
      </c>
      <c r="K3408" s="13" t="str">
        <f>TEXT(Table1[[#This Row],[Date]],"[$-en-US]ddd")</f>
        <v>Fri</v>
      </c>
    </row>
    <row r="3409" spans="1:11" x14ac:dyDescent="0.25">
      <c r="A3409">
        <v>9</v>
      </c>
      <c r="B3409" t="s">
        <v>9</v>
      </c>
      <c r="C3409">
        <v>21.06</v>
      </c>
      <c r="D3409" t="s">
        <v>24</v>
      </c>
      <c r="E3409" t="s">
        <v>11</v>
      </c>
      <c r="F3409" t="s">
        <v>13</v>
      </c>
      <c r="G3409">
        <v>5</v>
      </c>
      <c r="H3409">
        <v>3</v>
      </c>
      <c r="I3409" s="13">
        <v>45730</v>
      </c>
      <c r="J3409" s="13" t="str">
        <f>TEXT(Table1[[#This Row],[Date]],"[$-en-US]mmm yyyy")</f>
        <v>Mar 2025</v>
      </c>
      <c r="K3409" s="13" t="str">
        <f>TEXT(Table1[[#This Row],[Date]],"[$-en-US]ddd")</f>
        <v>Fri</v>
      </c>
    </row>
    <row r="3410" spans="1:11" x14ac:dyDescent="0.25">
      <c r="A3410">
        <v>9</v>
      </c>
      <c r="B3410" t="s">
        <v>9</v>
      </c>
      <c r="C3410">
        <v>25.96</v>
      </c>
      <c r="D3410" t="s">
        <v>16</v>
      </c>
      <c r="E3410" t="s">
        <v>11</v>
      </c>
      <c r="F3410" t="s">
        <v>13</v>
      </c>
      <c r="G3410">
        <v>5</v>
      </c>
      <c r="H3410">
        <v>3</v>
      </c>
      <c r="I3410" s="13">
        <v>45730</v>
      </c>
      <c r="J3410" s="13" t="str">
        <f>TEXT(Table1[[#This Row],[Date]],"[$-en-US]mmm yyyy")</f>
        <v>Mar 2025</v>
      </c>
      <c r="K3410" s="13" t="str">
        <f>TEXT(Table1[[#This Row],[Date]],"[$-en-US]ddd")</f>
        <v>Fri</v>
      </c>
    </row>
    <row r="3411" spans="1:11" x14ac:dyDescent="0.25">
      <c r="A3411">
        <v>10</v>
      </c>
      <c r="B3411" t="s">
        <v>9</v>
      </c>
      <c r="C3411">
        <v>25.96</v>
      </c>
      <c r="D3411" t="s">
        <v>16</v>
      </c>
      <c r="E3411" t="s">
        <v>11</v>
      </c>
      <c r="F3411" t="s">
        <v>13</v>
      </c>
      <c r="G3411">
        <v>5</v>
      </c>
      <c r="H3411">
        <v>3</v>
      </c>
      <c r="I3411" s="13">
        <v>45730</v>
      </c>
      <c r="J3411" s="13" t="str">
        <f>TEXT(Table1[[#This Row],[Date]],"[$-en-US]mmm yyyy")</f>
        <v>Mar 2025</v>
      </c>
      <c r="K3411" s="13" t="str">
        <f>TEXT(Table1[[#This Row],[Date]],"[$-en-US]ddd")</f>
        <v>Fri</v>
      </c>
    </row>
    <row r="3412" spans="1:11" x14ac:dyDescent="0.25">
      <c r="A3412">
        <v>10</v>
      </c>
      <c r="B3412" t="s">
        <v>9</v>
      </c>
      <c r="C3412">
        <v>35.76</v>
      </c>
      <c r="D3412" t="s">
        <v>10</v>
      </c>
      <c r="E3412" t="s">
        <v>11</v>
      </c>
      <c r="F3412" t="s">
        <v>13</v>
      </c>
      <c r="G3412">
        <v>5</v>
      </c>
      <c r="H3412">
        <v>3</v>
      </c>
      <c r="I3412" s="13">
        <v>45730</v>
      </c>
      <c r="J3412" s="13" t="str">
        <f>TEXT(Table1[[#This Row],[Date]],"[$-en-US]mmm yyyy")</f>
        <v>Mar 2025</v>
      </c>
      <c r="K3412" s="13" t="str">
        <f>TEXT(Table1[[#This Row],[Date]],"[$-en-US]ddd")</f>
        <v>Fri</v>
      </c>
    </row>
    <row r="3413" spans="1:11" x14ac:dyDescent="0.25">
      <c r="A3413">
        <v>10</v>
      </c>
      <c r="B3413" t="s">
        <v>9</v>
      </c>
      <c r="C3413">
        <v>35.76</v>
      </c>
      <c r="D3413" t="s">
        <v>27</v>
      </c>
      <c r="E3413" t="s">
        <v>11</v>
      </c>
      <c r="F3413" t="s">
        <v>13</v>
      </c>
      <c r="G3413">
        <v>5</v>
      </c>
      <c r="H3413">
        <v>3</v>
      </c>
      <c r="I3413" s="13">
        <v>45730</v>
      </c>
      <c r="J3413" s="13" t="str">
        <f>TEXT(Table1[[#This Row],[Date]],"[$-en-US]mmm yyyy")</f>
        <v>Mar 2025</v>
      </c>
      <c r="K3413" s="13" t="str">
        <f>TEXT(Table1[[#This Row],[Date]],"[$-en-US]ddd")</f>
        <v>Fri</v>
      </c>
    </row>
    <row r="3414" spans="1:11" x14ac:dyDescent="0.25">
      <c r="A3414">
        <v>14</v>
      </c>
      <c r="B3414" t="s">
        <v>9</v>
      </c>
      <c r="C3414">
        <v>25.96</v>
      </c>
      <c r="D3414" t="s">
        <v>16</v>
      </c>
      <c r="E3414" t="s">
        <v>15</v>
      </c>
      <c r="F3414" t="s">
        <v>13</v>
      </c>
      <c r="G3414">
        <v>5</v>
      </c>
      <c r="H3414">
        <v>3</v>
      </c>
      <c r="I3414" s="13">
        <v>45730</v>
      </c>
      <c r="J3414" s="13" t="str">
        <f>TEXT(Table1[[#This Row],[Date]],"[$-en-US]mmm yyyy")</f>
        <v>Mar 2025</v>
      </c>
      <c r="K3414" s="13" t="str">
        <f>TEXT(Table1[[#This Row],[Date]],"[$-en-US]ddd")</f>
        <v>Fri</v>
      </c>
    </row>
    <row r="3415" spans="1:11" x14ac:dyDescent="0.25">
      <c r="A3415">
        <v>14</v>
      </c>
      <c r="B3415" t="s">
        <v>9</v>
      </c>
      <c r="C3415">
        <v>35.76</v>
      </c>
      <c r="D3415" t="s">
        <v>10</v>
      </c>
      <c r="E3415" t="s">
        <v>15</v>
      </c>
      <c r="F3415" t="s">
        <v>13</v>
      </c>
      <c r="G3415">
        <v>5</v>
      </c>
      <c r="H3415">
        <v>3</v>
      </c>
      <c r="I3415" s="13">
        <v>45730</v>
      </c>
      <c r="J3415" s="13" t="str">
        <f>TEXT(Table1[[#This Row],[Date]],"[$-en-US]mmm yyyy")</f>
        <v>Mar 2025</v>
      </c>
      <c r="K3415" s="13" t="str">
        <f>TEXT(Table1[[#This Row],[Date]],"[$-en-US]ddd")</f>
        <v>Fri</v>
      </c>
    </row>
    <row r="3416" spans="1:11" x14ac:dyDescent="0.25">
      <c r="A3416">
        <v>15</v>
      </c>
      <c r="B3416" t="s">
        <v>9</v>
      </c>
      <c r="C3416">
        <v>35.76</v>
      </c>
      <c r="D3416" t="s">
        <v>10</v>
      </c>
      <c r="E3416" t="s">
        <v>15</v>
      </c>
      <c r="F3416" t="s">
        <v>13</v>
      </c>
      <c r="G3416">
        <v>5</v>
      </c>
      <c r="H3416">
        <v>3</v>
      </c>
      <c r="I3416" s="13">
        <v>45730</v>
      </c>
      <c r="J3416" s="13" t="str">
        <f>TEXT(Table1[[#This Row],[Date]],"[$-en-US]mmm yyyy")</f>
        <v>Mar 2025</v>
      </c>
      <c r="K3416" s="13" t="str">
        <f>TEXT(Table1[[#This Row],[Date]],"[$-en-US]ddd")</f>
        <v>Fri</v>
      </c>
    </row>
    <row r="3417" spans="1:11" x14ac:dyDescent="0.25">
      <c r="A3417">
        <v>15</v>
      </c>
      <c r="B3417" t="s">
        <v>9</v>
      </c>
      <c r="C3417">
        <v>35.76</v>
      </c>
      <c r="D3417" t="s">
        <v>10</v>
      </c>
      <c r="E3417" t="s">
        <v>15</v>
      </c>
      <c r="F3417" t="s">
        <v>13</v>
      </c>
      <c r="G3417">
        <v>5</v>
      </c>
      <c r="H3417">
        <v>3</v>
      </c>
      <c r="I3417" s="13">
        <v>45730</v>
      </c>
      <c r="J3417" s="13" t="str">
        <f>TEXT(Table1[[#This Row],[Date]],"[$-en-US]mmm yyyy")</f>
        <v>Mar 2025</v>
      </c>
      <c r="K3417" s="13" t="str">
        <f>TEXT(Table1[[#This Row],[Date]],"[$-en-US]ddd")</f>
        <v>Fri</v>
      </c>
    </row>
    <row r="3418" spans="1:11" x14ac:dyDescent="0.25">
      <c r="A3418">
        <v>16</v>
      </c>
      <c r="B3418" t="s">
        <v>9</v>
      </c>
      <c r="C3418">
        <v>25.96</v>
      </c>
      <c r="D3418" t="s">
        <v>16</v>
      </c>
      <c r="E3418" t="s">
        <v>15</v>
      </c>
      <c r="F3418" t="s">
        <v>13</v>
      </c>
      <c r="G3418">
        <v>5</v>
      </c>
      <c r="H3418">
        <v>3</v>
      </c>
      <c r="I3418" s="13">
        <v>45730</v>
      </c>
      <c r="J3418" s="13" t="str">
        <f>TEXT(Table1[[#This Row],[Date]],"[$-en-US]mmm yyyy")</f>
        <v>Mar 2025</v>
      </c>
      <c r="K3418" s="13" t="str">
        <f>TEXT(Table1[[#This Row],[Date]],"[$-en-US]ddd")</f>
        <v>Fri</v>
      </c>
    </row>
    <row r="3419" spans="1:11" x14ac:dyDescent="0.25">
      <c r="A3419">
        <v>16</v>
      </c>
      <c r="B3419" t="s">
        <v>9</v>
      </c>
      <c r="C3419">
        <v>35.76</v>
      </c>
      <c r="D3419" t="s">
        <v>19</v>
      </c>
      <c r="E3419" t="s">
        <v>15</v>
      </c>
      <c r="F3419" t="s">
        <v>13</v>
      </c>
      <c r="G3419">
        <v>5</v>
      </c>
      <c r="H3419">
        <v>3</v>
      </c>
      <c r="I3419" s="13">
        <v>45730</v>
      </c>
      <c r="J3419" s="13" t="str">
        <f>TEXT(Table1[[#This Row],[Date]],"[$-en-US]mmm yyyy")</f>
        <v>Mar 2025</v>
      </c>
      <c r="K3419" s="13" t="str">
        <f>TEXT(Table1[[#This Row],[Date]],"[$-en-US]ddd")</f>
        <v>Fri</v>
      </c>
    </row>
    <row r="3420" spans="1:11" x14ac:dyDescent="0.25">
      <c r="A3420">
        <v>16</v>
      </c>
      <c r="B3420" t="s">
        <v>9</v>
      </c>
      <c r="C3420">
        <v>35.76</v>
      </c>
      <c r="D3420" t="s">
        <v>19</v>
      </c>
      <c r="E3420" t="s">
        <v>15</v>
      </c>
      <c r="F3420" t="s">
        <v>13</v>
      </c>
      <c r="G3420">
        <v>5</v>
      </c>
      <c r="H3420">
        <v>3</v>
      </c>
      <c r="I3420" s="13">
        <v>45730</v>
      </c>
      <c r="J3420" s="13" t="str">
        <f>TEXT(Table1[[#This Row],[Date]],"[$-en-US]mmm yyyy")</f>
        <v>Mar 2025</v>
      </c>
      <c r="K3420" s="13" t="str">
        <f>TEXT(Table1[[#This Row],[Date]],"[$-en-US]ddd")</f>
        <v>Fri</v>
      </c>
    </row>
    <row r="3421" spans="1:11" x14ac:dyDescent="0.25">
      <c r="A3421">
        <v>16</v>
      </c>
      <c r="B3421" t="s">
        <v>9</v>
      </c>
      <c r="C3421">
        <v>35.76</v>
      </c>
      <c r="D3421" t="s">
        <v>19</v>
      </c>
      <c r="E3421" t="s">
        <v>15</v>
      </c>
      <c r="F3421" t="s">
        <v>13</v>
      </c>
      <c r="G3421">
        <v>5</v>
      </c>
      <c r="H3421">
        <v>3</v>
      </c>
      <c r="I3421" s="13">
        <v>45730</v>
      </c>
      <c r="J3421" s="13" t="str">
        <f>TEXT(Table1[[#This Row],[Date]],"[$-en-US]mmm yyyy")</f>
        <v>Mar 2025</v>
      </c>
      <c r="K3421" s="13" t="str">
        <f>TEXT(Table1[[#This Row],[Date]],"[$-en-US]ddd")</f>
        <v>Fri</v>
      </c>
    </row>
    <row r="3422" spans="1:11" x14ac:dyDescent="0.25">
      <c r="A3422">
        <v>17</v>
      </c>
      <c r="B3422" t="s">
        <v>9</v>
      </c>
      <c r="C3422">
        <v>25.96</v>
      </c>
      <c r="D3422" t="s">
        <v>16</v>
      </c>
      <c r="E3422" t="s">
        <v>18</v>
      </c>
      <c r="F3422" t="s">
        <v>13</v>
      </c>
      <c r="G3422">
        <v>5</v>
      </c>
      <c r="H3422">
        <v>3</v>
      </c>
      <c r="I3422" s="13">
        <v>45730</v>
      </c>
      <c r="J3422" s="13" t="str">
        <f>TEXT(Table1[[#This Row],[Date]],"[$-en-US]mmm yyyy")</f>
        <v>Mar 2025</v>
      </c>
      <c r="K3422" s="13" t="str">
        <f>TEXT(Table1[[#This Row],[Date]],"[$-en-US]ddd")</f>
        <v>Fri</v>
      </c>
    </row>
    <row r="3423" spans="1:11" x14ac:dyDescent="0.25">
      <c r="A3423">
        <v>17</v>
      </c>
      <c r="B3423" t="s">
        <v>9</v>
      </c>
      <c r="C3423">
        <v>25.96</v>
      </c>
      <c r="D3423" t="s">
        <v>16</v>
      </c>
      <c r="E3423" t="s">
        <v>18</v>
      </c>
      <c r="F3423" t="s">
        <v>13</v>
      </c>
      <c r="G3423">
        <v>5</v>
      </c>
      <c r="H3423">
        <v>3</v>
      </c>
      <c r="I3423" s="13">
        <v>45730</v>
      </c>
      <c r="J3423" s="13" t="str">
        <f>TEXT(Table1[[#This Row],[Date]],"[$-en-US]mmm yyyy")</f>
        <v>Mar 2025</v>
      </c>
      <c r="K3423" s="13" t="str">
        <f>TEXT(Table1[[#This Row],[Date]],"[$-en-US]ddd")</f>
        <v>Fri</v>
      </c>
    </row>
    <row r="3424" spans="1:11" x14ac:dyDescent="0.25">
      <c r="A3424">
        <v>17</v>
      </c>
      <c r="B3424" t="s">
        <v>9</v>
      </c>
      <c r="C3424">
        <v>35.76</v>
      </c>
      <c r="D3424" t="s">
        <v>10</v>
      </c>
      <c r="E3424" t="s">
        <v>18</v>
      </c>
      <c r="F3424" t="s">
        <v>13</v>
      </c>
      <c r="G3424">
        <v>5</v>
      </c>
      <c r="H3424">
        <v>3</v>
      </c>
      <c r="I3424" s="13">
        <v>45730</v>
      </c>
      <c r="J3424" s="13" t="str">
        <f>TEXT(Table1[[#This Row],[Date]],"[$-en-US]mmm yyyy")</f>
        <v>Mar 2025</v>
      </c>
      <c r="K3424" s="13" t="str">
        <f>TEXT(Table1[[#This Row],[Date]],"[$-en-US]ddd")</f>
        <v>Fri</v>
      </c>
    </row>
    <row r="3425" spans="1:11" x14ac:dyDescent="0.25">
      <c r="A3425">
        <v>17</v>
      </c>
      <c r="B3425" t="s">
        <v>9</v>
      </c>
      <c r="C3425">
        <v>35.76</v>
      </c>
      <c r="D3425" t="s">
        <v>10</v>
      </c>
      <c r="E3425" t="s">
        <v>18</v>
      </c>
      <c r="F3425" t="s">
        <v>13</v>
      </c>
      <c r="G3425">
        <v>5</v>
      </c>
      <c r="H3425">
        <v>3</v>
      </c>
      <c r="I3425" s="13">
        <v>45730</v>
      </c>
      <c r="J3425" s="13" t="str">
        <f>TEXT(Table1[[#This Row],[Date]],"[$-en-US]mmm yyyy")</f>
        <v>Mar 2025</v>
      </c>
      <c r="K3425" s="13" t="str">
        <f>TEXT(Table1[[#This Row],[Date]],"[$-en-US]ddd")</f>
        <v>Fri</v>
      </c>
    </row>
    <row r="3426" spans="1:11" x14ac:dyDescent="0.25">
      <c r="A3426">
        <v>20</v>
      </c>
      <c r="B3426" t="s">
        <v>9</v>
      </c>
      <c r="C3426">
        <v>25.96</v>
      </c>
      <c r="D3426" t="s">
        <v>16</v>
      </c>
      <c r="E3426" t="s">
        <v>18</v>
      </c>
      <c r="F3426" t="s">
        <v>13</v>
      </c>
      <c r="G3426">
        <v>5</v>
      </c>
      <c r="H3426">
        <v>3</v>
      </c>
      <c r="I3426" s="13">
        <v>45730</v>
      </c>
      <c r="J3426" s="13" t="str">
        <f>TEXT(Table1[[#This Row],[Date]],"[$-en-US]mmm yyyy")</f>
        <v>Mar 2025</v>
      </c>
      <c r="K3426" s="13" t="str">
        <f>TEXT(Table1[[#This Row],[Date]],"[$-en-US]ddd")</f>
        <v>Fri</v>
      </c>
    </row>
    <row r="3427" spans="1:11" x14ac:dyDescent="0.25">
      <c r="A3427">
        <v>21</v>
      </c>
      <c r="B3427" t="s">
        <v>9</v>
      </c>
      <c r="C3427">
        <v>25.96</v>
      </c>
      <c r="D3427" t="s">
        <v>16</v>
      </c>
      <c r="E3427" t="s">
        <v>18</v>
      </c>
      <c r="F3427" t="s">
        <v>13</v>
      </c>
      <c r="G3427">
        <v>5</v>
      </c>
      <c r="H3427">
        <v>3</v>
      </c>
      <c r="I3427" s="13">
        <v>45730</v>
      </c>
      <c r="J3427" s="13" t="str">
        <f>TEXT(Table1[[#This Row],[Date]],"[$-en-US]mmm yyyy")</f>
        <v>Mar 2025</v>
      </c>
      <c r="K3427" s="13" t="str">
        <f>TEXT(Table1[[#This Row],[Date]],"[$-en-US]ddd")</f>
        <v>Fri</v>
      </c>
    </row>
    <row r="3428" spans="1:11" x14ac:dyDescent="0.25">
      <c r="A3428">
        <v>9</v>
      </c>
      <c r="B3428" t="s">
        <v>9</v>
      </c>
      <c r="C3428">
        <v>30.86</v>
      </c>
      <c r="D3428" t="s">
        <v>17</v>
      </c>
      <c r="E3428" t="s">
        <v>11</v>
      </c>
      <c r="F3428" t="s">
        <v>13</v>
      </c>
      <c r="G3428">
        <v>6</v>
      </c>
      <c r="H3428">
        <v>3</v>
      </c>
      <c r="I3428" s="13">
        <v>45731</v>
      </c>
      <c r="J3428" s="13" t="str">
        <f>TEXT(Table1[[#This Row],[Date]],"[$-en-US]mmm yyyy")</f>
        <v>Mar 2025</v>
      </c>
      <c r="K3428" s="13" t="str">
        <f>TEXT(Table1[[#This Row],[Date]],"[$-en-US]ddd")</f>
        <v>Sat</v>
      </c>
    </row>
    <row r="3429" spans="1:11" x14ac:dyDescent="0.25">
      <c r="A3429">
        <v>10</v>
      </c>
      <c r="B3429" t="s">
        <v>9</v>
      </c>
      <c r="C3429">
        <v>35.76</v>
      </c>
      <c r="D3429" t="s">
        <v>27</v>
      </c>
      <c r="E3429" t="s">
        <v>11</v>
      </c>
      <c r="F3429" t="s">
        <v>13</v>
      </c>
      <c r="G3429">
        <v>6</v>
      </c>
      <c r="H3429">
        <v>3</v>
      </c>
      <c r="I3429" s="13">
        <v>45731</v>
      </c>
      <c r="J3429" s="13" t="str">
        <f>TEXT(Table1[[#This Row],[Date]],"[$-en-US]mmm yyyy")</f>
        <v>Mar 2025</v>
      </c>
      <c r="K3429" s="13" t="str">
        <f>TEXT(Table1[[#This Row],[Date]],"[$-en-US]ddd")</f>
        <v>Sat</v>
      </c>
    </row>
    <row r="3430" spans="1:11" x14ac:dyDescent="0.25">
      <c r="A3430">
        <v>13</v>
      </c>
      <c r="B3430" t="s">
        <v>9</v>
      </c>
      <c r="C3430">
        <v>25.96</v>
      </c>
      <c r="D3430" t="s">
        <v>16</v>
      </c>
      <c r="E3430" t="s">
        <v>15</v>
      </c>
      <c r="F3430" t="s">
        <v>13</v>
      </c>
      <c r="G3430">
        <v>6</v>
      </c>
      <c r="H3430">
        <v>3</v>
      </c>
      <c r="I3430" s="13">
        <v>45731</v>
      </c>
      <c r="J3430" s="13" t="str">
        <f>TEXT(Table1[[#This Row],[Date]],"[$-en-US]mmm yyyy")</f>
        <v>Mar 2025</v>
      </c>
      <c r="K3430" s="13" t="str">
        <f>TEXT(Table1[[#This Row],[Date]],"[$-en-US]ddd")</f>
        <v>Sat</v>
      </c>
    </row>
    <row r="3431" spans="1:11" x14ac:dyDescent="0.25">
      <c r="A3431">
        <v>17</v>
      </c>
      <c r="B3431" t="s">
        <v>9</v>
      </c>
      <c r="C3431">
        <v>35.76</v>
      </c>
      <c r="D3431" t="s">
        <v>27</v>
      </c>
      <c r="E3431" t="s">
        <v>18</v>
      </c>
      <c r="F3431" t="s">
        <v>13</v>
      </c>
      <c r="G3431">
        <v>6</v>
      </c>
      <c r="H3431">
        <v>3</v>
      </c>
      <c r="I3431" s="13">
        <v>45731</v>
      </c>
      <c r="J3431" s="13" t="str">
        <f>TEXT(Table1[[#This Row],[Date]],"[$-en-US]mmm yyyy")</f>
        <v>Mar 2025</v>
      </c>
      <c r="K3431" s="13" t="str">
        <f>TEXT(Table1[[#This Row],[Date]],"[$-en-US]ddd")</f>
        <v>Sat</v>
      </c>
    </row>
    <row r="3432" spans="1:11" x14ac:dyDescent="0.25">
      <c r="A3432">
        <v>17</v>
      </c>
      <c r="B3432" t="s">
        <v>9</v>
      </c>
      <c r="C3432">
        <v>30.86</v>
      </c>
      <c r="D3432" t="s">
        <v>17</v>
      </c>
      <c r="E3432" t="s">
        <v>18</v>
      </c>
      <c r="F3432" t="s">
        <v>13</v>
      </c>
      <c r="G3432">
        <v>6</v>
      </c>
      <c r="H3432">
        <v>3</v>
      </c>
      <c r="I3432" s="13">
        <v>45731</v>
      </c>
      <c r="J3432" s="13" t="str">
        <f>TEXT(Table1[[#This Row],[Date]],"[$-en-US]mmm yyyy")</f>
        <v>Mar 2025</v>
      </c>
      <c r="K3432" s="13" t="str">
        <f>TEXT(Table1[[#This Row],[Date]],"[$-en-US]ddd")</f>
        <v>Sat</v>
      </c>
    </row>
    <row r="3433" spans="1:11" x14ac:dyDescent="0.25">
      <c r="A3433">
        <v>19</v>
      </c>
      <c r="B3433" t="s">
        <v>9</v>
      </c>
      <c r="C3433">
        <v>30.86</v>
      </c>
      <c r="D3433" t="s">
        <v>17</v>
      </c>
      <c r="E3433" t="s">
        <v>18</v>
      </c>
      <c r="F3433" t="s">
        <v>13</v>
      </c>
      <c r="G3433">
        <v>6</v>
      </c>
      <c r="H3433">
        <v>3</v>
      </c>
      <c r="I3433" s="13">
        <v>45731</v>
      </c>
      <c r="J3433" s="13" t="str">
        <f>TEXT(Table1[[#This Row],[Date]],"[$-en-US]mmm yyyy")</f>
        <v>Mar 2025</v>
      </c>
      <c r="K3433" s="13" t="str">
        <f>TEXT(Table1[[#This Row],[Date]],"[$-en-US]ddd")</f>
        <v>Sat</v>
      </c>
    </row>
    <row r="3434" spans="1:11" x14ac:dyDescent="0.25">
      <c r="A3434">
        <v>19</v>
      </c>
      <c r="B3434" t="s">
        <v>9</v>
      </c>
      <c r="C3434">
        <v>35.76</v>
      </c>
      <c r="D3434" t="s">
        <v>27</v>
      </c>
      <c r="E3434" t="s">
        <v>18</v>
      </c>
      <c r="F3434" t="s">
        <v>13</v>
      </c>
      <c r="G3434">
        <v>6</v>
      </c>
      <c r="H3434">
        <v>3</v>
      </c>
      <c r="I3434" s="13">
        <v>45731</v>
      </c>
      <c r="J3434" s="13" t="str">
        <f>TEXT(Table1[[#This Row],[Date]],"[$-en-US]mmm yyyy")</f>
        <v>Mar 2025</v>
      </c>
      <c r="K3434" s="13" t="str">
        <f>TEXT(Table1[[#This Row],[Date]],"[$-en-US]ddd")</f>
        <v>Sat</v>
      </c>
    </row>
    <row r="3435" spans="1:11" x14ac:dyDescent="0.25">
      <c r="A3435">
        <v>9</v>
      </c>
      <c r="B3435" t="s">
        <v>9</v>
      </c>
      <c r="C3435">
        <v>35.76</v>
      </c>
      <c r="D3435" t="s">
        <v>27</v>
      </c>
      <c r="E3435" t="s">
        <v>11</v>
      </c>
      <c r="F3435" t="s">
        <v>13</v>
      </c>
      <c r="G3435">
        <v>7</v>
      </c>
      <c r="H3435">
        <v>3</v>
      </c>
      <c r="I3435" s="13">
        <v>45732</v>
      </c>
      <c r="J3435" s="13" t="str">
        <f>TEXT(Table1[[#This Row],[Date]],"[$-en-US]mmm yyyy")</f>
        <v>Mar 2025</v>
      </c>
      <c r="K3435" s="13" t="str">
        <f>TEXT(Table1[[#This Row],[Date]],"[$-en-US]ddd")</f>
        <v>Sun</v>
      </c>
    </row>
    <row r="3436" spans="1:11" x14ac:dyDescent="0.25">
      <c r="A3436">
        <v>9</v>
      </c>
      <c r="B3436" t="s">
        <v>9</v>
      </c>
      <c r="C3436">
        <v>30.86</v>
      </c>
      <c r="D3436" t="s">
        <v>17</v>
      </c>
      <c r="E3436" t="s">
        <v>11</v>
      </c>
      <c r="F3436" t="s">
        <v>13</v>
      </c>
      <c r="G3436">
        <v>7</v>
      </c>
      <c r="H3436">
        <v>3</v>
      </c>
      <c r="I3436" s="13">
        <v>45732</v>
      </c>
      <c r="J3436" s="13" t="str">
        <f>TEXT(Table1[[#This Row],[Date]],"[$-en-US]mmm yyyy")</f>
        <v>Mar 2025</v>
      </c>
      <c r="K3436" s="13" t="str">
        <f>TEXT(Table1[[#This Row],[Date]],"[$-en-US]ddd")</f>
        <v>Sun</v>
      </c>
    </row>
    <row r="3437" spans="1:11" x14ac:dyDescent="0.25">
      <c r="A3437">
        <v>10</v>
      </c>
      <c r="B3437" t="s">
        <v>9</v>
      </c>
      <c r="C3437">
        <v>35.76</v>
      </c>
      <c r="D3437" t="s">
        <v>10</v>
      </c>
      <c r="E3437" t="s">
        <v>11</v>
      </c>
      <c r="F3437" t="s">
        <v>13</v>
      </c>
      <c r="G3437">
        <v>7</v>
      </c>
      <c r="H3437">
        <v>3</v>
      </c>
      <c r="I3437" s="13">
        <v>45732</v>
      </c>
      <c r="J3437" s="13" t="str">
        <f>TEXT(Table1[[#This Row],[Date]],"[$-en-US]mmm yyyy")</f>
        <v>Mar 2025</v>
      </c>
      <c r="K3437" s="13" t="str">
        <f>TEXT(Table1[[#This Row],[Date]],"[$-en-US]ddd")</f>
        <v>Sun</v>
      </c>
    </row>
    <row r="3438" spans="1:11" x14ac:dyDescent="0.25">
      <c r="A3438">
        <v>12</v>
      </c>
      <c r="B3438" t="s">
        <v>9</v>
      </c>
      <c r="C3438">
        <v>35.76</v>
      </c>
      <c r="D3438" t="s">
        <v>14</v>
      </c>
      <c r="E3438" t="s">
        <v>15</v>
      </c>
      <c r="F3438" t="s">
        <v>13</v>
      </c>
      <c r="G3438">
        <v>7</v>
      </c>
      <c r="H3438">
        <v>3</v>
      </c>
      <c r="I3438" s="13">
        <v>45732</v>
      </c>
      <c r="J3438" s="13" t="str">
        <f>TEXT(Table1[[#This Row],[Date]],"[$-en-US]mmm yyyy")</f>
        <v>Mar 2025</v>
      </c>
      <c r="K3438" s="13" t="str">
        <f>TEXT(Table1[[#This Row],[Date]],"[$-en-US]ddd")</f>
        <v>Sun</v>
      </c>
    </row>
    <row r="3439" spans="1:11" x14ac:dyDescent="0.25">
      <c r="A3439">
        <v>14</v>
      </c>
      <c r="B3439" t="s">
        <v>9</v>
      </c>
      <c r="C3439">
        <v>25.96</v>
      </c>
      <c r="D3439" t="s">
        <v>16</v>
      </c>
      <c r="E3439" t="s">
        <v>15</v>
      </c>
      <c r="F3439" t="s">
        <v>13</v>
      </c>
      <c r="G3439">
        <v>7</v>
      </c>
      <c r="H3439">
        <v>3</v>
      </c>
      <c r="I3439" s="13">
        <v>45732</v>
      </c>
      <c r="J3439" s="13" t="str">
        <f>TEXT(Table1[[#This Row],[Date]],"[$-en-US]mmm yyyy")</f>
        <v>Mar 2025</v>
      </c>
      <c r="K3439" s="13" t="str">
        <f>TEXT(Table1[[#This Row],[Date]],"[$-en-US]ddd")</f>
        <v>Sun</v>
      </c>
    </row>
    <row r="3440" spans="1:11" x14ac:dyDescent="0.25">
      <c r="A3440">
        <v>6</v>
      </c>
      <c r="B3440" t="s">
        <v>9</v>
      </c>
      <c r="C3440">
        <v>25.96</v>
      </c>
      <c r="D3440" t="s">
        <v>16</v>
      </c>
      <c r="E3440" t="s">
        <v>11</v>
      </c>
      <c r="F3440" t="s">
        <v>13</v>
      </c>
      <c r="G3440">
        <v>1</v>
      </c>
      <c r="H3440">
        <v>3</v>
      </c>
      <c r="I3440" s="13">
        <v>45733</v>
      </c>
      <c r="J3440" s="13" t="str">
        <f>TEXT(Table1[[#This Row],[Date]],"[$-en-US]mmm yyyy")</f>
        <v>Mar 2025</v>
      </c>
      <c r="K3440" s="13" t="str">
        <f>TEXT(Table1[[#This Row],[Date]],"[$-en-US]ddd")</f>
        <v>Mon</v>
      </c>
    </row>
    <row r="3441" spans="1:11" x14ac:dyDescent="0.25">
      <c r="A3441">
        <v>8</v>
      </c>
      <c r="B3441" t="s">
        <v>9</v>
      </c>
      <c r="C3441">
        <v>25.96</v>
      </c>
      <c r="D3441" t="s">
        <v>16</v>
      </c>
      <c r="E3441" t="s">
        <v>11</v>
      </c>
      <c r="F3441" t="s">
        <v>13</v>
      </c>
      <c r="G3441">
        <v>1</v>
      </c>
      <c r="H3441">
        <v>3</v>
      </c>
      <c r="I3441" s="13">
        <v>45733</v>
      </c>
      <c r="J3441" s="13" t="str">
        <f>TEXT(Table1[[#This Row],[Date]],"[$-en-US]mmm yyyy")</f>
        <v>Mar 2025</v>
      </c>
      <c r="K3441" s="13" t="str">
        <f>TEXT(Table1[[#This Row],[Date]],"[$-en-US]ddd")</f>
        <v>Mon</v>
      </c>
    </row>
    <row r="3442" spans="1:11" x14ac:dyDescent="0.25">
      <c r="A3442">
        <v>8</v>
      </c>
      <c r="B3442" t="s">
        <v>9</v>
      </c>
      <c r="C3442">
        <v>25.96</v>
      </c>
      <c r="D3442" t="s">
        <v>16</v>
      </c>
      <c r="E3442" t="s">
        <v>11</v>
      </c>
      <c r="F3442" t="s">
        <v>13</v>
      </c>
      <c r="G3442">
        <v>1</v>
      </c>
      <c r="H3442">
        <v>3</v>
      </c>
      <c r="I3442" s="13">
        <v>45733</v>
      </c>
      <c r="J3442" s="13" t="str">
        <f>TEXT(Table1[[#This Row],[Date]],"[$-en-US]mmm yyyy")</f>
        <v>Mar 2025</v>
      </c>
      <c r="K3442" s="13" t="str">
        <f>TEXT(Table1[[#This Row],[Date]],"[$-en-US]ddd")</f>
        <v>Mon</v>
      </c>
    </row>
    <row r="3443" spans="1:11" x14ac:dyDescent="0.25">
      <c r="A3443">
        <v>9</v>
      </c>
      <c r="B3443" t="s">
        <v>9</v>
      </c>
      <c r="C3443">
        <v>30.86</v>
      </c>
      <c r="D3443" t="s">
        <v>17</v>
      </c>
      <c r="E3443" t="s">
        <v>11</v>
      </c>
      <c r="F3443" t="s">
        <v>13</v>
      </c>
      <c r="G3443">
        <v>1</v>
      </c>
      <c r="H3443">
        <v>3</v>
      </c>
      <c r="I3443" s="13">
        <v>45733</v>
      </c>
      <c r="J3443" s="13" t="str">
        <f>TEXT(Table1[[#This Row],[Date]],"[$-en-US]mmm yyyy")</f>
        <v>Mar 2025</v>
      </c>
      <c r="K3443" s="13" t="str">
        <f>TEXT(Table1[[#This Row],[Date]],"[$-en-US]ddd")</f>
        <v>Mon</v>
      </c>
    </row>
    <row r="3444" spans="1:11" x14ac:dyDescent="0.25">
      <c r="A3444">
        <v>10</v>
      </c>
      <c r="B3444" t="s">
        <v>9</v>
      </c>
      <c r="C3444">
        <v>25.96</v>
      </c>
      <c r="D3444" t="s">
        <v>16</v>
      </c>
      <c r="E3444" t="s">
        <v>11</v>
      </c>
      <c r="F3444" t="s">
        <v>13</v>
      </c>
      <c r="G3444">
        <v>1</v>
      </c>
      <c r="H3444">
        <v>3</v>
      </c>
      <c r="I3444" s="13">
        <v>45733</v>
      </c>
      <c r="J3444" s="13" t="str">
        <f>TEXT(Table1[[#This Row],[Date]],"[$-en-US]mmm yyyy")</f>
        <v>Mar 2025</v>
      </c>
      <c r="K3444" s="13" t="str">
        <f>TEXT(Table1[[#This Row],[Date]],"[$-en-US]ddd")</f>
        <v>Mon</v>
      </c>
    </row>
    <row r="3445" spans="1:11" x14ac:dyDescent="0.25">
      <c r="A3445">
        <v>13</v>
      </c>
      <c r="B3445" t="s">
        <v>9</v>
      </c>
      <c r="C3445">
        <v>25.96</v>
      </c>
      <c r="D3445" t="s">
        <v>16</v>
      </c>
      <c r="E3445" t="s">
        <v>15</v>
      </c>
      <c r="F3445" t="s">
        <v>13</v>
      </c>
      <c r="G3445">
        <v>1</v>
      </c>
      <c r="H3445">
        <v>3</v>
      </c>
      <c r="I3445" s="13">
        <v>45733</v>
      </c>
      <c r="J3445" s="13" t="str">
        <f>TEXT(Table1[[#This Row],[Date]],"[$-en-US]mmm yyyy")</f>
        <v>Mar 2025</v>
      </c>
      <c r="K3445" s="13" t="str">
        <f>TEXT(Table1[[#This Row],[Date]],"[$-en-US]ddd")</f>
        <v>Mon</v>
      </c>
    </row>
    <row r="3446" spans="1:11" x14ac:dyDescent="0.25">
      <c r="A3446">
        <v>14</v>
      </c>
      <c r="B3446" t="s">
        <v>9</v>
      </c>
      <c r="C3446">
        <v>35.76</v>
      </c>
      <c r="D3446" t="s">
        <v>19</v>
      </c>
      <c r="E3446" t="s">
        <v>15</v>
      </c>
      <c r="F3446" t="s">
        <v>13</v>
      </c>
      <c r="G3446">
        <v>1</v>
      </c>
      <c r="H3446">
        <v>3</v>
      </c>
      <c r="I3446" s="13">
        <v>45733</v>
      </c>
      <c r="J3446" s="13" t="str">
        <f>TEXT(Table1[[#This Row],[Date]],"[$-en-US]mmm yyyy")</f>
        <v>Mar 2025</v>
      </c>
      <c r="K3446" s="13" t="str">
        <f>TEXT(Table1[[#This Row],[Date]],"[$-en-US]ddd")</f>
        <v>Mon</v>
      </c>
    </row>
    <row r="3447" spans="1:11" x14ac:dyDescent="0.25">
      <c r="A3447">
        <v>14</v>
      </c>
      <c r="B3447" t="s">
        <v>9</v>
      </c>
      <c r="C3447">
        <v>35.76</v>
      </c>
      <c r="D3447" t="s">
        <v>19</v>
      </c>
      <c r="E3447" t="s">
        <v>15</v>
      </c>
      <c r="F3447" t="s">
        <v>13</v>
      </c>
      <c r="G3447">
        <v>1</v>
      </c>
      <c r="H3447">
        <v>3</v>
      </c>
      <c r="I3447" s="13">
        <v>45733</v>
      </c>
      <c r="J3447" s="13" t="str">
        <f>TEXT(Table1[[#This Row],[Date]],"[$-en-US]mmm yyyy")</f>
        <v>Mar 2025</v>
      </c>
      <c r="K3447" s="13" t="str">
        <f>TEXT(Table1[[#This Row],[Date]],"[$-en-US]ddd")</f>
        <v>Mon</v>
      </c>
    </row>
    <row r="3448" spans="1:11" x14ac:dyDescent="0.25">
      <c r="A3448">
        <v>14</v>
      </c>
      <c r="B3448" t="s">
        <v>9</v>
      </c>
      <c r="C3448">
        <v>35.76</v>
      </c>
      <c r="D3448" t="s">
        <v>10</v>
      </c>
      <c r="E3448" t="s">
        <v>15</v>
      </c>
      <c r="F3448" t="s">
        <v>13</v>
      </c>
      <c r="G3448">
        <v>1</v>
      </c>
      <c r="H3448">
        <v>3</v>
      </c>
      <c r="I3448" s="13">
        <v>45733</v>
      </c>
      <c r="J3448" s="13" t="str">
        <f>TEXT(Table1[[#This Row],[Date]],"[$-en-US]mmm yyyy")</f>
        <v>Mar 2025</v>
      </c>
      <c r="K3448" s="13" t="str">
        <f>TEXT(Table1[[#This Row],[Date]],"[$-en-US]ddd")</f>
        <v>Mon</v>
      </c>
    </row>
    <row r="3449" spans="1:11" x14ac:dyDescent="0.25">
      <c r="A3449">
        <v>15</v>
      </c>
      <c r="B3449" t="s">
        <v>9</v>
      </c>
      <c r="C3449">
        <v>35.76</v>
      </c>
      <c r="D3449" t="s">
        <v>27</v>
      </c>
      <c r="E3449" t="s">
        <v>15</v>
      </c>
      <c r="F3449" t="s">
        <v>13</v>
      </c>
      <c r="G3449">
        <v>1</v>
      </c>
      <c r="H3449">
        <v>3</v>
      </c>
      <c r="I3449" s="13">
        <v>45733</v>
      </c>
      <c r="J3449" s="13" t="str">
        <f>TEXT(Table1[[#This Row],[Date]],"[$-en-US]mmm yyyy")</f>
        <v>Mar 2025</v>
      </c>
      <c r="K3449" s="13" t="str">
        <f>TEXT(Table1[[#This Row],[Date]],"[$-en-US]ddd")</f>
        <v>Mon</v>
      </c>
    </row>
    <row r="3450" spans="1:11" x14ac:dyDescent="0.25">
      <c r="A3450">
        <v>15</v>
      </c>
      <c r="B3450" t="s">
        <v>9</v>
      </c>
      <c r="C3450">
        <v>35.76</v>
      </c>
      <c r="D3450" t="s">
        <v>10</v>
      </c>
      <c r="E3450" t="s">
        <v>15</v>
      </c>
      <c r="F3450" t="s">
        <v>13</v>
      </c>
      <c r="G3450">
        <v>1</v>
      </c>
      <c r="H3450">
        <v>3</v>
      </c>
      <c r="I3450" s="13">
        <v>45733</v>
      </c>
      <c r="J3450" s="13" t="str">
        <f>TEXT(Table1[[#This Row],[Date]],"[$-en-US]mmm yyyy")</f>
        <v>Mar 2025</v>
      </c>
      <c r="K3450" s="13" t="str">
        <f>TEXT(Table1[[#This Row],[Date]],"[$-en-US]ddd")</f>
        <v>Mon</v>
      </c>
    </row>
    <row r="3451" spans="1:11" x14ac:dyDescent="0.25">
      <c r="A3451">
        <v>15</v>
      </c>
      <c r="B3451" t="s">
        <v>9</v>
      </c>
      <c r="C3451">
        <v>35.76</v>
      </c>
      <c r="D3451" t="s">
        <v>10</v>
      </c>
      <c r="E3451" t="s">
        <v>15</v>
      </c>
      <c r="F3451" t="s">
        <v>13</v>
      </c>
      <c r="G3451">
        <v>1</v>
      </c>
      <c r="H3451">
        <v>3</v>
      </c>
      <c r="I3451" s="13">
        <v>45733</v>
      </c>
      <c r="J3451" s="13" t="str">
        <f>TEXT(Table1[[#This Row],[Date]],"[$-en-US]mmm yyyy")</f>
        <v>Mar 2025</v>
      </c>
      <c r="K3451" s="13" t="str">
        <f>TEXT(Table1[[#This Row],[Date]],"[$-en-US]ddd")</f>
        <v>Mon</v>
      </c>
    </row>
    <row r="3452" spans="1:11" x14ac:dyDescent="0.25">
      <c r="A3452">
        <v>16</v>
      </c>
      <c r="B3452" t="s">
        <v>9</v>
      </c>
      <c r="C3452">
        <v>25.96</v>
      </c>
      <c r="D3452" t="s">
        <v>16</v>
      </c>
      <c r="E3452" t="s">
        <v>15</v>
      </c>
      <c r="F3452" t="s">
        <v>13</v>
      </c>
      <c r="G3452">
        <v>1</v>
      </c>
      <c r="H3452">
        <v>3</v>
      </c>
      <c r="I3452" s="13">
        <v>45733</v>
      </c>
      <c r="J3452" s="13" t="str">
        <f>TEXT(Table1[[#This Row],[Date]],"[$-en-US]mmm yyyy")</f>
        <v>Mar 2025</v>
      </c>
      <c r="K3452" s="13" t="str">
        <f>TEXT(Table1[[#This Row],[Date]],"[$-en-US]ddd")</f>
        <v>Mon</v>
      </c>
    </row>
    <row r="3453" spans="1:11" x14ac:dyDescent="0.25">
      <c r="A3453">
        <v>8</v>
      </c>
      <c r="B3453" t="s">
        <v>9</v>
      </c>
      <c r="C3453">
        <v>30.86</v>
      </c>
      <c r="D3453" t="s">
        <v>17</v>
      </c>
      <c r="E3453" t="s">
        <v>11</v>
      </c>
      <c r="F3453" t="s">
        <v>13</v>
      </c>
      <c r="G3453">
        <v>2</v>
      </c>
      <c r="H3453">
        <v>3</v>
      </c>
      <c r="I3453" s="13">
        <v>45734</v>
      </c>
      <c r="J3453" s="13" t="str">
        <f>TEXT(Table1[[#This Row],[Date]],"[$-en-US]mmm yyyy")</f>
        <v>Mar 2025</v>
      </c>
      <c r="K3453" s="13" t="str">
        <f>TEXT(Table1[[#This Row],[Date]],"[$-en-US]ddd")</f>
        <v>Tue</v>
      </c>
    </row>
    <row r="3454" spans="1:11" x14ac:dyDescent="0.25">
      <c r="A3454">
        <v>8</v>
      </c>
      <c r="B3454" t="s">
        <v>9</v>
      </c>
      <c r="C3454">
        <v>35.76</v>
      </c>
      <c r="D3454" t="s">
        <v>10</v>
      </c>
      <c r="E3454" t="s">
        <v>11</v>
      </c>
      <c r="F3454" t="s">
        <v>13</v>
      </c>
      <c r="G3454">
        <v>2</v>
      </c>
      <c r="H3454">
        <v>3</v>
      </c>
      <c r="I3454" s="13">
        <v>45734</v>
      </c>
      <c r="J3454" s="13" t="str">
        <f>TEXT(Table1[[#This Row],[Date]],"[$-en-US]mmm yyyy")</f>
        <v>Mar 2025</v>
      </c>
      <c r="K3454" s="13" t="str">
        <f>TEXT(Table1[[#This Row],[Date]],"[$-en-US]ddd")</f>
        <v>Tue</v>
      </c>
    </row>
    <row r="3455" spans="1:11" x14ac:dyDescent="0.25">
      <c r="A3455">
        <v>10</v>
      </c>
      <c r="B3455" t="s">
        <v>9</v>
      </c>
      <c r="C3455">
        <v>35.76</v>
      </c>
      <c r="D3455" t="s">
        <v>10</v>
      </c>
      <c r="E3455" t="s">
        <v>11</v>
      </c>
      <c r="F3455" t="s">
        <v>13</v>
      </c>
      <c r="G3455">
        <v>2</v>
      </c>
      <c r="H3455">
        <v>3</v>
      </c>
      <c r="I3455" s="13">
        <v>45734</v>
      </c>
      <c r="J3455" s="13" t="str">
        <f>TEXT(Table1[[#This Row],[Date]],"[$-en-US]mmm yyyy")</f>
        <v>Mar 2025</v>
      </c>
      <c r="K3455" s="13" t="str">
        <f>TEXT(Table1[[#This Row],[Date]],"[$-en-US]ddd")</f>
        <v>Tue</v>
      </c>
    </row>
    <row r="3456" spans="1:11" x14ac:dyDescent="0.25">
      <c r="A3456">
        <v>10</v>
      </c>
      <c r="B3456" t="s">
        <v>9</v>
      </c>
      <c r="C3456">
        <v>25.96</v>
      </c>
      <c r="D3456" t="s">
        <v>16</v>
      </c>
      <c r="E3456" t="s">
        <v>11</v>
      </c>
      <c r="F3456" t="s">
        <v>13</v>
      </c>
      <c r="G3456">
        <v>2</v>
      </c>
      <c r="H3456">
        <v>3</v>
      </c>
      <c r="I3456" s="13">
        <v>45734</v>
      </c>
      <c r="J3456" s="13" t="str">
        <f>TEXT(Table1[[#This Row],[Date]],"[$-en-US]mmm yyyy")</f>
        <v>Mar 2025</v>
      </c>
      <c r="K3456" s="13" t="str">
        <f>TEXT(Table1[[#This Row],[Date]],"[$-en-US]ddd")</f>
        <v>Tue</v>
      </c>
    </row>
    <row r="3457" spans="1:11" x14ac:dyDescent="0.25">
      <c r="A3457">
        <v>11</v>
      </c>
      <c r="B3457" t="s">
        <v>9</v>
      </c>
      <c r="C3457">
        <v>35.76</v>
      </c>
      <c r="D3457" t="s">
        <v>14</v>
      </c>
      <c r="E3457" t="s">
        <v>11</v>
      </c>
      <c r="F3457" t="s">
        <v>13</v>
      </c>
      <c r="G3457">
        <v>2</v>
      </c>
      <c r="H3457">
        <v>3</v>
      </c>
      <c r="I3457" s="13">
        <v>45734</v>
      </c>
      <c r="J3457" s="13" t="str">
        <f>TEXT(Table1[[#This Row],[Date]],"[$-en-US]mmm yyyy")</f>
        <v>Mar 2025</v>
      </c>
      <c r="K3457" s="13" t="str">
        <f>TEXT(Table1[[#This Row],[Date]],"[$-en-US]ddd")</f>
        <v>Tue</v>
      </c>
    </row>
    <row r="3458" spans="1:11" x14ac:dyDescent="0.25">
      <c r="A3458">
        <v>11</v>
      </c>
      <c r="B3458" t="s">
        <v>9</v>
      </c>
      <c r="C3458">
        <v>35.76</v>
      </c>
      <c r="D3458" t="s">
        <v>14</v>
      </c>
      <c r="E3458" t="s">
        <v>11</v>
      </c>
      <c r="F3458" t="s">
        <v>13</v>
      </c>
      <c r="G3458">
        <v>2</v>
      </c>
      <c r="H3458">
        <v>3</v>
      </c>
      <c r="I3458" s="13">
        <v>45734</v>
      </c>
      <c r="J3458" s="13" t="str">
        <f>TEXT(Table1[[#This Row],[Date]],"[$-en-US]mmm yyyy")</f>
        <v>Mar 2025</v>
      </c>
      <c r="K3458" s="13" t="str">
        <f>TEXT(Table1[[#This Row],[Date]],"[$-en-US]ddd")</f>
        <v>Tue</v>
      </c>
    </row>
    <row r="3459" spans="1:11" x14ac:dyDescent="0.25">
      <c r="A3459">
        <v>14</v>
      </c>
      <c r="B3459" t="s">
        <v>9</v>
      </c>
      <c r="C3459">
        <v>30.86</v>
      </c>
      <c r="D3459" t="s">
        <v>17</v>
      </c>
      <c r="E3459" t="s">
        <v>15</v>
      </c>
      <c r="F3459" t="s">
        <v>13</v>
      </c>
      <c r="G3459">
        <v>2</v>
      </c>
      <c r="H3459">
        <v>3</v>
      </c>
      <c r="I3459" s="13">
        <v>45734</v>
      </c>
      <c r="J3459" s="13" t="str">
        <f>TEXT(Table1[[#This Row],[Date]],"[$-en-US]mmm yyyy")</f>
        <v>Mar 2025</v>
      </c>
      <c r="K3459" s="13" t="str">
        <f>TEXT(Table1[[#This Row],[Date]],"[$-en-US]ddd")</f>
        <v>Tue</v>
      </c>
    </row>
    <row r="3460" spans="1:11" x14ac:dyDescent="0.25">
      <c r="A3460">
        <v>15</v>
      </c>
      <c r="B3460" t="s">
        <v>9</v>
      </c>
      <c r="C3460">
        <v>25.96</v>
      </c>
      <c r="D3460" t="s">
        <v>16</v>
      </c>
      <c r="E3460" t="s">
        <v>15</v>
      </c>
      <c r="F3460" t="s">
        <v>13</v>
      </c>
      <c r="G3460">
        <v>2</v>
      </c>
      <c r="H3460">
        <v>3</v>
      </c>
      <c r="I3460" s="13">
        <v>45734</v>
      </c>
      <c r="J3460" s="13" t="str">
        <f>TEXT(Table1[[#This Row],[Date]],"[$-en-US]mmm yyyy")</f>
        <v>Mar 2025</v>
      </c>
      <c r="K3460" s="13" t="str">
        <f>TEXT(Table1[[#This Row],[Date]],"[$-en-US]ddd")</f>
        <v>Tue</v>
      </c>
    </row>
    <row r="3461" spans="1:11" x14ac:dyDescent="0.25">
      <c r="A3461">
        <v>15</v>
      </c>
      <c r="B3461" t="s">
        <v>9</v>
      </c>
      <c r="C3461">
        <v>30.86</v>
      </c>
      <c r="D3461" t="s">
        <v>17</v>
      </c>
      <c r="E3461" t="s">
        <v>15</v>
      </c>
      <c r="F3461" t="s">
        <v>13</v>
      </c>
      <c r="G3461">
        <v>2</v>
      </c>
      <c r="H3461">
        <v>3</v>
      </c>
      <c r="I3461" s="13">
        <v>45734</v>
      </c>
      <c r="J3461" s="13" t="str">
        <f>TEXT(Table1[[#This Row],[Date]],"[$-en-US]mmm yyyy")</f>
        <v>Mar 2025</v>
      </c>
      <c r="K3461" s="13" t="str">
        <f>TEXT(Table1[[#This Row],[Date]],"[$-en-US]ddd")</f>
        <v>Tue</v>
      </c>
    </row>
    <row r="3462" spans="1:11" x14ac:dyDescent="0.25">
      <c r="A3462">
        <v>16</v>
      </c>
      <c r="B3462" t="s">
        <v>9</v>
      </c>
      <c r="C3462">
        <v>25.96</v>
      </c>
      <c r="D3462" t="s">
        <v>16</v>
      </c>
      <c r="E3462" t="s">
        <v>15</v>
      </c>
      <c r="F3462" t="s">
        <v>13</v>
      </c>
      <c r="G3462">
        <v>2</v>
      </c>
      <c r="H3462">
        <v>3</v>
      </c>
      <c r="I3462" s="13">
        <v>45734</v>
      </c>
      <c r="J3462" s="13" t="str">
        <f>TEXT(Table1[[#This Row],[Date]],"[$-en-US]mmm yyyy")</f>
        <v>Mar 2025</v>
      </c>
      <c r="K3462" s="13" t="str">
        <f>TEXT(Table1[[#This Row],[Date]],"[$-en-US]ddd")</f>
        <v>Tue</v>
      </c>
    </row>
    <row r="3463" spans="1:11" x14ac:dyDescent="0.25">
      <c r="A3463">
        <v>16</v>
      </c>
      <c r="B3463" t="s">
        <v>9</v>
      </c>
      <c r="C3463">
        <v>35.76</v>
      </c>
      <c r="D3463" t="s">
        <v>10</v>
      </c>
      <c r="E3463" t="s">
        <v>15</v>
      </c>
      <c r="F3463" t="s">
        <v>13</v>
      </c>
      <c r="G3463">
        <v>2</v>
      </c>
      <c r="H3463">
        <v>3</v>
      </c>
      <c r="I3463" s="13">
        <v>45734</v>
      </c>
      <c r="J3463" s="13" t="str">
        <f>TEXT(Table1[[#This Row],[Date]],"[$-en-US]mmm yyyy")</f>
        <v>Mar 2025</v>
      </c>
      <c r="K3463" s="13" t="str">
        <f>TEXT(Table1[[#This Row],[Date]],"[$-en-US]ddd")</f>
        <v>Tue</v>
      </c>
    </row>
    <row r="3464" spans="1:11" x14ac:dyDescent="0.25">
      <c r="A3464">
        <v>16</v>
      </c>
      <c r="B3464" t="s">
        <v>9</v>
      </c>
      <c r="C3464">
        <v>21.06</v>
      </c>
      <c r="D3464" t="s">
        <v>24</v>
      </c>
      <c r="E3464" t="s">
        <v>15</v>
      </c>
      <c r="F3464" t="s">
        <v>13</v>
      </c>
      <c r="G3464">
        <v>2</v>
      </c>
      <c r="H3464">
        <v>3</v>
      </c>
      <c r="I3464" s="13">
        <v>45734</v>
      </c>
      <c r="J3464" s="13" t="str">
        <f>TEXT(Table1[[#This Row],[Date]],"[$-en-US]mmm yyyy")</f>
        <v>Mar 2025</v>
      </c>
      <c r="K3464" s="13" t="str">
        <f>TEXT(Table1[[#This Row],[Date]],"[$-en-US]ddd")</f>
        <v>Tue</v>
      </c>
    </row>
    <row r="3465" spans="1:11" x14ac:dyDescent="0.25">
      <c r="A3465">
        <v>18</v>
      </c>
      <c r="B3465" t="s">
        <v>9</v>
      </c>
      <c r="C3465">
        <v>35.76</v>
      </c>
      <c r="D3465" t="s">
        <v>19</v>
      </c>
      <c r="E3465" t="s">
        <v>18</v>
      </c>
      <c r="F3465" t="s">
        <v>13</v>
      </c>
      <c r="G3465">
        <v>2</v>
      </c>
      <c r="H3465">
        <v>3</v>
      </c>
      <c r="I3465" s="13">
        <v>45734</v>
      </c>
      <c r="J3465" s="13" t="str">
        <f>TEXT(Table1[[#This Row],[Date]],"[$-en-US]mmm yyyy")</f>
        <v>Mar 2025</v>
      </c>
      <c r="K3465" s="13" t="str">
        <f>TEXT(Table1[[#This Row],[Date]],"[$-en-US]ddd")</f>
        <v>Tue</v>
      </c>
    </row>
    <row r="3466" spans="1:11" x14ac:dyDescent="0.25">
      <c r="A3466">
        <v>18</v>
      </c>
      <c r="B3466" t="s">
        <v>9</v>
      </c>
      <c r="C3466">
        <v>35.76</v>
      </c>
      <c r="D3466" t="s">
        <v>19</v>
      </c>
      <c r="E3466" t="s">
        <v>18</v>
      </c>
      <c r="F3466" t="s">
        <v>13</v>
      </c>
      <c r="G3466">
        <v>2</v>
      </c>
      <c r="H3466">
        <v>3</v>
      </c>
      <c r="I3466" s="13">
        <v>45734</v>
      </c>
      <c r="J3466" s="13" t="str">
        <f>TEXT(Table1[[#This Row],[Date]],"[$-en-US]mmm yyyy")</f>
        <v>Mar 2025</v>
      </c>
      <c r="K3466" s="13" t="str">
        <f>TEXT(Table1[[#This Row],[Date]],"[$-en-US]ddd")</f>
        <v>Tue</v>
      </c>
    </row>
    <row r="3467" spans="1:11" x14ac:dyDescent="0.25">
      <c r="A3467">
        <v>20</v>
      </c>
      <c r="B3467" t="s">
        <v>9</v>
      </c>
      <c r="C3467">
        <v>35.76</v>
      </c>
      <c r="D3467" t="s">
        <v>19</v>
      </c>
      <c r="E3467" t="s">
        <v>18</v>
      </c>
      <c r="F3467" t="s">
        <v>13</v>
      </c>
      <c r="G3467">
        <v>2</v>
      </c>
      <c r="H3467">
        <v>3</v>
      </c>
      <c r="I3467" s="13">
        <v>45734</v>
      </c>
      <c r="J3467" s="13" t="str">
        <f>TEXT(Table1[[#This Row],[Date]],"[$-en-US]mmm yyyy")</f>
        <v>Mar 2025</v>
      </c>
      <c r="K3467" s="13" t="str">
        <f>TEXT(Table1[[#This Row],[Date]],"[$-en-US]ddd")</f>
        <v>Tue</v>
      </c>
    </row>
    <row r="3468" spans="1:11" x14ac:dyDescent="0.25">
      <c r="A3468">
        <v>20</v>
      </c>
      <c r="B3468" t="s">
        <v>9</v>
      </c>
      <c r="C3468">
        <v>35.76</v>
      </c>
      <c r="D3468" t="s">
        <v>19</v>
      </c>
      <c r="E3468" t="s">
        <v>18</v>
      </c>
      <c r="F3468" t="s">
        <v>13</v>
      </c>
      <c r="G3468">
        <v>2</v>
      </c>
      <c r="H3468">
        <v>3</v>
      </c>
      <c r="I3468" s="13">
        <v>45734</v>
      </c>
      <c r="J3468" s="13" t="str">
        <f>TEXT(Table1[[#This Row],[Date]],"[$-en-US]mmm yyyy")</f>
        <v>Mar 2025</v>
      </c>
      <c r="K3468" s="13" t="str">
        <f>TEXT(Table1[[#This Row],[Date]],"[$-en-US]ddd")</f>
        <v>Tue</v>
      </c>
    </row>
    <row r="3469" spans="1:11" x14ac:dyDescent="0.25">
      <c r="A3469">
        <v>21</v>
      </c>
      <c r="B3469" t="s">
        <v>9</v>
      </c>
      <c r="C3469">
        <v>35.76</v>
      </c>
      <c r="D3469" t="s">
        <v>10</v>
      </c>
      <c r="E3469" t="s">
        <v>18</v>
      </c>
      <c r="F3469" t="s">
        <v>13</v>
      </c>
      <c r="G3469">
        <v>2</v>
      </c>
      <c r="H3469">
        <v>3</v>
      </c>
      <c r="I3469" s="13">
        <v>45734</v>
      </c>
      <c r="J3469" s="13" t="str">
        <f>TEXT(Table1[[#This Row],[Date]],"[$-en-US]mmm yyyy")</f>
        <v>Mar 2025</v>
      </c>
      <c r="K3469" s="13" t="str">
        <f>TEXT(Table1[[#This Row],[Date]],"[$-en-US]ddd")</f>
        <v>Tue</v>
      </c>
    </row>
    <row r="3470" spans="1:11" x14ac:dyDescent="0.25">
      <c r="A3470">
        <v>7</v>
      </c>
      <c r="B3470" t="s">
        <v>9</v>
      </c>
      <c r="C3470">
        <v>25.96</v>
      </c>
      <c r="D3470" t="s">
        <v>16</v>
      </c>
      <c r="E3470" t="s">
        <v>11</v>
      </c>
      <c r="F3470" t="s">
        <v>13</v>
      </c>
      <c r="G3470">
        <v>3</v>
      </c>
      <c r="H3470">
        <v>3</v>
      </c>
      <c r="I3470" s="13">
        <v>45735</v>
      </c>
      <c r="J3470" s="13" t="str">
        <f>TEXT(Table1[[#This Row],[Date]],"[$-en-US]mmm yyyy")</f>
        <v>Mar 2025</v>
      </c>
      <c r="K3470" s="13" t="str">
        <f>TEXT(Table1[[#This Row],[Date]],"[$-en-US]ddd")</f>
        <v>Wed</v>
      </c>
    </row>
    <row r="3471" spans="1:11" x14ac:dyDescent="0.25">
      <c r="A3471">
        <v>7</v>
      </c>
      <c r="B3471" t="s">
        <v>9</v>
      </c>
      <c r="C3471">
        <v>25.96</v>
      </c>
      <c r="D3471" t="s">
        <v>16</v>
      </c>
      <c r="E3471" t="s">
        <v>11</v>
      </c>
      <c r="F3471" t="s">
        <v>13</v>
      </c>
      <c r="G3471">
        <v>3</v>
      </c>
      <c r="H3471">
        <v>3</v>
      </c>
      <c r="I3471" s="13">
        <v>45735</v>
      </c>
      <c r="J3471" s="13" t="str">
        <f>TEXT(Table1[[#This Row],[Date]],"[$-en-US]mmm yyyy")</f>
        <v>Mar 2025</v>
      </c>
      <c r="K3471" s="13" t="str">
        <f>TEXT(Table1[[#This Row],[Date]],"[$-en-US]ddd")</f>
        <v>Wed</v>
      </c>
    </row>
    <row r="3472" spans="1:11" x14ac:dyDescent="0.25">
      <c r="A3472">
        <v>7</v>
      </c>
      <c r="B3472" t="s">
        <v>9</v>
      </c>
      <c r="C3472">
        <v>35.76</v>
      </c>
      <c r="D3472" t="s">
        <v>27</v>
      </c>
      <c r="E3472" t="s">
        <v>11</v>
      </c>
      <c r="F3472" t="s">
        <v>13</v>
      </c>
      <c r="G3472">
        <v>3</v>
      </c>
      <c r="H3472">
        <v>3</v>
      </c>
      <c r="I3472" s="13">
        <v>45735</v>
      </c>
      <c r="J3472" s="13" t="str">
        <f>TEXT(Table1[[#This Row],[Date]],"[$-en-US]mmm yyyy")</f>
        <v>Mar 2025</v>
      </c>
      <c r="K3472" s="13" t="str">
        <f>TEXT(Table1[[#This Row],[Date]],"[$-en-US]ddd")</f>
        <v>Wed</v>
      </c>
    </row>
    <row r="3473" spans="1:11" x14ac:dyDescent="0.25">
      <c r="A3473">
        <v>8</v>
      </c>
      <c r="B3473" t="s">
        <v>9</v>
      </c>
      <c r="C3473">
        <v>25.96</v>
      </c>
      <c r="D3473" t="s">
        <v>16</v>
      </c>
      <c r="E3473" t="s">
        <v>11</v>
      </c>
      <c r="F3473" t="s">
        <v>13</v>
      </c>
      <c r="G3473">
        <v>3</v>
      </c>
      <c r="H3473">
        <v>3</v>
      </c>
      <c r="I3473" s="13">
        <v>45735</v>
      </c>
      <c r="J3473" s="13" t="str">
        <f>TEXT(Table1[[#This Row],[Date]],"[$-en-US]mmm yyyy")</f>
        <v>Mar 2025</v>
      </c>
      <c r="K3473" s="13" t="str">
        <f>TEXT(Table1[[#This Row],[Date]],"[$-en-US]ddd")</f>
        <v>Wed</v>
      </c>
    </row>
    <row r="3474" spans="1:11" x14ac:dyDescent="0.25">
      <c r="A3474">
        <v>10</v>
      </c>
      <c r="B3474" t="s">
        <v>9</v>
      </c>
      <c r="C3474">
        <v>35.76</v>
      </c>
      <c r="D3474" t="s">
        <v>14</v>
      </c>
      <c r="E3474" t="s">
        <v>11</v>
      </c>
      <c r="F3474" t="s">
        <v>13</v>
      </c>
      <c r="G3474">
        <v>3</v>
      </c>
      <c r="H3474">
        <v>3</v>
      </c>
      <c r="I3474" s="13">
        <v>45735</v>
      </c>
      <c r="J3474" s="13" t="str">
        <f>TEXT(Table1[[#This Row],[Date]],"[$-en-US]mmm yyyy")</f>
        <v>Mar 2025</v>
      </c>
      <c r="K3474" s="13" t="str">
        <f>TEXT(Table1[[#This Row],[Date]],"[$-en-US]ddd")</f>
        <v>Wed</v>
      </c>
    </row>
    <row r="3475" spans="1:11" x14ac:dyDescent="0.25">
      <c r="A3475">
        <v>11</v>
      </c>
      <c r="B3475" t="s">
        <v>9</v>
      </c>
      <c r="C3475">
        <v>25.96</v>
      </c>
      <c r="D3475" t="s">
        <v>16</v>
      </c>
      <c r="E3475" t="s">
        <v>11</v>
      </c>
      <c r="F3475" t="s">
        <v>13</v>
      </c>
      <c r="G3475">
        <v>3</v>
      </c>
      <c r="H3475">
        <v>3</v>
      </c>
      <c r="I3475" s="13">
        <v>45735</v>
      </c>
      <c r="J3475" s="13" t="str">
        <f>TEXT(Table1[[#This Row],[Date]],"[$-en-US]mmm yyyy")</f>
        <v>Mar 2025</v>
      </c>
      <c r="K3475" s="13" t="str">
        <f>TEXT(Table1[[#This Row],[Date]],"[$-en-US]ddd")</f>
        <v>Wed</v>
      </c>
    </row>
    <row r="3476" spans="1:11" x14ac:dyDescent="0.25">
      <c r="A3476">
        <v>12</v>
      </c>
      <c r="B3476" t="s">
        <v>9</v>
      </c>
      <c r="C3476">
        <v>25.96</v>
      </c>
      <c r="D3476" t="s">
        <v>16</v>
      </c>
      <c r="E3476" t="s">
        <v>15</v>
      </c>
      <c r="F3476" t="s">
        <v>13</v>
      </c>
      <c r="G3476">
        <v>3</v>
      </c>
      <c r="H3476">
        <v>3</v>
      </c>
      <c r="I3476" s="13">
        <v>45735</v>
      </c>
      <c r="J3476" s="13" t="str">
        <f>TEXT(Table1[[#This Row],[Date]],"[$-en-US]mmm yyyy")</f>
        <v>Mar 2025</v>
      </c>
      <c r="K3476" s="13" t="str">
        <f>TEXT(Table1[[#This Row],[Date]],"[$-en-US]ddd")</f>
        <v>Wed</v>
      </c>
    </row>
    <row r="3477" spans="1:11" x14ac:dyDescent="0.25">
      <c r="A3477">
        <v>15</v>
      </c>
      <c r="B3477" t="s">
        <v>9</v>
      </c>
      <c r="C3477">
        <v>35.76</v>
      </c>
      <c r="D3477" t="s">
        <v>10</v>
      </c>
      <c r="E3477" t="s">
        <v>15</v>
      </c>
      <c r="F3477" t="s">
        <v>13</v>
      </c>
      <c r="G3477">
        <v>3</v>
      </c>
      <c r="H3477">
        <v>3</v>
      </c>
      <c r="I3477" s="13">
        <v>45735</v>
      </c>
      <c r="J3477" s="13" t="str">
        <f>TEXT(Table1[[#This Row],[Date]],"[$-en-US]mmm yyyy")</f>
        <v>Mar 2025</v>
      </c>
      <c r="K3477" s="13" t="str">
        <f>TEXT(Table1[[#This Row],[Date]],"[$-en-US]ddd")</f>
        <v>Wed</v>
      </c>
    </row>
    <row r="3478" spans="1:11" x14ac:dyDescent="0.25">
      <c r="A3478">
        <v>15</v>
      </c>
      <c r="B3478" t="s">
        <v>9</v>
      </c>
      <c r="C3478">
        <v>35.76</v>
      </c>
      <c r="D3478" t="s">
        <v>10</v>
      </c>
      <c r="E3478" t="s">
        <v>15</v>
      </c>
      <c r="F3478" t="s">
        <v>13</v>
      </c>
      <c r="G3478">
        <v>3</v>
      </c>
      <c r="H3478">
        <v>3</v>
      </c>
      <c r="I3478" s="13">
        <v>45735</v>
      </c>
      <c r="J3478" s="13" t="str">
        <f>TEXT(Table1[[#This Row],[Date]],"[$-en-US]mmm yyyy")</f>
        <v>Mar 2025</v>
      </c>
      <c r="K3478" s="13" t="str">
        <f>TEXT(Table1[[#This Row],[Date]],"[$-en-US]ddd")</f>
        <v>Wed</v>
      </c>
    </row>
    <row r="3479" spans="1:11" x14ac:dyDescent="0.25">
      <c r="A3479">
        <v>16</v>
      </c>
      <c r="B3479" t="s">
        <v>9</v>
      </c>
      <c r="C3479">
        <v>35.76</v>
      </c>
      <c r="D3479" t="s">
        <v>10</v>
      </c>
      <c r="E3479" t="s">
        <v>15</v>
      </c>
      <c r="F3479" t="s">
        <v>13</v>
      </c>
      <c r="G3479">
        <v>3</v>
      </c>
      <c r="H3479">
        <v>3</v>
      </c>
      <c r="I3479" s="13">
        <v>45735</v>
      </c>
      <c r="J3479" s="13" t="str">
        <f>TEXT(Table1[[#This Row],[Date]],"[$-en-US]mmm yyyy")</f>
        <v>Mar 2025</v>
      </c>
      <c r="K3479" s="13" t="str">
        <f>TEXT(Table1[[#This Row],[Date]],"[$-en-US]ddd")</f>
        <v>Wed</v>
      </c>
    </row>
    <row r="3480" spans="1:11" x14ac:dyDescent="0.25">
      <c r="A3480">
        <v>16</v>
      </c>
      <c r="B3480" t="s">
        <v>9</v>
      </c>
      <c r="C3480">
        <v>25.96</v>
      </c>
      <c r="D3480" t="s">
        <v>16</v>
      </c>
      <c r="E3480" t="s">
        <v>15</v>
      </c>
      <c r="F3480" t="s">
        <v>13</v>
      </c>
      <c r="G3480">
        <v>3</v>
      </c>
      <c r="H3480">
        <v>3</v>
      </c>
      <c r="I3480" s="13">
        <v>45735</v>
      </c>
      <c r="J3480" s="13" t="str">
        <f>TEXT(Table1[[#This Row],[Date]],"[$-en-US]mmm yyyy")</f>
        <v>Mar 2025</v>
      </c>
      <c r="K3480" s="13" t="str">
        <f>TEXT(Table1[[#This Row],[Date]],"[$-en-US]ddd")</f>
        <v>Wed</v>
      </c>
    </row>
    <row r="3481" spans="1:11" x14ac:dyDescent="0.25">
      <c r="A3481">
        <v>16</v>
      </c>
      <c r="B3481" t="s">
        <v>9</v>
      </c>
      <c r="C3481">
        <v>35.76</v>
      </c>
      <c r="D3481" t="s">
        <v>27</v>
      </c>
      <c r="E3481" t="s">
        <v>15</v>
      </c>
      <c r="F3481" t="s">
        <v>13</v>
      </c>
      <c r="G3481">
        <v>3</v>
      </c>
      <c r="H3481">
        <v>3</v>
      </c>
      <c r="I3481" s="13">
        <v>45735</v>
      </c>
      <c r="J3481" s="13" t="str">
        <f>TEXT(Table1[[#This Row],[Date]],"[$-en-US]mmm yyyy")</f>
        <v>Mar 2025</v>
      </c>
      <c r="K3481" s="13" t="str">
        <f>TEXT(Table1[[#This Row],[Date]],"[$-en-US]ddd")</f>
        <v>Wed</v>
      </c>
    </row>
    <row r="3482" spans="1:11" x14ac:dyDescent="0.25">
      <c r="A3482">
        <v>16</v>
      </c>
      <c r="B3482" t="s">
        <v>9</v>
      </c>
      <c r="C3482">
        <v>35.76</v>
      </c>
      <c r="D3482" t="s">
        <v>27</v>
      </c>
      <c r="E3482" t="s">
        <v>15</v>
      </c>
      <c r="F3482" t="s">
        <v>13</v>
      </c>
      <c r="G3482">
        <v>3</v>
      </c>
      <c r="H3482">
        <v>3</v>
      </c>
      <c r="I3482" s="13">
        <v>45735</v>
      </c>
      <c r="J3482" s="13" t="str">
        <f>TEXT(Table1[[#This Row],[Date]],"[$-en-US]mmm yyyy")</f>
        <v>Mar 2025</v>
      </c>
      <c r="K3482" s="13" t="str">
        <f>TEXT(Table1[[#This Row],[Date]],"[$-en-US]ddd")</f>
        <v>Wed</v>
      </c>
    </row>
    <row r="3483" spans="1:11" x14ac:dyDescent="0.25">
      <c r="A3483">
        <v>16</v>
      </c>
      <c r="B3483" t="s">
        <v>9</v>
      </c>
      <c r="C3483">
        <v>25.96</v>
      </c>
      <c r="D3483" t="s">
        <v>16</v>
      </c>
      <c r="E3483" t="s">
        <v>15</v>
      </c>
      <c r="F3483" t="s">
        <v>13</v>
      </c>
      <c r="G3483">
        <v>3</v>
      </c>
      <c r="H3483">
        <v>3</v>
      </c>
      <c r="I3483" s="13">
        <v>45735</v>
      </c>
      <c r="J3483" s="13" t="str">
        <f>TEXT(Table1[[#This Row],[Date]],"[$-en-US]mmm yyyy")</f>
        <v>Mar 2025</v>
      </c>
      <c r="K3483" s="13" t="str">
        <f>TEXT(Table1[[#This Row],[Date]],"[$-en-US]ddd")</f>
        <v>Wed</v>
      </c>
    </row>
    <row r="3484" spans="1:11" x14ac:dyDescent="0.25">
      <c r="A3484">
        <v>16</v>
      </c>
      <c r="B3484" t="s">
        <v>9</v>
      </c>
      <c r="C3484">
        <v>25.96</v>
      </c>
      <c r="D3484" t="s">
        <v>16</v>
      </c>
      <c r="E3484" t="s">
        <v>15</v>
      </c>
      <c r="F3484" t="s">
        <v>13</v>
      </c>
      <c r="G3484">
        <v>3</v>
      </c>
      <c r="H3484">
        <v>3</v>
      </c>
      <c r="I3484" s="13">
        <v>45735</v>
      </c>
      <c r="J3484" s="13" t="str">
        <f>TEXT(Table1[[#This Row],[Date]],"[$-en-US]mmm yyyy")</f>
        <v>Mar 2025</v>
      </c>
      <c r="K3484" s="13" t="str">
        <f>TEXT(Table1[[#This Row],[Date]],"[$-en-US]ddd")</f>
        <v>Wed</v>
      </c>
    </row>
    <row r="3485" spans="1:11" x14ac:dyDescent="0.25">
      <c r="A3485">
        <v>17</v>
      </c>
      <c r="B3485" t="s">
        <v>9</v>
      </c>
      <c r="C3485">
        <v>35.76</v>
      </c>
      <c r="D3485" t="s">
        <v>19</v>
      </c>
      <c r="E3485" t="s">
        <v>18</v>
      </c>
      <c r="F3485" t="s">
        <v>13</v>
      </c>
      <c r="G3485">
        <v>3</v>
      </c>
      <c r="H3485">
        <v>3</v>
      </c>
      <c r="I3485" s="13">
        <v>45735</v>
      </c>
      <c r="J3485" s="13" t="str">
        <f>TEXT(Table1[[#This Row],[Date]],"[$-en-US]mmm yyyy")</f>
        <v>Mar 2025</v>
      </c>
      <c r="K3485" s="13" t="str">
        <f>TEXT(Table1[[#This Row],[Date]],"[$-en-US]ddd")</f>
        <v>Wed</v>
      </c>
    </row>
    <row r="3486" spans="1:11" x14ac:dyDescent="0.25">
      <c r="A3486">
        <v>17</v>
      </c>
      <c r="B3486" t="s">
        <v>9</v>
      </c>
      <c r="C3486">
        <v>30.86</v>
      </c>
      <c r="D3486" t="s">
        <v>17</v>
      </c>
      <c r="E3486" t="s">
        <v>18</v>
      </c>
      <c r="F3486" t="s">
        <v>13</v>
      </c>
      <c r="G3486">
        <v>3</v>
      </c>
      <c r="H3486">
        <v>3</v>
      </c>
      <c r="I3486" s="13">
        <v>45735</v>
      </c>
      <c r="J3486" s="13" t="str">
        <f>TEXT(Table1[[#This Row],[Date]],"[$-en-US]mmm yyyy")</f>
        <v>Mar 2025</v>
      </c>
      <c r="K3486" s="13" t="str">
        <f>TEXT(Table1[[#This Row],[Date]],"[$-en-US]ddd")</f>
        <v>Wed</v>
      </c>
    </row>
    <row r="3487" spans="1:11" x14ac:dyDescent="0.25">
      <c r="A3487">
        <v>17</v>
      </c>
      <c r="B3487" t="s">
        <v>9</v>
      </c>
      <c r="C3487">
        <v>30.86</v>
      </c>
      <c r="D3487" t="s">
        <v>17</v>
      </c>
      <c r="E3487" t="s">
        <v>18</v>
      </c>
      <c r="F3487" t="s">
        <v>13</v>
      </c>
      <c r="G3487">
        <v>3</v>
      </c>
      <c r="H3487">
        <v>3</v>
      </c>
      <c r="I3487" s="13">
        <v>45735</v>
      </c>
      <c r="J3487" s="13" t="str">
        <f>TEXT(Table1[[#This Row],[Date]],"[$-en-US]mmm yyyy")</f>
        <v>Mar 2025</v>
      </c>
      <c r="K3487" s="13" t="str">
        <f>TEXT(Table1[[#This Row],[Date]],"[$-en-US]ddd")</f>
        <v>Wed</v>
      </c>
    </row>
    <row r="3488" spans="1:11" x14ac:dyDescent="0.25">
      <c r="A3488">
        <v>18</v>
      </c>
      <c r="B3488" t="s">
        <v>9</v>
      </c>
      <c r="C3488">
        <v>25.96</v>
      </c>
      <c r="D3488" t="s">
        <v>22</v>
      </c>
      <c r="E3488" t="s">
        <v>18</v>
      </c>
      <c r="F3488" t="s">
        <v>13</v>
      </c>
      <c r="G3488">
        <v>3</v>
      </c>
      <c r="H3488">
        <v>3</v>
      </c>
      <c r="I3488" s="13">
        <v>45735</v>
      </c>
      <c r="J3488" s="13" t="str">
        <f>TEXT(Table1[[#This Row],[Date]],"[$-en-US]mmm yyyy")</f>
        <v>Mar 2025</v>
      </c>
      <c r="K3488" s="13" t="str">
        <f>TEXT(Table1[[#This Row],[Date]],"[$-en-US]ddd")</f>
        <v>Wed</v>
      </c>
    </row>
    <row r="3489" spans="1:11" x14ac:dyDescent="0.25">
      <c r="A3489">
        <v>18</v>
      </c>
      <c r="B3489" t="s">
        <v>9</v>
      </c>
      <c r="C3489">
        <v>21.06</v>
      </c>
      <c r="D3489" t="s">
        <v>24</v>
      </c>
      <c r="E3489" t="s">
        <v>18</v>
      </c>
      <c r="F3489" t="s">
        <v>13</v>
      </c>
      <c r="G3489">
        <v>3</v>
      </c>
      <c r="H3489">
        <v>3</v>
      </c>
      <c r="I3489" s="13">
        <v>45735</v>
      </c>
      <c r="J3489" s="13" t="str">
        <f>TEXT(Table1[[#This Row],[Date]],"[$-en-US]mmm yyyy")</f>
        <v>Mar 2025</v>
      </c>
      <c r="K3489" s="13" t="str">
        <f>TEXT(Table1[[#This Row],[Date]],"[$-en-US]ddd")</f>
        <v>Wed</v>
      </c>
    </row>
    <row r="3490" spans="1:11" x14ac:dyDescent="0.25">
      <c r="A3490">
        <v>18</v>
      </c>
      <c r="B3490" t="s">
        <v>9</v>
      </c>
      <c r="C3490">
        <v>21.06</v>
      </c>
      <c r="D3490" t="s">
        <v>24</v>
      </c>
      <c r="E3490" t="s">
        <v>18</v>
      </c>
      <c r="F3490" t="s">
        <v>13</v>
      </c>
      <c r="G3490">
        <v>3</v>
      </c>
      <c r="H3490">
        <v>3</v>
      </c>
      <c r="I3490" s="13">
        <v>45735</v>
      </c>
      <c r="J3490" s="13" t="str">
        <f>TEXT(Table1[[#This Row],[Date]],"[$-en-US]mmm yyyy")</f>
        <v>Mar 2025</v>
      </c>
      <c r="K3490" s="13" t="str">
        <f>TEXT(Table1[[#This Row],[Date]],"[$-en-US]ddd")</f>
        <v>Wed</v>
      </c>
    </row>
    <row r="3491" spans="1:11" x14ac:dyDescent="0.25">
      <c r="A3491">
        <v>8</v>
      </c>
      <c r="B3491" t="s">
        <v>9</v>
      </c>
      <c r="C3491">
        <v>30.86</v>
      </c>
      <c r="D3491" t="s">
        <v>17</v>
      </c>
      <c r="E3491" t="s">
        <v>11</v>
      </c>
      <c r="F3491" t="s">
        <v>13</v>
      </c>
      <c r="G3491">
        <v>4</v>
      </c>
      <c r="H3491">
        <v>3</v>
      </c>
      <c r="I3491" s="13">
        <v>45736</v>
      </c>
      <c r="J3491" s="13" t="str">
        <f>TEXT(Table1[[#This Row],[Date]],"[$-en-US]mmm yyyy")</f>
        <v>Mar 2025</v>
      </c>
      <c r="K3491" s="13" t="str">
        <f>TEXT(Table1[[#This Row],[Date]],"[$-en-US]ddd")</f>
        <v>Thu</v>
      </c>
    </row>
    <row r="3492" spans="1:11" x14ac:dyDescent="0.25">
      <c r="A3492">
        <v>9</v>
      </c>
      <c r="B3492" t="s">
        <v>9</v>
      </c>
      <c r="C3492">
        <v>30.86</v>
      </c>
      <c r="D3492" t="s">
        <v>17</v>
      </c>
      <c r="E3492" t="s">
        <v>11</v>
      </c>
      <c r="F3492" t="s">
        <v>13</v>
      </c>
      <c r="G3492">
        <v>4</v>
      </c>
      <c r="H3492">
        <v>3</v>
      </c>
      <c r="I3492" s="13">
        <v>45736</v>
      </c>
      <c r="J3492" s="13" t="str">
        <f>TEXT(Table1[[#This Row],[Date]],"[$-en-US]mmm yyyy")</f>
        <v>Mar 2025</v>
      </c>
      <c r="K3492" s="13" t="str">
        <f>TEXT(Table1[[#This Row],[Date]],"[$-en-US]ddd")</f>
        <v>Thu</v>
      </c>
    </row>
    <row r="3493" spans="1:11" x14ac:dyDescent="0.25">
      <c r="A3493">
        <v>10</v>
      </c>
      <c r="B3493" t="s">
        <v>9</v>
      </c>
      <c r="C3493">
        <v>30.86</v>
      </c>
      <c r="D3493" t="s">
        <v>17</v>
      </c>
      <c r="E3493" t="s">
        <v>11</v>
      </c>
      <c r="F3493" t="s">
        <v>13</v>
      </c>
      <c r="G3493">
        <v>4</v>
      </c>
      <c r="H3493">
        <v>3</v>
      </c>
      <c r="I3493" s="13">
        <v>45736</v>
      </c>
      <c r="J3493" s="13" t="str">
        <f>TEXT(Table1[[#This Row],[Date]],"[$-en-US]mmm yyyy")</f>
        <v>Mar 2025</v>
      </c>
      <c r="K3493" s="13" t="str">
        <f>TEXT(Table1[[#This Row],[Date]],"[$-en-US]ddd")</f>
        <v>Thu</v>
      </c>
    </row>
    <row r="3494" spans="1:11" x14ac:dyDescent="0.25">
      <c r="A3494">
        <v>10</v>
      </c>
      <c r="B3494" t="s">
        <v>9</v>
      </c>
      <c r="C3494">
        <v>25.96</v>
      </c>
      <c r="D3494" t="s">
        <v>16</v>
      </c>
      <c r="E3494" t="s">
        <v>11</v>
      </c>
      <c r="F3494" t="s">
        <v>13</v>
      </c>
      <c r="G3494">
        <v>4</v>
      </c>
      <c r="H3494">
        <v>3</v>
      </c>
      <c r="I3494" s="13">
        <v>45736</v>
      </c>
      <c r="J3494" s="13" t="str">
        <f>TEXT(Table1[[#This Row],[Date]],"[$-en-US]mmm yyyy")</f>
        <v>Mar 2025</v>
      </c>
      <c r="K3494" s="13" t="str">
        <f>TEXT(Table1[[#This Row],[Date]],"[$-en-US]ddd")</f>
        <v>Thu</v>
      </c>
    </row>
    <row r="3495" spans="1:11" x14ac:dyDescent="0.25">
      <c r="A3495">
        <v>10</v>
      </c>
      <c r="B3495" t="s">
        <v>9</v>
      </c>
      <c r="C3495">
        <v>25.96</v>
      </c>
      <c r="D3495" t="s">
        <v>16</v>
      </c>
      <c r="E3495" t="s">
        <v>11</v>
      </c>
      <c r="F3495" t="s">
        <v>13</v>
      </c>
      <c r="G3495">
        <v>4</v>
      </c>
      <c r="H3495">
        <v>3</v>
      </c>
      <c r="I3495" s="13">
        <v>45736</v>
      </c>
      <c r="J3495" s="13" t="str">
        <f>TEXT(Table1[[#This Row],[Date]],"[$-en-US]mmm yyyy")</f>
        <v>Mar 2025</v>
      </c>
      <c r="K3495" s="13" t="str">
        <f>TEXT(Table1[[#This Row],[Date]],"[$-en-US]ddd")</f>
        <v>Thu</v>
      </c>
    </row>
    <row r="3496" spans="1:11" x14ac:dyDescent="0.25">
      <c r="A3496">
        <v>12</v>
      </c>
      <c r="B3496" t="s">
        <v>9</v>
      </c>
      <c r="C3496">
        <v>25.96</v>
      </c>
      <c r="D3496" t="s">
        <v>16</v>
      </c>
      <c r="E3496" t="s">
        <v>15</v>
      </c>
      <c r="F3496" t="s">
        <v>13</v>
      </c>
      <c r="G3496">
        <v>4</v>
      </c>
      <c r="H3496">
        <v>3</v>
      </c>
      <c r="I3496" s="13">
        <v>45736</v>
      </c>
      <c r="J3496" s="13" t="str">
        <f>TEXT(Table1[[#This Row],[Date]],"[$-en-US]mmm yyyy")</f>
        <v>Mar 2025</v>
      </c>
      <c r="K3496" s="13" t="str">
        <f>TEXT(Table1[[#This Row],[Date]],"[$-en-US]ddd")</f>
        <v>Thu</v>
      </c>
    </row>
    <row r="3497" spans="1:11" x14ac:dyDescent="0.25">
      <c r="A3497">
        <v>14</v>
      </c>
      <c r="B3497" t="s">
        <v>9</v>
      </c>
      <c r="C3497">
        <v>25.96</v>
      </c>
      <c r="D3497" t="s">
        <v>16</v>
      </c>
      <c r="E3497" t="s">
        <v>15</v>
      </c>
      <c r="F3497" t="s">
        <v>13</v>
      </c>
      <c r="G3497">
        <v>4</v>
      </c>
      <c r="H3497">
        <v>3</v>
      </c>
      <c r="I3497" s="13">
        <v>45736</v>
      </c>
      <c r="J3497" s="13" t="str">
        <f>TEXT(Table1[[#This Row],[Date]],"[$-en-US]mmm yyyy")</f>
        <v>Mar 2025</v>
      </c>
      <c r="K3497" s="13" t="str">
        <f>TEXT(Table1[[#This Row],[Date]],"[$-en-US]ddd")</f>
        <v>Thu</v>
      </c>
    </row>
    <row r="3498" spans="1:11" x14ac:dyDescent="0.25">
      <c r="A3498">
        <v>14</v>
      </c>
      <c r="B3498" t="s">
        <v>9</v>
      </c>
      <c r="C3498">
        <v>25.96</v>
      </c>
      <c r="D3498" t="s">
        <v>16</v>
      </c>
      <c r="E3498" t="s">
        <v>15</v>
      </c>
      <c r="F3498" t="s">
        <v>13</v>
      </c>
      <c r="G3498">
        <v>4</v>
      </c>
      <c r="H3498">
        <v>3</v>
      </c>
      <c r="I3498" s="13">
        <v>45736</v>
      </c>
      <c r="J3498" s="13" t="str">
        <f>TEXT(Table1[[#This Row],[Date]],"[$-en-US]mmm yyyy")</f>
        <v>Mar 2025</v>
      </c>
      <c r="K3498" s="13" t="str">
        <f>TEXT(Table1[[#This Row],[Date]],"[$-en-US]ddd")</f>
        <v>Thu</v>
      </c>
    </row>
    <row r="3499" spans="1:11" x14ac:dyDescent="0.25">
      <c r="A3499">
        <v>14</v>
      </c>
      <c r="B3499" t="s">
        <v>9</v>
      </c>
      <c r="C3499">
        <v>21.06</v>
      </c>
      <c r="D3499" t="s">
        <v>24</v>
      </c>
      <c r="E3499" t="s">
        <v>15</v>
      </c>
      <c r="F3499" t="s">
        <v>13</v>
      </c>
      <c r="G3499">
        <v>4</v>
      </c>
      <c r="H3499">
        <v>3</v>
      </c>
      <c r="I3499" s="13">
        <v>45736</v>
      </c>
      <c r="J3499" s="13" t="str">
        <f>TEXT(Table1[[#This Row],[Date]],"[$-en-US]mmm yyyy")</f>
        <v>Mar 2025</v>
      </c>
      <c r="K3499" s="13" t="str">
        <f>TEXT(Table1[[#This Row],[Date]],"[$-en-US]ddd")</f>
        <v>Thu</v>
      </c>
    </row>
    <row r="3500" spans="1:11" x14ac:dyDescent="0.25">
      <c r="A3500">
        <v>14</v>
      </c>
      <c r="B3500" t="s">
        <v>9</v>
      </c>
      <c r="C3500">
        <v>25.96</v>
      </c>
      <c r="D3500" t="s">
        <v>22</v>
      </c>
      <c r="E3500" t="s">
        <v>15</v>
      </c>
      <c r="F3500" t="s">
        <v>13</v>
      </c>
      <c r="G3500">
        <v>4</v>
      </c>
      <c r="H3500">
        <v>3</v>
      </c>
      <c r="I3500" s="13">
        <v>45736</v>
      </c>
      <c r="J3500" s="13" t="str">
        <f>TEXT(Table1[[#This Row],[Date]],"[$-en-US]mmm yyyy")</f>
        <v>Mar 2025</v>
      </c>
      <c r="K3500" s="13" t="str">
        <f>TEXT(Table1[[#This Row],[Date]],"[$-en-US]ddd")</f>
        <v>Thu</v>
      </c>
    </row>
    <row r="3501" spans="1:11" x14ac:dyDescent="0.25">
      <c r="A3501">
        <v>14</v>
      </c>
      <c r="B3501" t="s">
        <v>9</v>
      </c>
      <c r="C3501">
        <v>35.76</v>
      </c>
      <c r="D3501" t="s">
        <v>27</v>
      </c>
      <c r="E3501" t="s">
        <v>15</v>
      </c>
      <c r="F3501" t="s">
        <v>13</v>
      </c>
      <c r="G3501">
        <v>4</v>
      </c>
      <c r="H3501">
        <v>3</v>
      </c>
      <c r="I3501" s="13">
        <v>45736</v>
      </c>
      <c r="J3501" s="13" t="str">
        <f>TEXT(Table1[[#This Row],[Date]],"[$-en-US]mmm yyyy")</f>
        <v>Mar 2025</v>
      </c>
      <c r="K3501" s="13" t="str">
        <f>TEXT(Table1[[#This Row],[Date]],"[$-en-US]ddd")</f>
        <v>Thu</v>
      </c>
    </row>
    <row r="3502" spans="1:11" x14ac:dyDescent="0.25">
      <c r="A3502">
        <v>14</v>
      </c>
      <c r="B3502" t="s">
        <v>9</v>
      </c>
      <c r="C3502">
        <v>35.76</v>
      </c>
      <c r="D3502" t="s">
        <v>27</v>
      </c>
      <c r="E3502" t="s">
        <v>15</v>
      </c>
      <c r="F3502" t="s">
        <v>13</v>
      </c>
      <c r="G3502">
        <v>4</v>
      </c>
      <c r="H3502">
        <v>3</v>
      </c>
      <c r="I3502" s="13">
        <v>45736</v>
      </c>
      <c r="J3502" s="13" t="str">
        <f>TEXT(Table1[[#This Row],[Date]],"[$-en-US]mmm yyyy")</f>
        <v>Mar 2025</v>
      </c>
      <c r="K3502" s="13" t="str">
        <f>TEXT(Table1[[#This Row],[Date]],"[$-en-US]ddd")</f>
        <v>Thu</v>
      </c>
    </row>
    <row r="3503" spans="1:11" x14ac:dyDescent="0.25">
      <c r="A3503">
        <v>15</v>
      </c>
      <c r="B3503" t="s">
        <v>9</v>
      </c>
      <c r="C3503">
        <v>25.96</v>
      </c>
      <c r="D3503" t="s">
        <v>16</v>
      </c>
      <c r="E3503" t="s">
        <v>15</v>
      </c>
      <c r="F3503" t="s">
        <v>13</v>
      </c>
      <c r="G3503">
        <v>4</v>
      </c>
      <c r="H3503">
        <v>3</v>
      </c>
      <c r="I3503" s="13">
        <v>45736</v>
      </c>
      <c r="J3503" s="13" t="str">
        <f>TEXT(Table1[[#This Row],[Date]],"[$-en-US]mmm yyyy")</f>
        <v>Mar 2025</v>
      </c>
      <c r="K3503" s="13" t="str">
        <f>TEXT(Table1[[#This Row],[Date]],"[$-en-US]ddd")</f>
        <v>Thu</v>
      </c>
    </row>
    <row r="3504" spans="1:11" x14ac:dyDescent="0.25">
      <c r="A3504">
        <v>15</v>
      </c>
      <c r="B3504" t="s">
        <v>9</v>
      </c>
      <c r="C3504">
        <v>25.96</v>
      </c>
      <c r="D3504" t="s">
        <v>16</v>
      </c>
      <c r="E3504" t="s">
        <v>15</v>
      </c>
      <c r="F3504" t="s">
        <v>13</v>
      </c>
      <c r="G3504">
        <v>4</v>
      </c>
      <c r="H3504">
        <v>3</v>
      </c>
      <c r="I3504" s="13">
        <v>45736</v>
      </c>
      <c r="J3504" s="13" t="str">
        <f>TEXT(Table1[[#This Row],[Date]],"[$-en-US]mmm yyyy")</f>
        <v>Mar 2025</v>
      </c>
      <c r="K3504" s="13" t="str">
        <f>TEXT(Table1[[#This Row],[Date]],"[$-en-US]ddd")</f>
        <v>Thu</v>
      </c>
    </row>
    <row r="3505" spans="1:11" x14ac:dyDescent="0.25">
      <c r="A3505">
        <v>16</v>
      </c>
      <c r="B3505" t="s">
        <v>9</v>
      </c>
      <c r="C3505">
        <v>35.76</v>
      </c>
      <c r="D3505" t="s">
        <v>27</v>
      </c>
      <c r="E3505" t="s">
        <v>15</v>
      </c>
      <c r="F3505" t="s">
        <v>13</v>
      </c>
      <c r="G3505">
        <v>4</v>
      </c>
      <c r="H3505">
        <v>3</v>
      </c>
      <c r="I3505" s="13">
        <v>45736</v>
      </c>
      <c r="J3505" s="13" t="str">
        <f>TEXT(Table1[[#This Row],[Date]],"[$-en-US]mmm yyyy")</f>
        <v>Mar 2025</v>
      </c>
      <c r="K3505" s="13" t="str">
        <f>TEXT(Table1[[#This Row],[Date]],"[$-en-US]ddd")</f>
        <v>Thu</v>
      </c>
    </row>
    <row r="3506" spans="1:11" x14ac:dyDescent="0.25">
      <c r="A3506">
        <v>17</v>
      </c>
      <c r="B3506" t="s">
        <v>9</v>
      </c>
      <c r="C3506">
        <v>25.96</v>
      </c>
      <c r="D3506" t="s">
        <v>16</v>
      </c>
      <c r="E3506" t="s">
        <v>18</v>
      </c>
      <c r="F3506" t="s">
        <v>13</v>
      </c>
      <c r="G3506">
        <v>4</v>
      </c>
      <c r="H3506">
        <v>3</v>
      </c>
      <c r="I3506" s="13">
        <v>45736</v>
      </c>
      <c r="J3506" s="13" t="str">
        <f>TEXT(Table1[[#This Row],[Date]],"[$-en-US]mmm yyyy")</f>
        <v>Mar 2025</v>
      </c>
      <c r="K3506" s="13" t="str">
        <f>TEXT(Table1[[#This Row],[Date]],"[$-en-US]ddd")</f>
        <v>Thu</v>
      </c>
    </row>
    <row r="3507" spans="1:11" x14ac:dyDescent="0.25">
      <c r="A3507">
        <v>18</v>
      </c>
      <c r="B3507" t="s">
        <v>9</v>
      </c>
      <c r="C3507">
        <v>35.76</v>
      </c>
      <c r="D3507" t="s">
        <v>14</v>
      </c>
      <c r="E3507" t="s">
        <v>18</v>
      </c>
      <c r="F3507" t="s">
        <v>13</v>
      </c>
      <c r="G3507">
        <v>4</v>
      </c>
      <c r="H3507">
        <v>3</v>
      </c>
      <c r="I3507" s="13">
        <v>45736</v>
      </c>
      <c r="J3507" s="13" t="str">
        <f>TEXT(Table1[[#This Row],[Date]],"[$-en-US]mmm yyyy")</f>
        <v>Mar 2025</v>
      </c>
      <c r="K3507" s="13" t="str">
        <f>TEXT(Table1[[#This Row],[Date]],"[$-en-US]ddd")</f>
        <v>Thu</v>
      </c>
    </row>
    <row r="3508" spans="1:11" x14ac:dyDescent="0.25">
      <c r="A3508">
        <v>19</v>
      </c>
      <c r="B3508" t="s">
        <v>9</v>
      </c>
      <c r="C3508">
        <v>35.76</v>
      </c>
      <c r="D3508" t="s">
        <v>19</v>
      </c>
      <c r="E3508" t="s">
        <v>18</v>
      </c>
      <c r="F3508" t="s">
        <v>13</v>
      </c>
      <c r="G3508">
        <v>4</v>
      </c>
      <c r="H3508">
        <v>3</v>
      </c>
      <c r="I3508" s="13">
        <v>45736</v>
      </c>
      <c r="J3508" s="13" t="str">
        <f>TEXT(Table1[[#This Row],[Date]],"[$-en-US]mmm yyyy")</f>
        <v>Mar 2025</v>
      </c>
      <c r="K3508" s="13" t="str">
        <f>TEXT(Table1[[#This Row],[Date]],"[$-en-US]ddd")</f>
        <v>Thu</v>
      </c>
    </row>
    <row r="3509" spans="1:11" x14ac:dyDescent="0.25">
      <c r="A3509">
        <v>19</v>
      </c>
      <c r="B3509" t="s">
        <v>9</v>
      </c>
      <c r="C3509">
        <v>35.76</v>
      </c>
      <c r="D3509" t="s">
        <v>27</v>
      </c>
      <c r="E3509" t="s">
        <v>18</v>
      </c>
      <c r="F3509" t="s">
        <v>13</v>
      </c>
      <c r="G3509">
        <v>4</v>
      </c>
      <c r="H3509">
        <v>3</v>
      </c>
      <c r="I3509" s="13">
        <v>45736</v>
      </c>
      <c r="J3509" s="13" t="str">
        <f>TEXT(Table1[[#This Row],[Date]],"[$-en-US]mmm yyyy")</f>
        <v>Mar 2025</v>
      </c>
      <c r="K3509" s="13" t="str">
        <f>TEXT(Table1[[#This Row],[Date]],"[$-en-US]ddd")</f>
        <v>Thu</v>
      </c>
    </row>
    <row r="3510" spans="1:11" x14ac:dyDescent="0.25">
      <c r="A3510">
        <v>21</v>
      </c>
      <c r="B3510" t="s">
        <v>9</v>
      </c>
      <c r="C3510">
        <v>35.76</v>
      </c>
      <c r="D3510" t="s">
        <v>10</v>
      </c>
      <c r="E3510" t="s">
        <v>18</v>
      </c>
      <c r="F3510" t="s">
        <v>13</v>
      </c>
      <c r="G3510">
        <v>4</v>
      </c>
      <c r="H3510">
        <v>3</v>
      </c>
      <c r="I3510" s="13">
        <v>45736</v>
      </c>
      <c r="J3510" s="13" t="str">
        <f>TEXT(Table1[[#This Row],[Date]],"[$-en-US]mmm yyyy")</f>
        <v>Mar 2025</v>
      </c>
      <c r="K3510" s="13" t="str">
        <f>TEXT(Table1[[#This Row],[Date]],"[$-en-US]ddd")</f>
        <v>Thu</v>
      </c>
    </row>
    <row r="3511" spans="1:11" x14ac:dyDescent="0.25">
      <c r="A3511">
        <v>7</v>
      </c>
      <c r="B3511" t="s">
        <v>9</v>
      </c>
      <c r="C3511">
        <v>30.86</v>
      </c>
      <c r="D3511" t="s">
        <v>17</v>
      </c>
      <c r="E3511" t="s">
        <v>11</v>
      </c>
      <c r="F3511" t="s">
        <v>13</v>
      </c>
      <c r="G3511">
        <v>5</v>
      </c>
      <c r="H3511">
        <v>3</v>
      </c>
      <c r="I3511" s="13">
        <v>45737</v>
      </c>
      <c r="J3511" s="13" t="str">
        <f>TEXT(Table1[[#This Row],[Date]],"[$-en-US]mmm yyyy")</f>
        <v>Mar 2025</v>
      </c>
      <c r="K3511" s="13" t="str">
        <f>TEXT(Table1[[#This Row],[Date]],"[$-en-US]ddd")</f>
        <v>Fri</v>
      </c>
    </row>
    <row r="3512" spans="1:11" x14ac:dyDescent="0.25">
      <c r="A3512">
        <v>7</v>
      </c>
      <c r="B3512" t="s">
        <v>9</v>
      </c>
      <c r="C3512">
        <v>30.86</v>
      </c>
      <c r="D3512" t="s">
        <v>17</v>
      </c>
      <c r="E3512" t="s">
        <v>11</v>
      </c>
      <c r="F3512" t="s">
        <v>13</v>
      </c>
      <c r="G3512">
        <v>5</v>
      </c>
      <c r="H3512">
        <v>3</v>
      </c>
      <c r="I3512" s="13">
        <v>45737</v>
      </c>
      <c r="J3512" s="13" t="str">
        <f>TEXT(Table1[[#This Row],[Date]],"[$-en-US]mmm yyyy")</f>
        <v>Mar 2025</v>
      </c>
      <c r="K3512" s="13" t="str">
        <f>TEXT(Table1[[#This Row],[Date]],"[$-en-US]ddd")</f>
        <v>Fri</v>
      </c>
    </row>
    <row r="3513" spans="1:11" x14ac:dyDescent="0.25">
      <c r="A3513">
        <v>8</v>
      </c>
      <c r="B3513" t="s">
        <v>9</v>
      </c>
      <c r="C3513">
        <v>25.96</v>
      </c>
      <c r="D3513" t="s">
        <v>16</v>
      </c>
      <c r="E3513" t="s">
        <v>11</v>
      </c>
      <c r="F3513" t="s">
        <v>13</v>
      </c>
      <c r="G3513">
        <v>5</v>
      </c>
      <c r="H3513">
        <v>3</v>
      </c>
      <c r="I3513" s="13">
        <v>45737</v>
      </c>
      <c r="J3513" s="13" t="str">
        <f>TEXT(Table1[[#This Row],[Date]],"[$-en-US]mmm yyyy")</f>
        <v>Mar 2025</v>
      </c>
      <c r="K3513" s="13" t="str">
        <f>TEXT(Table1[[#This Row],[Date]],"[$-en-US]ddd")</f>
        <v>Fri</v>
      </c>
    </row>
    <row r="3514" spans="1:11" x14ac:dyDescent="0.25">
      <c r="A3514">
        <v>8</v>
      </c>
      <c r="B3514" t="s">
        <v>9</v>
      </c>
      <c r="C3514">
        <v>25.96</v>
      </c>
      <c r="D3514" t="s">
        <v>16</v>
      </c>
      <c r="E3514" t="s">
        <v>11</v>
      </c>
      <c r="F3514" t="s">
        <v>13</v>
      </c>
      <c r="G3514">
        <v>5</v>
      </c>
      <c r="H3514">
        <v>3</v>
      </c>
      <c r="I3514" s="13">
        <v>45737</v>
      </c>
      <c r="J3514" s="13" t="str">
        <f>TEXT(Table1[[#This Row],[Date]],"[$-en-US]mmm yyyy")</f>
        <v>Mar 2025</v>
      </c>
      <c r="K3514" s="13" t="str">
        <f>TEXT(Table1[[#This Row],[Date]],"[$-en-US]ddd")</f>
        <v>Fri</v>
      </c>
    </row>
    <row r="3515" spans="1:11" x14ac:dyDescent="0.25">
      <c r="A3515">
        <v>8</v>
      </c>
      <c r="B3515" t="s">
        <v>9</v>
      </c>
      <c r="C3515">
        <v>25.96</v>
      </c>
      <c r="D3515" t="s">
        <v>16</v>
      </c>
      <c r="E3515" t="s">
        <v>11</v>
      </c>
      <c r="F3515" t="s">
        <v>13</v>
      </c>
      <c r="G3515">
        <v>5</v>
      </c>
      <c r="H3515">
        <v>3</v>
      </c>
      <c r="I3515" s="13">
        <v>45737</v>
      </c>
      <c r="J3515" s="13" t="str">
        <f>TEXT(Table1[[#This Row],[Date]],"[$-en-US]mmm yyyy")</f>
        <v>Mar 2025</v>
      </c>
      <c r="K3515" s="13" t="str">
        <f>TEXT(Table1[[#This Row],[Date]],"[$-en-US]ddd")</f>
        <v>Fri</v>
      </c>
    </row>
    <row r="3516" spans="1:11" x14ac:dyDescent="0.25">
      <c r="A3516">
        <v>8</v>
      </c>
      <c r="B3516" t="s">
        <v>9</v>
      </c>
      <c r="C3516">
        <v>35.76</v>
      </c>
      <c r="D3516" t="s">
        <v>27</v>
      </c>
      <c r="E3516" t="s">
        <v>11</v>
      </c>
      <c r="F3516" t="s">
        <v>13</v>
      </c>
      <c r="G3516">
        <v>5</v>
      </c>
      <c r="H3516">
        <v>3</v>
      </c>
      <c r="I3516" s="13">
        <v>45737</v>
      </c>
      <c r="J3516" s="13" t="str">
        <f>TEXT(Table1[[#This Row],[Date]],"[$-en-US]mmm yyyy")</f>
        <v>Mar 2025</v>
      </c>
      <c r="K3516" s="13" t="str">
        <f>TEXT(Table1[[#This Row],[Date]],"[$-en-US]ddd")</f>
        <v>Fri</v>
      </c>
    </row>
    <row r="3517" spans="1:11" x14ac:dyDescent="0.25">
      <c r="A3517">
        <v>11</v>
      </c>
      <c r="B3517" t="s">
        <v>9</v>
      </c>
      <c r="C3517">
        <v>25.96</v>
      </c>
      <c r="D3517" t="s">
        <v>16</v>
      </c>
      <c r="E3517" t="s">
        <v>11</v>
      </c>
      <c r="F3517" t="s">
        <v>13</v>
      </c>
      <c r="G3517">
        <v>5</v>
      </c>
      <c r="H3517">
        <v>3</v>
      </c>
      <c r="I3517" s="13">
        <v>45737</v>
      </c>
      <c r="J3517" s="13" t="str">
        <f>TEXT(Table1[[#This Row],[Date]],"[$-en-US]mmm yyyy")</f>
        <v>Mar 2025</v>
      </c>
      <c r="K3517" s="13" t="str">
        <f>TEXT(Table1[[#This Row],[Date]],"[$-en-US]ddd")</f>
        <v>Fri</v>
      </c>
    </row>
    <row r="3518" spans="1:11" x14ac:dyDescent="0.25">
      <c r="A3518">
        <v>11</v>
      </c>
      <c r="B3518" t="s">
        <v>9</v>
      </c>
      <c r="C3518">
        <v>35.76</v>
      </c>
      <c r="D3518" t="s">
        <v>10</v>
      </c>
      <c r="E3518" t="s">
        <v>11</v>
      </c>
      <c r="F3518" t="s">
        <v>13</v>
      </c>
      <c r="G3518">
        <v>5</v>
      </c>
      <c r="H3518">
        <v>3</v>
      </c>
      <c r="I3518" s="13">
        <v>45737</v>
      </c>
      <c r="J3518" s="13" t="str">
        <f>TEXT(Table1[[#This Row],[Date]],"[$-en-US]mmm yyyy")</f>
        <v>Mar 2025</v>
      </c>
      <c r="K3518" s="13" t="str">
        <f>TEXT(Table1[[#This Row],[Date]],"[$-en-US]ddd")</f>
        <v>Fri</v>
      </c>
    </row>
    <row r="3519" spans="1:11" x14ac:dyDescent="0.25">
      <c r="A3519">
        <v>13</v>
      </c>
      <c r="B3519" t="s">
        <v>9</v>
      </c>
      <c r="C3519">
        <v>25.96</v>
      </c>
      <c r="D3519" t="s">
        <v>16</v>
      </c>
      <c r="E3519" t="s">
        <v>15</v>
      </c>
      <c r="F3519" t="s">
        <v>13</v>
      </c>
      <c r="G3519">
        <v>5</v>
      </c>
      <c r="H3519">
        <v>3</v>
      </c>
      <c r="I3519" s="13">
        <v>45737</v>
      </c>
      <c r="J3519" s="13" t="str">
        <f>TEXT(Table1[[#This Row],[Date]],"[$-en-US]mmm yyyy")</f>
        <v>Mar 2025</v>
      </c>
      <c r="K3519" s="13" t="str">
        <f>TEXT(Table1[[#This Row],[Date]],"[$-en-US]ddd")</f>
        <v>Fri</v>
      </c>
    </row>
    <row r="3520" spans="1:11" x14ac:dyDescent="0.25">
      <c r="A3520">
        <v>13</v>
      </c>
      <c r="B3520" t="s">
        <v>9</v>
      </c>
      <c r="C3520">
        <v>35.76</v>
      </c>
      <c r="D3520" t="s">
        <v>10</v>
      </c>
      <c r="E3520" t="s">
        <v>15</v>
      </c>
      <c r="F3520" t="s">
        <v>13</v>
      </c>
      <c r="G3520">
        <v>5</v>
      </c>
      <c r="H3520">
        <v>3</v>
      </c>
      <c r="I3520" s="13">
        <v>45737</v>
      </c>
      <c r="J3520" s="13" t="str">
        <f>TEXT(Table1[[#This Row],[Date]],"[$-en-US]mmm yyyy")</f>
        <v>Mar 2025</v>
      </c>
      <c r="K3520" s="13" t="str">
        <f>TEXT(Table1[[#This Row],[Date]],"[$-en-US]ddd")</f>
        <v>Fri</v>
      </c>
    </row>
    <row r="3521" spans="1:11" x14ac:dyDescent="0.25">
      <c r="A3521">
        <v>14</v>
      </c>
      <c r="B3521" t="s">
        <v>9</v>
      </c>
      <c r="C3521">
        <v>35.76</v>
      </c>
      <c r="D3521" t="s">
        <v>27</v>
      </c>
      <c r="E3521" t="s">
        <v>15</v>
      </c>
      <c r="F3521" t="s">
        <v>13</v>
      </c>
      <c r="G3521">
        <v>5</v>
      </c>
      <c r="H3521">
        <v>3</v>
      </c>
      <c r="I3521" s="13">
        <v>45737</v>
      </c>
      <c r="J3521" s="13" t="str">
        <f>TEXT(Table1[[#This Row],[Date]],"[$-en-US]mmm yyyy")</f>
        <v>Mar 2025</v>
      </c>
      <c r="K3521" s="13" t="str">
        <f>TEXT(Table1[[#This Row],[Date]],"[$-en-US]ddd")</f>
        <v>Fri</v>
      </c>
    </row>
    <row r="3522" spans="1:11" x14ac:dyDescent="0.25">
      <c r="A3522">
        <v>15</v>
      </c>
      <c r="B3522" t="s">
        <v>9</v>
      </c>
      <c r="C3522">
        <v>35.76</v>
      </c>
      <c r="D3522" t="s">
        <v>27</v>
      </c>
      <c r="E3522" t="s">
        <v>15</v>
      </c>
      <c r="F3522" t="s">
        <v>13</v>
      </c>
      <c r="G3522">
        <v>5</v>
      </c>
      <c r="H3522">
        <v>3</v>
      </c>
      <c r="I3522" s="13">
        <v>45737</v>
      </c>
      <c r="J3522" s="13" t="str">
        <f>TEXT(Table1[[#This Row],[Date]],"[$-en-US]mmm yyyy")</f>
        <v>Mar 2025</v>
      </c>
      <c r="K3522" s="13" t="str">
        <f>TEXT(Table1[[#This Row],[Date]],"[$-en-US]ddd")</f>
        <v>Fri</v>
      </c>
    </row>
    <row r="3523" spans="1:11" x14ac:dyDescent="0.25">
      <c r="A3523">
        <v>15</v>
      </c>
      <c r="B3523" t="s">
        <v>9</v>
      </c>
      <c r="C3523">
        <v>25.96</v>
      </c>
      <c r="D3523" t="s">
        <v>16</v>
      </c>
      <c r="E3523" t="s">
        <v>15</v>
      </c>
      <c r="F3523" t="s">
        <v>13</v>
      </c>
      <c r="G3523">
        <v>5</v>
      </c>
      <c r="H3523">
        <v>3</v>
      </c>
      <c r="I3523" s="13">
        <v>45737</v>
      </c>
      <c r="J3523" s="13" t="str">
        <f>TEXT(Table1[[#This Row],[Date]],"[$-en-US]mmm yyyy")</f>
        <v>Mar 2025</v>
      </c>
      <c r="K3523" s="13" t="str">
        <f>TEXT(Table1[[#This Row],[Date]],"[$-en-US]ddd")</f>
        <v>Fri</v>
      </c>
    </row>
    <row r="3524" spans="1:11" x14ac:dyDescent="0.25">
      <c r="A3524">
        <v>15</v>
      </c>
      <c r="B3524" t="s">
        <v>9</v>
      </c>
      <c r="C3524">
        <v>35.76</v>
      </c>
      <c r="D3524" t="s">
        <v>10</v>
      </c>
      <c r="E3524" t="s">
        <v>15</v>
      </c>
      <c r="F3524" t="s">
        <v>13</v>
      </c>
      <c r="G3524">
        <v>5</v>
      </c>
      <c r="H3524">
        <v>3</v>
      </c>
      <c r="I3524" s="13">
        <v>45737</v>
      </c>
      <c r="J3524" s="13" t="str">
        <f>TEXT(Table1[[#This Row],[Date]],"[$-en-US]mmm yyyy")</f>
        <v>Mar 2025</v>
      </c>
      <c r="K3524" s="13" t="str">
        <f>TEXT(Table1[[#This Row],[Date]],"[$-en-US]ddd")</f>
        <v>Fri</v>
      </c>
    </row>
    <row r="3525" spans="1:11" x14ac:dyDescent="0.25">
      <c r="A3525">
        <v>15</v>
      </c>
      <c r="B3525" t="s">
        <v>9</v>
      </c>
      <c r="C3525">
        <v>35.76</v>
      </c>
      <c r="D3525" t="s">
        <v>27</v>
      </c>
      <c r="E3525" t="s">
        <v>15</v>
      </c>
      <c r="F3525" t="s">
        <v>13</v>
      </c>
      <c r="G3525">
        <v>5</v>
      </c>
      <c r="H3525">
        <v>3</v>
      </c>
      <c r="I3525" s="13">
        <v>45737</v>
      </c>
      <c r="J3525" s="13" t="str">
        <f>TEXT(Table1[[#This Row],[Date]],"[$-en-US]mmm yyyy")</f>
        <v>Mar 2025</v>
      </c>
      <c r="K3525" s="13" t="str">
        <f>TEXT(Table1[[#This Row],[Date]],"[$-en-US]ddd")</f>
        <v>Fri</v>
      </c>
    </row>
    <row r="3526" spans="1:11" x14ac:dyDescent="0.25">
      <c r="A3526">
        <v>17</v>
      </c>
      <c r="B3526" t="s">
        <v>9</v>
      </c>
      <c r="C3526">
        <v>35.76</v>
      </c>
      <c r="D3526" t="s">
        <v>14</v>
      </c>
      <c r="E3526" t="s">
        <v>18</v>
      </c>
      <c r="F3526" t="s">
        <v>13</v>
      </c>
      <c r="G3526">
        <v>5</v>
      </c>
      <c r="H3526">
        <v>3</v>
      </c>
      <c r="I3526" s="13">
        <v>45737</v>
      </c>
      <c r="J3526" s="13" t="str">
        <f>TEXT(Table1[[#This Row],[Date]],"[$-en-US]mmm yyyy")</f>
        <v>Mar 2025</v>
      </c>
      <c r="K3526" s="13" t="str">
        <f>TEXT(Table1[[#This Row],[Date]],"[$-en-US]ddd")</f>
        <v>Fri</v>
      </c>
    </row>
    <row r="3527" spans="1:11" x14ac:dyDescent="0.25">
      <c r="A3527">
        <v>17</v>
      </c>
      <c r="B3527" t="s">
        <v>9</v>
      </c>
      <c r="C3527">
        <v>35.76</v>
      </c>
      <c r="D3527" t="s">
        <v>10</v>
      </c>
      <c r="E3527" t="s">
        <v>18</v>
      </c>
      <c r="F3527" t="s">
        <v>13</v>
      </c>
      <c r="G3527">
        <v>5</v>
      </c>
      <c r="H3527">
        <v>3</v>
      </c>
      <c r="I3527" s="13">
        <v>45737</v>
      </c>
      <c r="J3527" s="13" t="str">
        <f>TEXT(Table1[[#This Row],[Date]],"[$-en-US]mmm yyyy")</f>
        <v>Mar 2025</v>
      </c>
      <c r="K3527" s="13" t="str">
        <f>TEXT(Table1[[#This Row],[Date]],"[$-en-US]ddd")</f>
        <v>Fri</v>
      </c>
    </row>
    <row r="3528" spans="1:11" x14ac:dyDescent="0.25">
      <c r="A3528">
        <v>17</v>
      </c>
      <c r="B3528" t="s">
        <v>9</v>
      </c>
      <c r="C3528">
        <v>35.76</v>
      </c>
      <c r="D3528" t="s">
        <v>10</v>
      </c>
      <c r="E3528" t="s">
        <v>18</v>
      </c>
      <c r="F3528" t="s">
        <v>13</v>
      </c>
      <c r="G3528">
        <v>5</v>
      </c>
      <c r="H3528">
        <v>3</v>
      </c>
      <c r="I3528" s="13">
        <v>45737</v>
      </c>
      <c r="J3528" s="13" t="str">
        <f>TEXT(Table1[[#This Row],[Date]],"[$-en-US]mmm yyyy")</f>
        <v>Mar 2025</v>
      </c>
      <c r="K3528" s="13" t="str">
        <f>TEXT(Table1[[#This Row],[Date]],"[$-en-US]ddd")</f>
        <v>Fri</v>
      </c>
    </row>
    <row r="3529" spans="1:11" x14ac:dyDescent="0.25">
      <c r="A3529">
        <v>18</v>
      </c>
      <c r="B3529" t="s">
        <v>9</v>
      </c>
      <c r="C3529">
        <v>35.76</v>
      </c>
      <c r="D3529" t="s">
        <v>10</v>
      </c>
      <c r="E3529" t="s">
        <v>18</v>
      </c>
      <c r="F3529" t="s">
        <v>13</v>
      </c>
      <c r="G3529">
        <v>5</v>
      </c>
      <c r="H3529">
        <v>3</v>
      </c>
      <c r="I3529" s="13">
        <v>45737</v>
      </c>
      <c r="J3529" s="13" t="str">
        <f>TEXT(Table1[[#This Row],[Date]],"[$-en-US]mmm yyyy")</f>
        <v>Mar 2025</v>
      </c>
      <c r="K3529" s="13" t="str">
        <f>TEXT(Table1[[#This Row],[Date]],"[$-en-US]ddd")</f>
        <v>Fri</v>
      </c>
    </row>
    <row r="3530" spans="1:11" x14ac:dyDescent="0.25">
      <c r="A3530">
        <v>18</v>
      </c>
      <c r="B3530" t="s">
        <v>9</v>
      </c>
      <c r="C3530">
        <v>25.96</v>
      </c>
      <c r="D3530" t="s">
        <v>16</v>
      </c>
      <c r="E3530" t="s">
        <v>18</v>
      </c>
      <c r="F3530" t="s">
        <v>13</v>
      </c>
      <c r="G3530">
        <v>5</v>
      </c>
      <c r="H3530">
        <v>3</v>
      </c>
      <c r="I3530" s="13">
        <v>45737</v>
      </c>
      <c r="J3530" s="13" t="str">
        <f>TEXT(Table1[[#This Row],[Date]],"[$-en-US]mmm yyyy")</f>
        <v>Mar 2025</v>
      </c>
      <c r="K3530" s="13" t="str">
        <f>TEXT(Table1[[#This Row],[Date]],"[$-en-US]ddd")</f>
        <v>Fri</v>
      </c>
    </row>
    <row r="3531" spans="1:11" x14ac:dyDescent="0.25">
      <c r="A3531">
        <v>9</v>
      </c>
      <c r="B3531" t="s">
        <v>9</v>
      </c>
      <c r="C3531">
        <v>30.86</v>
      </c>
      <c r="D3531" t="s">
        <v>17</v>
      </c>
      <c r="E3531" t="s">
        <v>11</v>
      </c>
      <c r="F3531" t="s">
        <v>13</v>
      </c>
      <c r="G3531">
        <v>6</v>
      </c>
      <c r="H3531">
        <v>3</v>
      </c>
      <c r="I3531" s="13">
        <v>45738</v>
      </c>
      <c r="J3531" s="13" t="str">
        <f>TEXT(Table1[[#This Row],[Date]],"[$-en-US]mmm yyyy")</f>
        <v>Mar 2025</v>
      </c>
      <c r="K3531" s="13" t="str">
        <f>TEXT(Table1[[#This Row],[Date]],"[$-en-US]ddd")</f>
        <v>Sat</v>
      </c>
    </row>
    <row r="3532" spans="1:11" x14ac:dyDescent="0.25">
      <c r="A3532">
        <v>10</v>
      </c>
      <c r="B3532" t="s">
        <v>9</v>
      </c>
      <c r="C3532">
        <v>30.86</v>
      </c>
      <c r="D3532" t="s">
        <v>17</v>
      </c>
      <c r="E3532" t="s">
        <v>11</v>
      </c>
      <c r="F3532" t="s">
        <v>13</v>
      </c>
      <c r="G3532">
        <v>6</v>
      </c>
      <c r="H3532">
        <v>3</v>
      </c>
      <c r="I3532" s="13">
        <v>45738</v>
      </c>
      <c r="J3532" s="13" t="str">
        <f>TEXT(Table1[[#This Row],[Date]],"[$-en-US]mmm yyyy")</f>
        <v>Mar 2025</v>
      </c>
      <c r="K3532" s="13" t="str">
        <f>TEXT(Table1[[#This Row],[Date]],"[$-en-US]ddd")</f>
        <v>Sat</v>
      </c>
    </row>
    <row r="3533" spans="1:11" x14ac:dyDescent="0.25">
      <c r="A3533">
        <v>11</v>
      </c>
      <c r="B3533" t="s">
        <v>9</v>
      </c>
      <c r="C3533">
        <v>35.76</v>
      </c>
      <c r="D3533" t="s">
        <v>14</v>
      </c>
      <c r="E3533" t="s">
        <v>11</v>
      </c>
      <c r="F3533" t="s">
        <v>13</v>
      </c>
      <c r="G3533">
        <v>6</v>
      </c>
      <c r="H3533">
        <v>3</v>
      </c>
      <c r="I3533" s="13">
        <v>45738</v>
      </c>
      <c r="J3533" s="13" t="str">
        <f>TEXT(Table1[[#This Row],[Date]],"[$-en-US]mmm yyyy")</f>
        <v>Mar 2025</v>
      </c>
      <c r="K3533" s="13" t="str">
        <f>TEXT(Table1[[#This Row],[Date]],"[$-en-US]ddd")</f>
        <v>Sat</v>
      </c>
    </row>
    <row r="3534" spans="1:11" x14ac:dyDescent="0.25">
      <c r="A3534">
        <v>11</v>
      </c>
      <c r="B3534" t="s">
        <v>9</v>
      </c>
      <c r="C3534">
        <v>35.76</v>
      </c>
      <c r="D3534" t="s">
        <v>19</v>
      </c>
      <c r="E3534" t="s">
        <v>11</v>
      </c>
      <c r="F3534" t="s">
        <v>13</v>
      </c>
      <c r="G3534">
        <v>6</v>
      </c>
      <c r="H3534">
        <v>3</v>
      </c>
      <c r="I3534" s="13">
        <v>45738</v>
      </c>
      <c r="J3534" s="13" t="str">
        <f>TEXT(Table1[[#This Row],[Date]],"[$-en-US]mmm yyyy")</f>
        <v>Mar 2025</v>
      </c>
      <c r="K3534" s="13" t="str">
        <f>TEXT(Table1[[#This Row],[Date]],"[$-en-US]ddd")</f>
        <v>Sat</v>
      </c>
    </row>
    <row r="3535" spans="1:11" x14ac:dyDescent="0.25">
      <c r="A3535">
        <v>12</v>
      </c>
      <c r="B3535" t="s">
        <v>9</v>
      </c>
      <c r="C3535">
        <v>30.86</v>
      </c>
      <c r="D3535" t="s">
        <v>17</v>
      </c>
      <c r="E3535" t="s">
        <v>15</v>
      </c>
      <c r="F3535" t="s">
        <v>13</v>
      </c>
      <c r="G3535">
        <v>6</v>
      </c>
      <c r="H3535">
        <v>3</v>
      </c>
      <c r="I3535" s="13">
        <v>45738</v>
      </c>
      <c r="J3535" s="13" t="str">
        <f>TEXT(Table1[[#This Row],[Date]],"[$-en-US]mmm yyyy")</f>
        <v>Mar 2025</v>
      </c>
      <c r="K3535" s="13" t="str">
        <f>TEXT(Table1[[#This Row],[Date]],"[$-en-US]ddd")</f>
        <v>Sat</v>
      </c>
    </row>
    <row r="3536" spans="1:11" x14ac:dyDescent="0.25">
      <c r="A3536">
        <v>12</v>
      </c>
      <c r="B3536" t="s">
        <v>9</v>
      </c>
      <c r="C3536">
        <v>25.96</v>
      </c>
      <c r="D3536" t="s">
        <v>16</v>
      </c>
      <c r="E3536" t="s">
        <v>15</v>
      </c>
      <c r="F3536" t="s">
        <v>13</v>
      </c>
      <c r="G3536">
        <v>6</v>
      </c>
      <c r="H3536">
        <v>3</v>
      </c>
      <c r="I3536" s="13">
        <v>45738</v>
      </c>
      <c r="J3536" s="13" t="str">
        <f>TEXT(Table1[[#This Row],[Date]],"[$-en-US]mmm yyyy")</f>
        <v>Mar 2025</v>
      </c>
      <c r="K3536" s="13" t="str">
        <f>TEXT(Table1[[#This Row],[Date]],"[$-en-US]ddd")</f>
        <v>Sat</v>
      </c>
    </row>
    <row r="3537" spans="1:11" x14ac:dyDescent="0.25">
      <c r="A3537">
        <v>13</v>
      </c>
      <c r="B3537" t="s">
        <v>9</v>
      </c>
      <c r="C3537">
        <v>25.96</v>
      </c>
      <c r="D3537" t="s">
        <v>16</v>
      </c>
      <c r="E3537" t="s">
        <v>15</v>
      </c>
      <c r="F3537" t="s">
        <v>13</v>
      </c>
      <c r="G3537">
        <v>6</v>
      </c>
      <c r="H3537">
        <v>3</v>
      </c>
      <c r="I3537" s="13">
        <v>45738</v>
      </c>
      <c r="J3537" s="13" t="str">
        <f>TEXT(Table1[[#This Row],[Date]],"[$-en-US]mmm yyyy")</f>
        <v>Mar 2025</v>
      </c>
      <c r="K3537" s="13" t="str">
        <f>TEXT(Table1[[#This Row],[Date]],"[$-en-US]ddd")</f>
        <v>Sat</v>
      </c>
    </row>
    <row r="3538" spans="1:11" x14ac:dyDescent="0.25">
      <c r="A3538">
        <v>13</v>
      </c>
      <c r="B3538" t="s">
        <v>9</v>
      </c>
      <c r="C3538">
        <v>30.86</v>
      </c>
      <c r="D3538" t="s">
        <v>17</v>
      </c>
      <c r="E3538" t="s">
        <v>15</v>
      </c>
      <c r="F3538" t="s">
        <v>13</v>
      </c>
      <c r="G3538">
        <v>6</v>
      </c>
      <c r="H3538">
        <v>3</v>
      </c>
      <c r="I3538" s="13">
        <v>45738</v>
      </c>
      <c r="J3538" s="13" t="str">
        <f>TEXT(Table1[[#This Row],[Date]],"[$-en-US]mmm yyyy")</f>
        <v>Mar 2025</v>
      </c>
      <c r="K3538" s="13" t="str">
        <f>TEXT(Table1[[#This Row],[Date]],"[$-en-US]ddd")</f>
        <v>Sat</v>
      </c>
    </row>
    <row r="3539" spans="1:11" x14ac:dyDescent="0.25">
      <c r="A3539">
        <v>15</v>
      </c>
      <c r="B3539" t="s">
        <v>9</v>
      </c>
      <c r="C3539">
        <v>21.06</v>
      </c>
      <c r="D3539" t="s">
        <v>24</v>
      </c>
      <c r="E3539" t="s">
        <v>15</v>
      </c>
      <c r="F3539" t="s">
        <v>13</v>
      </c>
      <c r="G3539">
        <v>6</v>
      </c>
      <c r="H3539">
        <v>3</v>
      </c>
      <c r="I3539" s="13">
        <v>45738</v>
      </c>
      <c r="J3539" s="13" t="str">
        <f>TEXT(Table1[[#This Row],[Date]],"[$-en-US]mmm yyyy")</f>
        <v>Mar 2025</v>
      </c>
      <c r="K3539" s="13" t="str">
        <f>TEXT(Table1[[#This Row],[Date]],"[$-en-US]ddd")</f>
        <v>Sat</v>
      </c>
    </row>
    <row r="3540" spans="1:11" x14ac:dyDescent="0.25">
      <c r="A3540">
        <v>16</v>
      </c>
      <c r="B3540" t="s">
        <v>9</v>
      </c>
      <c r="C3540">
        <v>35.76</v>
      </c>
      <c r="D3540" t="s">
        <v>10</v>
      </c>
      <c r="E3540" t="s">
        <v>15</v>
      </c>
      <c r="F3540" t="s">
        <v>13</v>
      </c>
      <c r="G3540">
        <v>6</v>
      </c>
      <c r="H3540">
        <v>3</v>
      </c>
      <c r="I3540" s="13">
        <v>45738</v>
      </c>
      <c r="J3540" s="13" t="str">
        <f>TEXT(Table1[[#This Row],[Date]],"[$-en-US]mmm yyyy")</f>
        <v>Mar 2025</v>
      </c>
      <c r="K3540" s="13" t="str">
        <f>TEXT(Table1[[#This Row],[Date]],"[$-en-US]ddd")</f>
        <v>Sat</v>
      </c>
    </row>
    <row r="3541" spans="1:11" x14ac:dyDescent="0.25">
      <c r="A3541">
        <v>17</v>
      </c>
      <c r="B3541" t="s">
        <v>9</v>
      </c>
      <c r="C3541">
        <v>30.86</v>
      </c>
      <c r="D3541" t="s">
        <v>17</v>
      </c>
      <c r="E3541" t="s">
        <v>18</v>
      </c>
      <c r="F3541" t="s">
        <v>13</v>
      </c>
      <c r="G3541">
        <v>6</v>
      </c>
      <c r="H3541">
        <v>3</v>
      </c>
      <c r="I3541" s="13">
        <v>45738</v>
      </c>
      <c r="J3541" s="13" t="str">
        <f>TEXT(Table1[[#This Row],[Date]],"[$-en-US]mmm yyyy")</f>
        <v>Mar 2025</v>
      </c>
      <c r="K3541" s="13" t="str">
        <f>TEXT(Table1[[#This Row],[Date]],"[$-en-US]ddd")</f>
        <v>Sat</v>
      </c>
    </row>
    <row r="3542" spans="1:11" x14ac:dyDescent="0.25">
      <c r="A3542">
        <v>19</v>
      </c>
      <c r="B3542" t="s">
        <v>9</v>
      </c>
      <c r="C3542">
        <v>30.86</v>
      </c>
      <c r="D3542" t="s">
        <v>17</v>
      </c>
      <c r="E3542" t="s">
        <v>18</v>
      </c>
      <c r="F3542" t="s">
        <v>13</v>
      </c>
      <c r="G3542">
        <v>6</v>
      </c>
      <c r="H3542">
        <v>3</v>
      </c>
      <c r="I3542" s="13">
        <v>45738</v>
      </c>
      <c r="J3542" s="13" t="str">
        <f>TEXT(Table1[[#This Row],[Date]],"[$-en-US]mmm yyyy")</f>
        <v>Mar 2025</v>
      </c>
      <c r="K3542" s="13" t="str">
        <f>TEXT(Table1[[#This Row],[Date]],"[$-en-US]ddd")</f>
        <v>Sat</v>
      </c>
    </row>
    <row r="3543" spans="1:11" x14ac:dyDescent="0.25">
      <c r="A3543">
        <v>10</v>
      </c>
      <c r="B3543" t="s">
        <v>9</v>
      </c>
      <c r="C3543">
        <v>35.76</v>
      </c>
      <c r="D3543" t="s">
        <v>10</v>
      </c>
      <c r="E3543" t="s">
        <v>11</v>
      </c>
      <c r="F3543" t="s">
        <v>13</v>
      </c>
      <c r="G3543">
        <v>7</v>
      </c>
      <c r="H3543">
        <v>3</v>
      </c>
      <c r="I3543" s="13">
        <v>45739</v>
      </c>
      <c r="J3543" s="13" t="str">
        <f>TEXT(Table1[[#This Row],[Date]],"[$-en-US]mmm yyyy")</f>
        <v>Mar 2025</v>
      </c>
      <c r="K3543" s="13" t="str">
        <f>TEXT(Table1[[#This Row],[Date]],"[$-en-US]ddd")</f>
        <v>Sun</v>
      </c>
    </row>
    <row r="3544" spans="1:11" x14ac:dyDescent="0.25">
      <c r="A3544">
        <v>10</v>
      </c>
      <c r="B3544" t="s">
        <v>9</v>
      </c>
      <c r="C3544">
        <v>35.76</v>
      </c>
      <c r="D3544" t="s">
        <v>27</v>
      </c>
      <c r="E3544" t="s">
        <v>11</v>
      </c>
      <c r="F3544" t="s">
        <v>13</v>
      </c>
      <c r="G3544">
        <v>7</v>
      </c>
      <c r="H3544">
        <v>3</v>
      </c>
      <c r="I3544" s="13">
        <v>45739</v>
      </c>
      <c r="J3544" s="13" t="str">
        <f>TEXT(Table1[[#This Row],[Date]],"[$-en-US]mmm yyyy")</f>
        <v>Mar 2025</v>
      </c>
      <c r="K3544" s="13" t="str">
        <f>TEXT(Table1[[#This Row],[Date]],"[$-en-US]ddd")</f>
        <v>Sun</v>
      </c>
    </row>
    <row r="3545" spans="1:11" x14ac:dyDescent="0.25">
      <c r="A3545">
        <v>14</v>
      </c>
      <c r="B3545" t="s">
        <v>9</v>
      </c>
      <c r="C3545">
        <v>35.76</v>
      </c>
      <c r="D3545" t="s">
        <v>19</v>
      </c>
      <c r="E3545" t="s">
        <v>15</v>
      </c>
      <c r="F3545" t="s">
        <v>13</v>
      </c>
      <c r="G3545">
        <v>7</v>
      </c>
      <c r="H3545">
        <v>3</v>
      </c>
      <c r="I3545" s="13">
        <v>45739</v>
      </c>
      <c r="J3545" s="13" t="str">
        <f>TEXT(Table1[[#This Row],[Date]],"[$-en-US]mmm yyyy")</f>
        <v>Mar 2025</v>
      </c>
      <c r="K3545" s="13" t="str">
        <f>TEXT(Table1[[#This Row],[Date]],"[$-en-US]ddd")</f>
        <v>Sun</v>
      </c>
    </row>
    <row r="3546" spans="1:11" x14ac:dyDescent="0.25">
      <c r="A3546">
        <v>14</v>
      </c>
      <c r="B3546" t="s">
        <v>9</v>
      </c>
      <c r="C3546">
        <v>35.76</v>
      </c>
      <c r="D3546" t="s">
        <v>19</v>
      </c>
      <c r="E3546" t="s">
        <v>15</v>
      </c>
      <c r="F3546" t="s">
        <v>13</v>
      </c>
      <c r="G3546">
        <v>7</v>
      </c>
      <c r="H3546">
        <v>3</v>
      </c>
      <c r="I3546" s="13">
        <v>45739</v>
      </c>
      <c r="J3546" s="13" t="str">
        <f>TEXT(Table1[[#This Row],[Date]],"[$-en-US]mmm yyyy")</f>
        <v>Mar 2025</v>
      </c>
      <c r="K3546" s="13" t="str">
        <f>TEXT(Table1[[#This Row],[Date]],"[$-en-US]ddd")</f>
        <v>Sun</v>
      </c>
    </row>
    <row r="3547" spans="1:11" x14ac:dyDescent="0.25">
      <c r="A3547">
        <v>15</v>
      </c>
      <c r="B3547" t="s">
        <v>9</v>
      </c>
      <c r="C3547">
        <v>25.96</v>
      </c>
      <c r="D3547" t="s">
        <v>16</v>
      </c>
      <c r="E3547" t="s">
        <v>15</v>
      </c>
      <c r="F3547" t="s">
        <v>13</v>
      </c>
      <c r="G3547">
        <v>7</v>
      </c>
      <c r="H3547">
        <v>3</v>
      </c>
      <c r="I3547" s="13">
        <v>45739</v>
      </c>
      <c r="J3547" s="13" t="str">
        <f>TEXT(Table1[[#This Row],[Date]],"[$-en-US]mmm yyyy")</f>
        <v>Mar 2025</v>
      </c>
      <c r="K3547" s="13" t="str">
        <f>TEXT(Table1[[#This Row],[Date]],"[$-en-US]ddd")</f>
        <v>Sun</v>
      </c>
    </row>
    <row r="3548" spans="1:11" x14ac:dyDescent="0.25">
      <c r="A3548">
        <v>18</v>
      </c>
      <c r="B3548" t="s">
        <v>9</v>
      </c>
      <c r="C3548">
        <v>35.76</v>
      </c>
      <c r="D3548" t="s">
        <v>10</v>
      </c>
      <c r="E3548" t="s">
        <v>18</v>
      </c>
      <c r="F3548" t="s">
        <v>13</v>
      </c>
      <c r="G3548">
        <v>7</v>
      </c>
      <c r="H3548">
        <v>3</v>
      </c>
      <c r="I3548" s="13">
        <v>45739</v>
      </c>
      <c r="J3548" s="13" t="str">
        <f>TEXT(Table1[[#This Row],[Date]],"[$-en-US]mmm yyyy")</f>
        <v>Mar 2025</v>
      </c>
      <c r="K3548" s="13" t="str">
        <f>TEXT(Table1[[#This Row],[Date]],"[$-en-US]ddd")</f>
        <v>Sun</v>
      </c>
    </row>
  </sheetData>
  <sheetProtection formatCells="0" formatColumns="0" formatRows="0" insertColumns="0" insertRows="0" insertHyperlinks="0" deleteColumns="0" deleteRows="0" sort="0" autoFilter="0" pivotTables="0"/>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980D-AF30-4F96-AEA0-283A63D33953}">
  <dimension ref="B3:I482"/>
  <sheetViews>
    <sheetView showGridLines="0" topLeftCell="A91" workbookViewId="0">
      <selection activeCell="B105" sqref="B105"/>
    </sheetView>
  </sheetViews>
  <sheetFormatPr defaultRowHeight="15" x14ac:dyDescent="0.25"/>
  <cols>
    <col min="1" max="1" width="9.140625" style="2"/>
    <col min="2" max="2" width="24.7109375" style="2" bestFit="1" customWidth="1"/>
    <col min="3" max="4" width="23.7109375" style="2" bestFit="1" customWidth="1"/>
    <col min="5" max="5" width="22" style="2" bestFit="1" customWidth="1"/>
    <col min="6" max="6" width="21" style="2" bestFit="1" customWidth="1"/>
    <col min="7" max="7" width="20.85546875" style="2" bestFit="1" customWidth="1"/>
    <col min="8" max="8" width="30.28515625" style="2" bestFit="1" customWidth="1"/>
    <col min="9" max="9" width="12.85546875" style="2" bestFit="1" customWidth="1"/>
    <col min="10" max="16384" width="9.140625" style="2"/>
  </cols>
  <sheetData>
    <row r="3" spans="2:9" s="3" customFormat="1" ht="35.25" customHeight="1" x14ac:dyDescent="0.25">
      <c r="B3" s="22" t="s">
        <v>3590</v>
      </c>
      <c r="C3" s="22"/>
      <c r="E3" s="4" t="s">
        <v>3589</v>
      </c>
      <c r="F3" s="5">
        <f ca="1">NOW()</f>
        <v>45967.947804513889</v>
      </c>
    </row>
    <row r="5" spans="2:9" x14ac:dyDescent="0.25">
      <c r="B5" s="2" t="s">
        <v>3591</v>
      </c>
      <c r="C5" s="2" t="s">
        <v>3592</v>
      </c>
      <c r="E5" s="10" t="s">
        <v>3591</v>
      </c>
      <c r="F5" s="10" t="s">
        <v>3592</v>
      </c>
      <c r="G5" s="10" t="s">
        <v>3593</v>
      </c>
      <c r="H5" s="10" t="s">
        <v>3596</v>
      </c>
      <c r="I5" s="10" t="s">
        <v>3599</v>
      </c>
    </row>
    <row r="6" spans="2:9" x14ac:dyDescent="0.25">
      <c r="B6" s="11">
        <v>112245.57999999814</v>
      </c>
      <c r="C6" s="23">
        <v>3547</v>
      </c>
      <c r="E6" s="12">
        <f>GETPIVOTDATA("Total Revenue",$B$5)</f>
        <v>112245.57999999814</v>
      </c>
      <c r="F6" s="9">
        <f>GETPIVOTDATA("Total Transaction",$B$5)</f>
        <v>3547</v>
      </c>
      <c r="G6" s="19">
        <f>E6/F6</f>
        <v>31.645215675217969</v>
      </c>
      <c r="H6" s="9" t="str">
        <f>B10 &amp; " (" &amp; TEXT(GETPIVOTDATA("money",$B$9,"coffee_name",B10),"0,0%") &amp; ")"</f>
        <v>Latte (23,9%)</v>
      </c>
      <c r="I6" s="9" t="str">
        <f>TEXT(TIME(B22,0,0),"hh:mm AM/PM")</f>
        <v>10:00 AM</v>
      </c>
    </row>
    <row r="9" spans="2:9" x14ac:dyDescent="0.25">
      <c r="B9" s="6" t="s">
        <v>3594</v>
      </c>
      <c r="C9" s="2" t="s">
        <v>3591</v>
      </c>
      <c r="D9" s="2" t="s">
        <v>3597</v>
      </c>
    </row>
    <row r="10" spans="2:9" x14ac:dyDescent="0.25">
      <c r="B10" s="7" t="s">
        <v>10</v>
      </c>
      <c r="C10" s="8">
        <v>0.23943303602689417</v>
      </c>
      <c r="D10" s="23">
        <v>757</v>
      </c>
    </row>
    <row r="11" spans="2:9" x14ac:dyDescent="0.25">
      <c r="B11" s="7" t="s">
        <v>17</v>
      </c>
      <c r="C11" s="8">
        <v>0.22050863829115008</v>
      </c>
      <c r="D11" s="23">
        <v>809</v>
      </c>
    </row>
    <row r="12" spans="2:9" x14ac:dyDescent="0.25">
      <c r="B12" s="7" t="s">
        <v>27</v>
      </c>
      <c r="C12" s="8">
        <v>0.15536593957641859</v>
      </c>
      <c r="D12" s="23">
        <v>486</v>
      </c>
    </row>
    <row r="13" spans="2:9" x14ac:dyDescent="0.25">
      <c r="B13" s="7" t="s">
        <v>16</v>
      </c>
      <c r="C13" s="8">
        <v>0.13051970509662739</v>
      </c>
      <c r="D13" s="23">
        <v>564</v>
      </c>
    </row>
    <row r="14" spans="2:9" x14ac:dyDescent="0.25">
      <c r="B14" s="7" t="s">
        <v>14</v>
      </c>
      <c r="C14" s="8">
        <v>8.8497560438460882E-2</v>
      </c>
      <c r="D14" s="23">
        <v>276</v>
      </c>
    </row>
    <row r="15" spans="2:9" x14ac:dyDescent="0.25">
      <c r="B15" s="7" t="s">
        <v>19</v>
      </c>
      <c r="C15" s="8">
        <v>7.59153278017725E-2</v>
      </c>
      <c r="D15" s="23">
        <v>239</v>
      </c>
    </row>
    <row r="16" spans="2:9" x14ac:dyDescent="0.25">
      <c r="B16" s="7" t="s">
        <v>22</v>
      </c>
      <c r="C16" s="8">
        <v>6.5791989314858065E-2</v>
      </c>
      <c r="D16" s="23">
        <v>287</v>
      </c>
    </row>
    <row r="17" spans="2:6" x14ac:dyDescent="0.25">
      <c r="B17" s="7" t="s">
        <v>24</v>
      </c>
      <c r="C17" s="8">
        <v>2.3967803453819804E-2</v>
      </c>
      <c r="D17" s="23">
        <v>129</v>
      </c>
    </row>
    <row r="18" spans="2:6" x14ac:dyDescent="0.25">
      <c r="B18" s="7" t="s">
        <v>3595</v>
      </c>
      <c r="C18" s="8">
        <v>1</v>
      </c>
      <c r="D18" s="23">
        <v>3547</v>
      </c>
    </row>
    <row r="21" spans="2:6" x14ac:dyDescent="0.25">
      <c r="B21" s="6" t="s">
        <v>3594</v>
      </c>
      <c r="C21" s="2" t="s">
        <v>3597</v>
      </c>
      <c r="D21" s="2" t="s">
        <v>3598</v>
      </c>
    </row>
    <row r="22" spans="2:6" x14ac:dyDescent="0.25">
      <c r="B22" s="7">
        <v>10</v>
      </c>
      <c r="C22" s="23">
        <v>328</v>
      </c>
      <c r="D22" s="23">
        <v>10198.519999999991</v>
      </c>
    </row>
    <row r="23" spans="2:6" x14ac:dyDescent="0.25">
      <c r="B23" s="7" t="s">
        <v>3595</v>
      </c>
      <c r="C23" s="23">
        <v>328</v>
      </c>
      <c r="D23" s="23">
        <v>10198.519999999991</v>
      </c>
    </row>
    <row r="24" spans="2:6" x14ac:dyDescent="0.25">
      <c r="B24"/>
      <c r="C24"/>
      <c r="D24"/>
    </row>
    <row r="25" spans="2:6" x14ac:dyDescent="0.25">
      <c r="B25"/>
      <c r="C25"/>
      <c r="D25"/>
    </row>
    <row r="26" spans="2:6" x14ac:dyDescent="0.25">
      <c r="B26"/>
      <c r="C26"/>
      <c r="D26"/>
    </row>
    <row r="27" spans="2:6" s="3" customFormat="1" ht="35.25" customHeight="1" x14ac:dyDescent="0.25">
      <c r="B27" s="22" t="s">
        <v>3603</v>
      </c>
      <c r="C27" s="22"/>
      <c r="E27" s="4"/>
      <c r="F27" s="5"/>
    </row>
    <row r="28" spans="2:6" x14ac:dyDescent="0.25">
      <c r="B28"/>
      <c r="C28"/>
      <c r="D28"/>
    </row>
    <row r="29" spans="2:6" x14ac:dyDescent="0.25">
      <c r="B29" s="6" t="s">
        <v>3594</v>
      </c>
      <c r="C29" s="2" t="s">
        <v>3598</v>
      </c>
      <c r="D29"/>
    </row>
    <row r="30" spans="2:6" x14ac:dyDescent="0.25">
      <c r="B30" s="7" t="s">
        <v>23</v>
      </c>
      <c r="C30" s="11">
        <v>17363.099999999977</v>
      </c>
      <c r="D30"/>
    </row>
    <row r="31" spans="2:6" x14ac:dyDescent="0.25">
      <c r="B31" s="7" t="s">
        <v>25</v>
      </c>
      <c r="C31" s="11">
        <v>18168.379999999957</v>
      </c>
      <c r="D31"/>
    </row>
    <row r="32" spans="2:6" x14ac:dyDescent="0.25">
      <c r="B32" s="7" t="s">
        <v>26</v>
      </c>
      <c r="C32" s="11">
        <v>15750.459999999994</v>
      </c>
      <c r="D32"/>
    </row>
    <row r="33" spans="2:6" x14ac:dyDescent="0.25">
      <c r="B33" s="7" t="s">
        <v>28</v>
      </c>
      <c r="C33" s="11">
        <v>16091.400000000001</v>
      </c>
      <c r="D33"/>
    </row>
    <row r="34" spans="2:6" x14ac:dyDescent="0.25">
      <c r="B34" s="7" t="s">
        <v>12</v>
      </c>
      <c r="C34" s="11">
        <v>16802.659999999971</v>
      </c>
      <c r="D34"/>
    </row>
    <row r="35" spans="2:6" x14ac:dyDescent="0.25">
      <c r="B35" s="7" t="s">
        <v>20</v>
      </c>
      <c r="C35" s="11">
        <v>14733.519999999995</v>
      </c>
      <c r="D35"/>
    </row>
    <row r="36" spans="2:6" x14ac:dyDescent="0.25">
      <c r="B36" s="7" t="s">
        <v>21</v>
      </c>
      <c r="C36" s="11">
        <v>13336.060000000019</v>
      </c>
      <c r="D36"/>
    </row>
    <row r="37" spans="2:6" x14ac:dyDescent="0.25">
      <c r="B37" s="7" t="s">
        <v>3595</v>
      </c>
      <c r="C37" s="11">
        <v>112245.57999999993</v>
      </c>
      <c r="D37"/>
    </row>
    <row r="38" spans="2:6" x14ac:dyDescent="0.25">
      <c r="B38"/>
      <c r="C38"/>
      <c r="D38"/>
    </row>
    <row r="39" spans="2:6" x14ac:dyDescent="0.25">
      <c r="B39"/>
      <c r="C39"/>
      <c r="D39"/>
    </row>
    <row r="40" spans="2:6" x14ac:dyDescent="0.25">
      <c r="B40"/>
      <c r="C40"/>
      <c r="D40"/>
    </row>
    <row r="41" spans="2:6" x14ac:dyDescent="0.25">
      <c r="B41"/>
      <c r="C41"/>
      <c r="D41"/>
    </row>
    <row r="42" spans="2:6" x14ac:dyDescent="0.25">
      <c r="B42"/>
      <c r="C42"/>
      <c r="D42"/>
    </row>
    <row r="43" spans="2:6" x14ac:dyDescent="0.25">
      <c r="B43"/>
      <c r="C43"/>
      <c r="D43"/>
    </row>
    <row r="44" spans="2:6" x14ac:dyDescent="0.25">
      <c r="B44"/>
      <c r="C44"/>
      <c r="D44"/>
    </row>
    <row r="45" spans="2:6" s="3" customFormat="1" ht="35.25" customHeight="1" x14ac:dyDescent="0.25">
      <c r="B45" s="22" t="s">
        <v>3602</v>
      </c>
      <c r="C45" s="22"/>
      <c r="E45" s="4"/>
      <c r="F45" s="5"/>
    </row>
    <row r="46" spans="2:6" x14ac:dyDescent="0.25">
      <c r="B46"/>
      <c r="C46"/>
      <c r="D46"/>
    </row>
    <row r="47" spans="2:6" x14ac:dyDescent="0.25">
      <c r="B47" s="6" t="s">
        <v>3594</v>
      </c>
      <c r="C47" s="2" t="s">
        <v>3598</v>
      </c>
      <c r="D47"/>
    </row>
    <row r="48" spans="2:6" x14ac:dyDescent="0.25">
      <c r="B48" s="7">
        <v>6</v>
      </c>
      <c r="C48" s="14">
        <v>149.4</v>
      </c>
    </row>
    <row r="49" spans="2:3" x14ac:dyDescent="0.25">
      <c r="B49" s="7">
        <v>7</v>
      </c>
      <c r="C49" s="14">
        <v>2846.0200000000032</v>
      </c>
    </row>
    <row r="50" spans="2:3" x14ac:dyDescent="0.25">
      <c r="B50" s="7">
        <v>8</v>
      </c>
      <c r="C50" s="14">
        <v>7017.8800000000074</v>
      </c>
    </row>
    <row r="51" spans="2:3" x14ac:dyDescent="0.25">
      <c r="B51" s="7">
        <v>9</v>
      </c>
      <c r="C51" s="14">
        <v>7264.2800000000052</v>
      </c>
    </row>
    <row r="52" spans="2:3" x14ac:dyDescent="0.25">
      <c r="B52" s="7">
        <v>10</v>
      </c>
      <c r="C52" s="14">
        <v>10198.519999999991</v>
      </c>
    </row>
    <row r="53" spans="2:3" x14ac:dyDescent="0.25">
      <c r="B53" s="7">
        <v>11</v>
      </c>
      <c r="C53" s="14">
        <v>8453.1000000000076</v>
      </c>
    </row>
    <row r="54" spans="2:3" x14ac:dyDescent="0.25">
      <c r="B54" s="7">
        <v>12</v>
      </c>
      <c r="C54" s="14">
        <v>7419.6200000000117</v>
      </c>
    </row>
    <row r="55" spans="2:3" x14ac:dyDescent="0.25">
      <c r="B55" s="7">
        <v>13</v>
      </c>
      <c r="C55" s="14">
        <v>7028.760000000013</v>
      </c>
    </row>
    <row r="56" spans="2:3" x14ac:dyDescent="0.25">
      <c r="B56" s="7">
        <v>14</v>
      </c>
      <c r="C56" s="14">
        <v>7173.8000000000175</v>
      </c>
    </row>
    <row r="57" spans="2:3" x14ac:dyDescent="0.25">
      <c r="B57" s="7">
        <v>15</v>
      </c>
      <c r="C57" s="14">
        <v>7476.0200000000195</v>
      </c>
    </row>
    <row r="58" spans="2:3" x14ac:dyDescent="0.25">
      <c r="B58" s="7">
        <v>16</v>
      </c>
      <c r="C58" s="14">
        <v>9031.8400000000238</v>
      </c>
    </row>
    <row r="59" spans="2:3" x14ac:dyDescent="0.25">
      <c r="B59" s="7">
        <v>17</v>
      </c>
      <c r="C59" s="14">
        <v>7659.760000000013</v>
      </c>
    </row>
    <row r="60" spans="2:3" x14ac:dyDescent="0.25">
      <c r="B60" s="7">
        <v>18</v>
      </c>
      <c r="C60" s="14">
        <v>7162.6000000000176</v>
      </c>
    </row>
    <row r="61" spans="2:3" x14ac:dyDescent="0.25">
      <c r="B61" s="7">
        <v>19</v>
      </c>
      <c r="C61" s="14">
        <v>7751.9600000000155</v>
      </c>
    </row>
    <row r="62" spans="2:3" x14ac:dyDescent="0.25">
      <c r="B62" s="7">
        <v>20</v>
      </c>
      <c r="C62" s="14">
        <v>5578.9200000000155</v>
      </c>
    </row>
    <row r="63" spans="2:3" x14ac:dyDescent="0.25">
      <c r="B63" s="7">
        <v>21</v>
      </c>
      <c r="C63" s="14">
        <v>6397.9400000000169</v>
      </c>
    </row>
    <row r="64" spans="2:3" x14ac:dyDescent="0.25">
      <c r="B64" s="7">
        <v>22</v>
      </c>
      <c r="C64" s="14">
        <v>3635.160000000008</v>
      </c>
    </row>
    <row r="65" spans="2:6" x14ac:dyDescent="0.25">
      <c r="B65" s="7" t="s">
        <v>3595</v>
      </c>
      <c r="C65" s="14">
        <v>112245.58000000018</v>
      </c>
    </row>
    <row r="68" spans="2:6" s="3" customFormat="1" ht="35.25" customHeight="1" x14ac:dyDescent="0.25">
      <c r="B68" s="22" t="s">
        <v>3601</v>
      </c>
      <c r="C68" s="22"/>
      <c r="E68" s="4"/>
      <c r="F68" s="5"/>
    </row>
    <row r="70" spans="2:6" x14ac:dyDescent="0.25">
      <c r="B70" s="6" t="s">
        <v>3594</v>
      </c>
      <c r="C70" s="2" t="s">
        <v>3598</v>
      </c>
      <c r="D70"/>
      <c r="E70" s="10" t="s">
        <v>3621</v>
      </c>
      <c r="F70" s="10" t="s">
        <v>3622</v>
      </c>
    </row>
    <row r="71" spans="2:6" x14ac:dyDescent="0.25">
      <c r="B71" s="7" t="s">
        <v>18</v>
      </c>
      <c r="C71" s="15">
        <v>0.34020350734523325</v>
      </c>
      <c r="D71"/>
      <c r="E71" s="16" t="str">
        <f>IF(OR(B71="Grand Total",B71=0),"",IFERROR(B71,""))</f>
        <v>Night</v>
      </c>
      <c r="F71" s="21">
        <f>IFERROR(GETPIVOTDATA("money",$B$70,"Time_of_Day",B71),"")</f>
        <v>0.34020350734523325</v>
      </c>
    </row>
    <row r="72" spans="2:6" x14ac:dyDescent="0.25">
      <c r="B72" s="7" t="s">
        <v>15</v>
      </c>
      <c r="C72" s="15">
        <v>0.33970192857482651</v>
      </c>
      <c r="D72"/>
      <c r="E72" s="16" t="str">
        <f t="shared" ref="E72:E73" si="0">IF(OR(B72="Grand Total",B72=0),"",IFERROR(B72,""))</f>
        <v>Afternoon</v>
      </c>
      <c r="F72" s="21">
        <f t="shared" ref="F72:F73" si="1">IFERROR(GETPIVOTDATA("money",$B$70,"Time_of_Day",B72),"")</f>
        <v>0.33970192857482651</v>
      </c>
    </row>
    <row r="73" spans="2:6" x14ac:dyDescent="0.25">
      <c r="B73" s="7" t="s">
        <v>11</v>
      </c>
      <c r="C73" s="15">
        <v>0.32009456407994025</v>
      </c>
      <c r="D73"/>
      <c r="E73" s="16" t="str">
        <f t="shared" si="0"/>
        <v>Morning</v>
      </c>
      <c r="F73" s="21">
        <f t="shared" si="1"/>
        <v>0.32009456407994025</v>
      </c>
    </row>
    <row r="74" spans="2:6" x14ac:dyDescent="0.25">
      <c r="B74" s="7" t="s">
        <v>3595</v>
      </c>
      <c r="C74" s="15">
        <v>1</v>
      </c>
      <c r="D74"/>
    </row>
    <row r="75" spans="2:6" x14ac:dyDescent="0.25">
      <c r="B75"/>
      <c r="C75"/>
      <c r="D75"/>
    </row>
    <row r="76" spans="2:6" x14ac:dyDescent="0.25">
      <c r="B76"/>
      <c r="C76"/>
      <c r="D76"/>
    </row>
    <row r="77" spans="2:6" x14ac:dyDescent="0.25">
      <c r="B77"/>
      <c r="C77"/>
      <c r="D77"/>
    </row>
    <row r="78" spans="2:6" x14ac:dyDescent="0.25">
      <c r="B78"/>
      <c r="C78"/>
      <c r="D78"/>
    </row>
    <row r="79" spans="2:6" x14ac:dyDescent="0.25">
      <c r="B79"/>
      <c r="C79"/>
      <c r="D79"/>
    </row>
    <row r="80" spans="2:6" x14ac:dyDescent="0.25">
      <c r="B80"/>
      <c r="C80"/>
      <c r="D80"/>
    </row>
    <row r="81" spans="2:6" x14ac:dyDescent="0.25">
      <c r="B81"/>
      <c r="C81"/>
      <c r="D81"/>
    </row>
    <row r="82" spans="2:6" x14ac:dyDescent="0.25">
      <c r="B82"/>
      <c r="C82"/>
      <c r="D82"/>
    </row>
    <row r="83" spans="2:6" x14ac:dyDescent="0.25">
      <c r="B83"/>
      <c r="C83"/>
      <c r="D83"/>
    </row>
    <row r="84" spans="2:6" x14ac:dyDescent="0.25">
      <c r="B84"/>
      <c r="C84"/>
      <c r="D84"/>
    </row>
    <row r="85" spans="2:6" x14ac:dyDescent="0.25">
      <c r="B85"/>
      <c r="C85"/>
      <c r="D85"/>
    </row>
    <row r="86" spans="2:6" x14ac:dyDescent="0.25">
      <c r="B86"/>
      <c r="C86"/>
      <c r="D86"/>
    </row>
    <row r="87" spans="2:6" s="3" customFormat="1" ht="35.25" customHeight="1" x14ac:dyDescent="0.25">
      <c r="B87" s="22" t="s">
        <v>3604</v>
      </c>
      <c r="C87" s="22"/>
      <c r="E87" s="4"/>
      <c r="F87" s="5"/>
    </row>
    <row r="88" spans="2:6" x14ac:dyDescent="0.25">
      <c r="B88"/>
      <c r="C88"/>
      <c r="D88"/>
    </row>
    <row r="89" spans="2:6" x14ac:dyDescent="0.25">
      <c r="B89" s="6" t="s">
        <v>3594</v>
      </c>
      <c r="C89" s="2" t="s">
        <v>3598</v>
      </c>
      <c r="D89"/>
      <c r="E89" s="10" t="s">
        <v>3605</v>
      </c>
      <c r="F89" s="10" t="s">
        <v>3606</v>
      </c>
    </row>
    <row r="90" spans="2:6" x14ac:dyDescent="0.25">
      <c r="B90" s="7" t="s">
        <v>10</v>
      </c>
      <c r="C90" s="11">
        <v>26875.299999999501</v>
      </c>
      <c r="D90"/>
      <c r="E90" s="16" t="str">
        <f>IF(OR(B90="Grand Total",B90=0),"",IFERROR(B90,""))</f>
        <v>Latte</v>
      </c>
      <c r="F90" s="20">
        <f>IFERROR(GETPIVOTDATA("money",$B$89,"coffee_name",B90),"")</f>
        <v>26875.299999999501</v>
      </c>
    </row>
    <row r="91" spans="2:6" x14ac:dyDescent="0.25">
      <c r="B91" s="7" t="s">
        <v>17</v>
      </c>
      <c r="C91" s="11">
        <v>24751.120000000228</v>
      </c>
      <c r="D91"/>
      <c r="E91" s="16" t="str">
        <f t="shared" ref="E91:E94" si="2">IF(OR(B91="Grand Total",B91=0),"",IFERROR(B91,""))</f>
        <v>Americano with Milk</v>
      </c>
      <c r="F91" s="20">
        <f t="shared" ref="F91:F94" si="3">IFERROR(GETPIVOTDATA("money",$B$89,"coffee_name",B91),"")</f>
        <v>24751.120000000228</v>
      </c>
    </row>
    <row r="92" spans="2:6" x14ac:dyDescent="0.25">
      <c r="B92" s="7" t="s">
        <v>27</v>
      </c>
      <c r="C92" s="11">
        <v>17439.139999999974</v>
      </c>
      <c r="D92"/>
      <c r="E92" s="16" t="str">
        <f t="shared" si="2"/>
        <v>Cappuccino</v>
      </c>
      <c r="F92" s="20">
        <f t="shared" si="3"/>
        <v>17439.139999999974</v>
      </c>
    </row>
    <row r="93" spans="2:6" x14ac:dyDescent="0.25">
      <c r="B93" s="7" t="s">
        <v>16</v>
      </c>
      <c r="C93" s="11">
        <v>14650.259999999824</v>
      </c>
      <c r="D93"/>
      <c r="E93" s="16" t="str">
        <f t="shared" si="2"/>
        <v>Americano</v>
      </c>
      <c r="F93" s="20">
        <f t="shared" si="3"/>
        <v>14650.259999999824</v>
      </c>
    </row>
    <row r="94" spans="2:6" x14ac:dyDescent="0.25">
      <c r="B94" s="7" t="s">
        <v>14</v>
      </c>
      <c r="C94" s="11">
        <v>9933.4600000000464</v>
      </c>
      <c r="D94"/>
      <c r="E94" s="16" t="str">
        <f t="shared" si="2"/>
        <v>Hot Chocolate</v>
      </c>
      <c r="F94" s="20">
        <f t="shared" si="3"/>
        <v>9933.4600000000464</v>
      </c>
    </row>
    <row r="95" spans="2:6" x14ac:dyDescent="0.25">
      <c r="B95" s="7" t="s">
        <v>19</v>
      </c>
      <c r="C95" s="11">
        <v>8521.1600000000381</v>
      </c>
      <c r="D95"/>
    </row>
    <row r="96" spans="2:6" x14ac:dyDescent="0.25">
      <c r="B96" s="7" t="s">
        <v>22</v>
      </c>
      <c r="C96" s="11">
        <v>7384.8600000000097</v>
      </c>
      <c r="D96"/>
    </row>
    <row r="97" spans="2:6" x14ac:dyDescent="0.25">
      <c r="B97" s="7" t="s">
        <v>24</v>
      </c>
      <c r="C97" s="11">
        <v>2690.2799999999938</v>
      </c>
      <c r="D97"/>
    </row>
    <row r="98" spans="2:6" s="3" customFormat="1" x14ac:dyDescent="0.25">
      <c r="B98" s="7" t="s">
        <v>3595</v>
      </c>
      <c r="C98" s="11">
        <v>112245.57999999961</v>
      </c>
      <c r="E98" s="4"/>
      <c r="F98" s="5"/>
    </row>
    <row r="99" spans="2:6" x14ac:dyDescent="0.25">
      <c r="B99"/>
      <c r="C99"/>
      <c r="D99"/>
    </row>
    <row r="100" spans="2:6" x14ac:dyDescent="0.25">
      <c r="B100" s="6" t="s">
        <v>3594</v>
      </c>
      <c r="C100" s="2" t="s">
        <v>3598</v>
      </c>
      <c r="D100"/>
    </row>
    <row r="101" spans="2:6" x14ac:dyDescent="0.25">
      <c r="B101" s="7" t="s">
        <v>3615</v>
      </c>
      <c r="C101" s="11">
        <v>5905.1999999999925</v>
      </c>
      <c r="D101"/>
    </row>
    <row r="102" spans="2:6" x14ac:dyDescent="0.25">
      <c r="B102" s="7" t="s">
        <v>3608</v>
      </c>
      <c r="C102" s="11">
        <v>5719.5600000000022</v>
      </c>
      <c r="D102"/>
    </row>
    <row r="103" spans="2:6" x14ac:dyDescent="0.25">
      <c r="B103" s="7" t="s">
        <v>3617</v>
      </c>
      <c r="C103" s="11">
        <v>8164.4200000000119</v>
      </c>
      <c r="D103"/>
    </row>
    <row r="104" spans="2:6" x14ac:dyDescent="0.25">
      <c r="B104" s="7" t="s">
        <v>3614</v>
      </c>
      <c r="C104" s="11">
        <v>7617.7600000000057</v>
      </c>
      <c r="D104"/>
    </row>
    <row r="105" spans="2:6" x14ac:dyDescent="0.25">
      <c r="B105" s="7" t="s">
        <v>3613</v>
      </c>
      <c r="C105" s="11">
        <v>6915.940000000006</v>
      </c>
      <c r="D105"/>
    </row>
    <row r="106" spans="2:6" x14ac:dyDescent="0.25">
      <c r="B106" s="7" t="s">
        <v>3609</v>
      </c>
      <c r="C106" s="11">
        <v>7613.8400000000147</v>
      </c>
      <c r="D106"/>
    </row>
    <row r="107" spans="2:6" x14ac:dyDescent="0.25">
      <c r="B107" s="7" t="s">
        <v>3620</v>
      </c>
      <c r="C107" s="11">
        <v>9988.6400000000067</v>
      </c>
      <c r="D107"/>
    </row>
    <row r="108" spans="2:6" x14ac:dyDescent="0.25">
      <c r="B108" s="7" t="s">
        <v>3619</v>
      </c>
      <c r="C108" s="11">
        <v>13891.16000000004</v>
      </c>
      <c r="D108"/>
    </row>
    <row r="109" spans="2:6" x14ac:dyDescent="0.25">
      <c r="B109" s="7" t="s">
        <v>3618</v>
      </c>
      <c r="C109" s="11">
        <v>8590.5400000000227</v>
      </c>
      <c r="D109"/>
    </row>
    <row r="110" spans="2:6" x14ac:dyDescent="0.25">
      <c r="B110" s="7" t="s">
        <v>3610</v>
      </c>
      <c r="C110" s="11">
        <v>8237.740000000018</v>
      </c>
      <c r="D110"/>
    </row>
    <row r="111" spans="2:6" x14ac:dyDescent="0.25">
      <c r="B111" s="7" t="s">
        <v>3612</v>
      </c>
      <c r="C111" s="11">
        <v>6398.8600000000124</v>
      </c>
      <c r="D111"/>
    </row>
    <row r="112" spans="2:6" x14ac:dyDescent="0.25">
      <c r="B112" s="7" t="s">
        <v>3611</v>
      </c>
      <c r="C112" s="11">
        <v>13215.479999999996</v>
      </c>
      <c r="D112"/>
    </row>
    <row r="113" spans="2:4" x14ac:dyDescent="0.25">
      <c r="B113" s="7" t="s">
        <v>3616</v>
      </c>
      <c r="C113" s="11">
        <v>9986.4400000000151</v>
      </c>
      <c r="D113"/>
    </row>
    <row r="114" spans="2:4" x14ac:dyDescent="0.25">
      <c r="B114" s="7" t="s">
        <v>3595</v>
      </c>
      <c r="C114" s="11">
        <v>112245.58000000015</v>
      </c>
      <c r="D114"/>
    </row>
    <row r="115" spans="2:4" x14ac:dyDescent="0.25">
      <c r="B115"/>
      <c r="C115"/>
      <c r="D115"/>
    </row>
    <row r="116" spans="2:4" x14ac:dyDescent="0.25">
      <c r="B116"/>
      <c r="C116"/>
      <c r="D116"/>
    </row>
    <row r="117" spans="2:4" x14ac:dyDescent="0.25">
      <c r="B117"/>
      <c r="C117"/>
      <c r="D117"/>
    </row>
    <row r="118" spans="2:4" x14ac:dyDescent="0.25">
      <c r="B118"/>
    </row>
    <row r="119" spans="2:4" x14ac:dyDescent="0.25">
      <c r="B119"/>
    </row>
    <row r="120" spans="2:4" x14ac:dyDescent="0.25">
      <c r="B120"/>
    </row>
    <row r="121" spans="2:4" x14ac:dyDescent="0.25">
      <c r="B121"/>
    </row>
    <row r="122" spans="2:4" x14ac:dyDescent="0.25">
      <c r="B122"/>
    </row>
    <row r="123" spans="2:4" x14ac:dyDescent="0.25">
      <c r="B123"/>
    </row>
    <row r="124" spans="2:4" x14ac:dyDescent="0.25">
      <c r="B124"/>
    </row>
    <row r="125" spans="2:4" x14ac:dyDescent="0.25">
      <c r="B125"/>
    </row>
    <row r="126" spans="2:4" x14ac:dyDescent="0.25">
      <c r="B126"/>
    </row>
    <row r="127" spans="2:4" x14ac:dyDescent="0.25">
      <c r="B127"/>
    </row>
    <row r="128" spans="2:4"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sheetData>
  <mergeCells count="5">
    <mergeCell ref="B3:C3"/>
    <mergeCell ref="B27:C27"/>
    <mergeCell ref="B45:C45"/>
    <mergeCell ref="B68:C68"/>
    <mergeCell ref="B87:C87"/>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6376-A2B2-4E33-A75A-7FDD2EDB705A}">
  <dimension ref="A1"/>
  <sheetViews>
    <sheetView showGridLines="0" tabSelected="1" zoomScale="75" zoomScaleNormal="75" workbookViewId="0">
      <selection activeCell="A26" sqref="A26"/>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Worksheet</vt:lpstr>
      <vt:lpstr>Pivot</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Windows User</cp:lastModifiedBy>
  <dcterms:created xsi:type="dcterms:W3CDTF">2025-10-28T14:34:19Z</dcterms:created>
  <dcterms:modified xsi:type="dcterms:W3CDTF">2025-11-06T15:57:50Z</dcterms:modified>
  <cp:category/>
</cp:coreProperties>
</file>